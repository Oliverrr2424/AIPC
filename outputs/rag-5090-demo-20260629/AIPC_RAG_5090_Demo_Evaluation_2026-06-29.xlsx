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843606dcd14ac6" /></Relationships>
</file>

<file path=xl/workbook.xml><?xml version="1.0" encoding="utf-8"?>
<x:workbook xmlns:x="http://schemas.openxmlformats.org/spreadsheetml/2006/main">
  <x:sheets>
    <x:sheet xmlns:r="http://schemas.openxmlformats.org/officeDocument/2006/relationships" name="Executive Summary" sheetId="1" r:id="R7878e0acb85348b0"/>
    <x:sheet xmlns:r="http://schemas.openxmlformats.org/officeDocument/2006/relationships" name="Test Results" sheetId="2" r:id="Re91cc572bb5945b6"/>
    <x:sheet xmlns:r="http://schemas.openxmlformats.org/officeDocument/2006/relationships" name="Before vs After" sheetId="3" r:id="Red01d8de036e4c88"/>
    <x:sheet xmlns:r="http://schemas.openxmlformats.org/officeDocument/2006/relationships" name="Full Responses" sheetId="4" r:id="R99015e86b8524f31"/>
    <x:sheet xmlns:r="http://schemas.openxmlformats.org/officeDocument/2006/relationships" name="Evidence Audit" sheetId="5" r:id="R564bdbebd21c473c"/>
    <x:sheet xmlns:r="http://schemas.openxmlformats.org/officeDocument/2006/relationships" name="Parts Catalog" sheetId="6" r:id="R053da27ebdf04602"/>
    <x:sheet xmlns:r="http://schemas.openxmlformats.org/officeDocument/2006/relationships" name="Field Audit" sheetId="7" r:id="R02c3f5a9f59041ad"/>
    <x:sheet xmlns:r="http://schemas.openxmlformats.org/officeDocument/2006/relationships" name="Sources &amp; Method" sheetId="8" r:id="R56b33016194841ed"/>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quot; s&quot;"/>
    <x:numFmt numFmtId="201" formatCode="0%"/>
    <x:numFmt numFmtId="202" formatCode="0.0"/>
    <x:numFmt numFmtId="203" formatCode="#,##0.00"/>
    <x:numFmt numFmtId="204" formatCode="0.0%"/>
    <x:numFmt numFmtId="205" formatCode="0.000"/>
    <x:numFmt numFmtId="206" formatCode="$#,##0.00"/>
  </x:numFmts>
  <x:fonts count="7">
    <x:font>
      <x:sz val="11"/>
      <x:name val="Carlito"/>
    </x:font>
    <x:font>
      <x:b/>
      <x:sz val="22"/>
      <x:color rgb="FFFFFFFF"/>
      <x:name val="Carlito"/>
    </x:font>
    <x:font>
      <x:i/>
      <x:sz val="10"/>
      <x:color rgb="FFBFDBFE"/>
      <x:name val="Carlito"/>
    </x:font>
    <x:font>
      <x:b/>
      <x:sz val="11"/>
      <x:color rgb="FFFFFFFF"/>
      <x:name val="Carlito"/>
    </x:font>
    <x:font>
      <x:b/>
      <x:sz val="11"/>
      <x:color rgb="FF16A34A"/>
      <x:name val="Carlito"/>
    </x:font>
    <x:font>
      <x:b/>
      <x:sz val="11"/>
      <x:color rgb="FFD97706"/>
      <x:name val="Carlito"/>
    </x:font>
    <x:font>
      <x:b/>
      <x:sz val="11"/>
      <x:color rgb="FFDC2626"/>
      <x:name val="Carlito"/>
    </x:font>
  </x:fonts>
  <x:fills count="8">
    <x:fill>
      <x:patternFill patternType="none"/>
    </x:fill>
    <x:fill>
      <x:patternFill patternType="gray125"/>
    </x:fill>
    <x:fill>
      <x:patternFill patternType="solid">
        <x:fgColor rgb="FF0B1220"/>
      </x:patternFill>
    </x:fill>
    <x:fill>
      <x:patternFill patternType="solid">
        <x:fgColor rgb="FF111C30"/>
      </x:patternFill>
    </x:fill>
    <x:fill>
      <x:patternFill patternType="solid">
        <x:fgColor rgb="FF2563EB"/>
      </x:patternFill>
    </x:fill>
    <x:fill>
      <x:patternFill patternType="solid">
        <x:fgColor rgb="FFDCFCE7"/>
      </x:patternFill>
    </x:fill>
    <x:fill>
      <x:patternFill patternType="solid">
        <x:fgColor rgb="FFFEF3C7"/>
      </x:patternFill>
    </x:fill>
    <x:fill>
      <x:patternFill patternType="solid">
        <x:fgColor rgb="FFFEE2E2"/>
      </x:patternFill>
    </x:fill>
  </x:fills>
  <x:borders count="9">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9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4"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5"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3" fillId="4"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5"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202"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202" fontId="0" fillId="0" borderId="7" xfId="0" applyNumberFormat="1" applyFont="1" applyFill="1" applyBorder="1"/>
    <x:xf numFmtId="203" fontId="0" fillId="0" borderId="7" xfId="0" applyNumberFormat="1" applyFont="1" applyFill="1" applyBorder="1"/>
    <x:xf numFmtId="204" fontId="0" fillId="0" borderId="7" xfId="0" applyNumberFormat="1" applyFont="1" applyFill="1" applyBorder="1"/>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202" fontId="0" fillId="0" borderId="7" xfId="0" applyNumberFormat="1" applyFont="1" applyFill="1" applyBorder="1" applyAlignment="1">
      <x:alignment wrapText="1"/>
    </x:xf>
    <x:xf numFmtId="203" fontId="0" fillId="0" borderId="7" xfId="0" applyNumberFormat="1" applyFont="1" applyFill="1" applyBorder="1" applyAlignment="1">
      <x:alignment wrapText="1"/>
    </x:xf>
    <x:xf numFmtId="204" fontId="0" fillId="0" borderId="7" xfId="0" applyNumberFormat="1" applyFont="1" applyFill="1" applyBorder="1" applyAlignment="1">
      <x:alignment wrapText="1"/>
    </x:xf>
    <x:xf numFmtId="202"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202" fontId="0" fillId="0" borderId="7" xfId="0" applyNumberFormat="1" applyFont="1" applyFill="1" applyBorder="1" applyAlignment="1">
      <x:alignment vertical="top" wrapText="1"/>
    </x:xf>
    <x:xf numFmtId="203" fontId="0" fillId="0" borderId="7" xfId="0" applyNumberFormat="1" applyFont="1" applyFill="1" applyBorder="1" applyAlignment="1">
      <x:alignment vertical="top" wrapText="1"/>
    </x:xf>
    <x:xf numFmtId="204" fontId="0" fillId="0" borderId="7"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0" xfId="0" applyNumberFormat="1" applyFont="1" applyFill="1" applyBorder="1" applyAlignment="1">
      <x:alignment horizontal="center" vertical="top" wrapText="1"/>
    </x:xf>
    <x:xf numFmtId="0" fontId="0" fillId="6"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0" xfId="0" applyNumberFormat="1" applyFont="1" applyFill="1" applyBorder="1" applyAlignment="1">
      <x:alignment horizontal="center" vertical="top" wrapText="1"/>
    </x:xf>
    <x:xf numFmtId="0" fontId="0" fillId="6" borderId="7"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5" fillId="6" borderId="7" xfId="0" applyNumberFormat="1" applyFont="1" applyFill="1" applyBorder="1" applyAlignment="1">
      <x:alignment horizontal="center" vertical="top" wrapText="1"/>
    </x:xf>
    <x:xf numFmtId="0" fontId="0"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205" fontId="0" fillId="0" borderId="0" xfId="0" applyNumberFormat="1" applyFont="1" applyFill="1" applyBorder="1" applyAlignment="1">
      <x:alignment vertical="top" wrapText="1"/>
    </x:xf>
    <x:xf numFmtId="205" fontId="0" fillId="0" borderId="7" xfId="0" applyNumberFormat="1" applyFont="1" applyFill="1" applyBorder="1" applyAlignment="1">
      <x:alignment vertical="top" wrapText="1"/>
    </x:xf>
    <x:xf numFmtId="206" fontId="0" fillId="0" borderId="0" xfId="0" applyNumberFormat="1" applyFont="1" applyFill="1" applyBorder="1" applyAlignment="1">
      <x:alignment vertical="top" wrapText="1"/>
    </x:xf>
    <x:xf numFmtId="206" fontId="0" fillId="0" borderId="7"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5" xfId="0" applyNumberFormat="1" applyFont="1" applyFill="1" applyBorder="1" applyAlignment="1">
      <x:alignment horizontal="center" vertical="top" wrapText="1"/>
    </x:xf>
    <x:xf numFmtId="0" fontId="0" fillId="5" borderId="8"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8" xfId="0" applyNumberFormat="1" applyFont="1" applyFill="1" applyBorder="1" applyAlignment="1">
      <x:alignment horizontal="center" vertical="top" wrapText="1"/>
    </x:xf>
    <x:xf numFmtId="0" fontId="0" fillId="5" borderId="7"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7"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f5ada96567a465d" /><Relationship Type="http://schemas.openxmlformats.org/officeDocument/2006/relationships/theme" Target="/xl/theme/theme1.xml" Id="R1db0c3168c034ed3" /><Relationship Type="http://schemas.openxmlformats.org/officeDocument/2006/relationships/sharedStrings" Target="/xl/sharedStrings.xml" Id="R8b3e9073de8446b3" /><Relationship Type="http://schemas.openxmlformats.org/officeDocument/2006/relationships/worksheet" Target="/xl/worksheets/sheet1.xml" Id="R7878e0acb85348b0" /><Relationship Type="http://schemas.openxmlformats.org/officeDocument/2006/relationships/worksheet" Target="/xl/worksheets/sheet2.xml" Id="Re91cc572bb5945b6" /><Relationship Type="http://schemas.openxmlformats.org/officeDocument/2006/relationships/worksheet" Target="/xl/worksheets/sheet3.xml" Id="Red01d8de036e4c88" /><Relationship Type="http://schemas.openxmlformats.org/officeDocument/2006/relationships/worksheet" Target="/xl/worksheets/sheet4.xml" Id="R99015e86b8524f31" /><Relationship Type="http://schemas.openxmlformats.org/officeDocument/2006/relationships/worksheet" Target="/xl/worksheets/sheet5.xml" Id="R564bdbebd21c473c" /><Relationship Type="http://schemas.openxmlformats.org/officeDocument/2006/relationships/worksheet" Target="/xl/worksheets/sheet6.xml" Id="R053da27ebdf04602" /><Relationship Type="http://schemas.openxmlformats.org/officeDocument/2006/relationships/worksheet" Target="/xl/worksheets/sheet7.xml" Id="R02c3f5a9f59041ad" /><Relationship Type="http://schemas.openxmlformats.org/officeDocument/2006/relationships/worksheet" Target="/xl/worksheets/sheet8.xml" Id="R56b33016194841ed" /></Relationships>
</file>

<file path=xl/drawings/_rels/drawing1.xml.rels>&#65279;<?xml version="1.0" encoding="utf-8"?><Relationships xmlns="http://schemas.openxmlformats.org/package/2006/relationships"><Relationship Type="http://schemas.openxmlformats.org/officeDocument/2006/relationships/chart" Target="/xl/drawings/charts/chart1.xml" Id="Rd45a2d0dd32e4b1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Final Test Verdicts</a:t>
            </a:r>
          </a:p>
        </c:rich>
      </c:tx>
      <c:overlay val="0"/>
    </c:title>
    <c:autoTitleDeleted val="0"/>
    <c:plotArea>
      <c:layout/>
      <c:barChart>
        <c:barDir val="col"/>
        <c:grouping val="clustered"/>
        <c:varyColors val="0"/>
        <c:ser>
          <c:idx val="0"/>
          <c:order val="0"/>
          <c:tx>
            <c:v>Count</c:v>
          </c:tx>
          <c:dLbls>
            <c:showLegendKey val="0"/>
            <c:showVal val="0"/>
            <c:showCatName val="0"/>
            <c:showSerName val="0"/>
            <c:showPercent val="0"/>
            <c:showBubbleSize val="0"/>
            <c:showLeaderLines val="0"/>
          </c:dLbls>
          <c:cat>
            <c:strRef>
              <c:f>'Executive Summary'!$H$5:$H$7</c:f>
              <c:strCache>
                <c:ptCount val="0"/>
              </c:strCache>
            </c:strRef>
          </c:cat>
          <c:val>
            <c:numRef>
              <c:f>'Executive Summary'!$I$5:$I$7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8</xdr:row>
      <xdr:rowOff>0</xdr:rowOff>
    </xdr:from>
    <xdr:to>
      <xdr:col>16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5a2d0dd32e4b1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0f97b8d5c334f4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1" hidden="0" customWidth="1"/>
    <x:col min="3" max="3" width="26" hidden="0" customWidth="1"/>
    <x:col min="4" max="4" width="18" hidden="0" customWidth="1"/>
    <x:col min="5" max="5" width="18" hidden="0" customWidth="1"/>
    <x:col min="6" max="6" width="18" hidden="0" customWidth="1"/>
    <x:col min="8" max="8" width="14" hidden="0" customWidth="1"/>
    <x:col min="9" max="9" width="14" hidden="0" customWidth="1"/>
  </x:cols>
  <x:sheetData>
    <x:row r="1" ht="38" customHeight="1">
      <x:c r="A1" s="3" t="str">
        <x:v>AIPC RAG · RTX 5090 Demo Evaluation</x:v>
      </x:c>
      <x:c r="B1" s="3"/>
      <x:c r="C1" s="3"/>
      <x:c r="D1" s="3"/>
      <x:c r="E1" s="3"/>
      <x:c r="F1" s="3"/>
      <x:c r="G1" s="3"/>
      <x:c r="H1" s="3"/>
      <x:c r="I1" s="3"/>
      <x:c r="J1" s="3"/>
      <x:c r="K1" s="3"/>
      <x:c r="L1" s="3"/>
      <x:c r="M1" s="3"/>
      <x:c r="N1" s="3"/>
      <x:c r="O1" s="3"/>
      <x:c r="P1" s="3"/>
    </x:row>
    <x:row r="2" ht="22" customHeight="1">
      <x:c r="A2" s="6" t="str">
        <x:v>DeepSeek V4 Flash · non-thinking · remote Ollama nomic-embed-text · 2026-06-29</x:v>
      </x:c>
      <x:c r="B2" s="6"/>
      <x:c r="C2" s="6"/>
      <x:c r="D2" s="6"/>
      <x:c r="E2" s="6"/>
      <x:c r="F2" s="6"/>
      <x:c r="G2" s="6"/>
      <x:c r="H2" s="6"/>
      <x:c r="I2" s="6"/>
      <x:c r="J2" s="6"/>
      <x:c r="K2" s="6"/>
      <x:c r="L2" s="6"/>
      <x:c r="M2" s="6"/>
      <x:c r="N2" s="6"/>
      <x:c r="O2" s="6"/>
      <x:c r="P2" s="6"/>
    </x:row>
    <x:row r="4" ht="28" customHeight="1">
      <x:c r="A4" s="30" t="str">
        <x:v>Metric</x:v>
      </x:c>
      <x:c r="B4" s="31" t="str">
        <x:v>Value</x:v>
      </x:c>
      <x:c r="C4" s="31" t="str">
        <x:v>Metric</x:v>
      </x:c>
      <x:c r="D4" s="31" t="str">
        <x:v>Value</x:v>
      </x:c>
      <x:c r="E4" s="31" t="str">
        <x:v>Metric</x:v>
      </x:c>
      <x:c r="F4" s="32" t="str">
        <x:v>Value</x:v>
      </x:c>
      <x:c r="H4" s="10" t="str">
        <x:v>Verdict</x:v>
      </x:c>
      <x:c r="I4" s="10" t="str">
        <x:v>Count</x:v>
      </x:c>
    </x:row>
    <x:row r="5">
      <x:c r="A5" s="33" t="str">
        <x:v>Final pass</x:v>
      </x:c>
      <x:c r="B5" s="34" t="n">
        <x:f>COUNTIF('Test Results'!$AB$6:$AB$15,"PASS")</x:f>
        <x:v>7</x:v>
      </x:c>
      <x:c r="C5" s="34" t="str">
        <x:v>Final warning</x:v>
      </x:c>
      <x:c r="D5" s="34" t="n">
        <x:f>COUNTIF('Test Results'!$AB$6:$AB$15,"WARNING")</x:f>
        <x:v>3</x:v>
      </x:c>
      <x:c r="E5" s="34" t="str">
        <x:v>Final fail</x:v>
      </x:c>
      <x:c r="F5" s="35" t="n">
        <x:f>COUNTIF('Test Results'!$AB$6:$AB$15,"FAIL")</x:f>
        <x:v>0</x:v>
      </x:c>
      <x:c r="H5" t="str">
        <x:v>PASS</x:v>
      </x:c>
      <x:c r="I5" t="n">
        <x:v>7</x:v>
      </x:c>
    </x:row>
    <x:row r="6">
      <x:c r="A6" s="33" t="str">
        <x:v>Average latency</x:v>
      </x:c>
      <x:c r="B6" s="36" t="n">
        <x:f>AVERAGE('Test Results'!$L$6:$L$15)</x:f>
        <x:v>10.6202</x:v>
      </x:c>
      <x:c r="C6" s="34" t="str">
        <x:v>Remote vector coverage</x:v>
      </x:c>
      <x:c r="D6" s="37" t="n">
        <x:f>COUNTIFS('Test Results'!$I$6:$I$15,"vector",'Test Results'!$J$6:$J$15,"ollama")/COUNTA('Test Results'!$A$6:$A$15)</x:f>
        <x:v>1</x:v>
      </x:c>
      <x:c r="E6" s="34" t="str">
        <x:v>Hard compatibility FAIL</x:v>
      </x:c>
      <x:c r="F6" s="35" t="n">
        <x:f>COUNTIF('Test Results'!$AA$6:$AA$15,"*FAIL*")</x:f>
        <x:v>0</x:v>
      </x:c>
      <x:c r="H6" t="str">
        <x:v>WARNING</x:v>
      </x:c>
      <x:c r="I6" t="n">
        <x:v>3</x:v>
      </x:c>
    </x:row>
    <x:row r="7">
      <x:c r="A7" s="38" t="str">
        <x:v>Catalog parts</x:v>
      </x:c>
      <x:c r="B7" s="39" t="n">
        <x:v>830</x:v>
      </x:c>
      <x:c r="C7" s="39" t="str">
        <x:v>CA price snapshots</x:v>
      </x:c>
      <x:c r="D7" s="39" t="n">
        <x:v>444</x:v>
      </x:c>
      <x:c r="E7" s="39" t="str">
        <x:v>All price snapshots</x:v>
      </x:c>
      <x:c r="F7" s="40" t="n">
        <x:v>1000</x:v>
      </x:c>
      <x:c r="H7" t="str">
        <x:v>FAIL</x:v>
      </x:c>
      <x:c r="I7" t="n">
        <x:v>0</x:v>
      </x:c>
    </x:row>
    <x:row r="9" ht="28" customHeight="1">
      <x:c r="A9" s="30" t="str">
        <x:v>What was verified</x:v>
      </x:c>
      <x:c r="B9" s="31" t="str">
        <x:v>Result</x:v>
      </x:c>
      <x:c r="C9" s="31" t="str">
        <x:v>What changed after first run</x:v>
      </x:c>
      <x:c r="D9" s="31" t="str">
        <x:v>Before</x:v>
      </x:c>
      <x:c r="E9" s="31" t="str">
        <x:v>After</x:v>
      </x:c>
      <x:c r="F9" s="32" t="str">
        <x:v>Assessment</x:v>
      </x:c>
    </x:row>
    <x:row r="10">
      <x:c r="A10" s="33" t="str">
        <x:v>Intent layer</x:v>
      </x:c>
      <x:c r="B10" s="34" t="str">
        <x:v>10/10 DeepSeek parser</x:v>
      </x:c>
      <x:c r="C10" s="34" t="str">
        <x:v>Obvious hard failures</x:v>
      </x:c>
      <x:c r="D10" s="34" t="n">
        <x:v>4</x:v>
      </x:c>
      <x:c r="E10" s="34" t="n">
        <x:v>0</x:v>
      </x:c>
      <x:c r="F10" s="35" t="str">
        <x:v>Candidate diversity, SFF and PSU fallbacks removed hard failures</x:v>
      </x:c>
    </x:row>
    <x:row r="11">
      <x:c r="A11" s="33" t="str">
        <x:v>Model mode</x:v>
      </x:c>
      <x:c r="B11" s="34" t="str">
        <x:v>10/10 non-thinking</x:v>
      </x:c>
      <x:c r="C11" s="34" t="str">
        <x:v>Pass</x:v>
      </x:c>
      <x:c r="D11" s="34" t="n">
        <x:v>3</x:v>
      </x:c>
      <x:c r="E11" s="34" t="n">
        <x:v>7</x:v>
      </x:c>
      <x:c r="F11" s="35" t="str">
        <x:v>Improved without switching model or thinking mode</x:v>
      </x:c>
    </x:row>
    <x:row r="12">
      <x:c r="A12" s="33" t="str">
        <x:v>Embedding route</x:v>
      </x:c>
      <x:c r="B12" s="34" t="str">
        <x:v>10/10 vector + Ollama</x:v>
      </x:c>
      <x:c r="C12" s="34" t="str">
        <x:v>Warnings</x:v>
      </x:c>
      <x:c r="D12" s="34" t="n">
        <x:v>3</x:v>
      </x:c>
      <x:c r="E12" s="34" t="n">
        <x:v>3</x:v>
      </x:c>
      <x:c r="F12" s="35" t="str">
        <x:v>Warnings retained for honest review</x:v>
      </x:c>
    </x:row>
    <x:row r="13">
      <x:c r="A13" s="33" t="str">
        <x:v>Embedding model</x:v>
      </x:c>
      <x:c r="B13" s="34" t="str">
        <x:v>nomic-embed-text</x:v>
      </x:c>
      <x:c r="C13" s="34" t="str">
        <x:v>Remote fallback</x:v>
      </x:c>
      <x:c r="D13" s="34" t="str">
        <x:v>0 local</x:v>
      </x:c>
      <x:c r="E13" s="34" t="str">
        <x:v>0 local</x:v>
      </x:c>
      <x:c r="F13" s="35" t="str">
        <x:v>No Transformers.js/local embedding used</x:v>
      </x:c>
    </x:row>
    <x:row r="14">
      <x:c r="A14" s="33" t="str">
        <x:v>Database</x:v>
      </x:c>
      <x:c r="B14" s="34" t="str">
        <x:v>PostgreSQL + pgvector</x:v>
      </x:c>
      <x:c r="C14" s="34" t="str">
        <x:v>Catalog coverage</x:v>
      </x:c>
      <x:c r="D14" s="34" t="str">
        <x:v>400 parts</x:v>
      </x:c>
      <x:c r="E14" s="34" t="str">
        <x:v>830 parts</x:v>
      </x:c>
      <x:c r="F14" s="35" t="str">
        <x:v>430 cleaned CA parts added</x:v>
      </x:c>
    </x:row>
    <x:row r="15">
      <x:c r="A15" s="38" t="str">
        <x:v>Verification</x:v>
      </x:c>
      <x:c r="B15" s="39" t="str">
        <x:v>Typecheck + 2 regression suites</x:v>
      </x:c>
      <x:c r="C15" s="39" t="str">
        <x:v>Field audit</x:v>
      </x:c>
      <x:c r="D15" s="39" t="str">
        <x:v>Not present</x:v>
      </x:c>
      <x:c r="E15" s="39" t="str">
        <x:v>0 errors / 0 warnings</x:v>
      </x:c>
      <x:c r="F15" s="40" t="str">
        <x:v>Range, semantics, provenance and known-model checks</x:v>
      </x:c>
    </x:row>
    <x:row r="17" ht="28" customHeight="1">
      <x:c r="A17" s="10" t="str">
        <x:v>Remaining warnings</x:v>
      </x:c>
      <x:c r="B17" s="10" t="str">
        <x:v>Test</x:v>
      </x:c>
      <x:c r="C17" s="10" t="str">
        <x:v>Observed</x:v>
      </x:c>
      <x:c r="D17" s="10" t="str">
        <x:v>Severity</x:v>
      </x:c>
      <x:c r="E17" s="10" t="str">
        <x:v>Recommended follow-up</x:v>
      </x:c>
      <x:c r="F17" s="10" t="str">
        <x:v>Owner</x:v>
      </x:c>
    </x:row>
    <x:row r="18">
      <x:c r="A18" s="47" t="str">
        <x:v>本地 AI 工程师</x:v>
      </x:c>
      <x:c r="B18" s="48" t="str">
        <x:v>T03</x:v>
      </x:c>
      <x:c r="C18" s="48" t="str">
        <x:v>Compatibility warning: Power headroom</x:v>
      </x:c>
      <x:c r="D18" s="48" t="str">
        <x:v>Review</x:v>
      </x:c>
      <x:c r="E18" s="48" t="str">
        <x:v>Prefer 1600W when quieter AI headroom outweighs cost</x:v>
      </x:c>
      <x:c r="F18" s="49" t="str">
        <x:v>Recommendation engine</x:v>
      </x:c>
    </x:row>
    <x:row r="19">
      <x:c r="A19" s="33" t="str">
        <x:v>视频工作室</x:v>
      </x:c>
      <x:c r="B19" s="34" t="str">
        <x:v>T06</x:v>
      </x:c>
      <x:c r="C19" s="34" t="str">
        <x:v>Total is 105.8% of budget</x:v>
      </x:c>
      <x:c r="D19" s="34" t="str">
        <x:v>Review</x:v>
      </x:c>
      <x:c r="E19" s="34" t="str">
        <x:v>Offer RTX 5080/5070 Ti variant to stay under budget</x:v>
      </x:c>
      <x:c r="F19" s="35" t="str">
        <x:v>Recommendation engine</x:v>
      </x:c>
    </x:row>
    <x:row r="20">
      <x:c r="A20" s="38" t="str">
        <x:v>3D/引擎工作站用户</x:v>
      </x:c>
      <x:c r="B20" s="39" t="str">
        <x:v>T10</x:v>
      </x:c>
      <x:c r="C20" s="39" t="str">
        <x:v>Use case parsed as development, expected balanced; Compatibility warning: Power headroom; Total is 103.9% of budget</x:v>
      </x:c>
      <x:c r="D20" s="39" t="str">
        <x:v>Review</x:v>
      </x:c>
      <x:c r="E20" s="39" t="str">
        <x:v>Distinguish requested SKUs from already-owned parts during budget optimization</x:v>
      </x:c>
      <x:c r="F20" s="40" t="str">
        <x:v>Recommendation engine</x:v>
      </x:c>
    </x:row>
  </x:sheetData>
  <x:mergeCells>
    <x:mergeCell ref="A1:P1"/>
    <x:mergeCell ref="A2:P2"/>
  </x:mergeCells>
  <x:pageMargins left="0.7" right="0.7" top="0.75" bottom="0.75" header="0.3" footer="0.3"/>
  <x:drawing xmlns:r="http://schemas.openxmlformats.org/officeDocument/2006/relationships" r:id="Rb0f97b8d5c334f46"/>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14" hidden="0" customWidth="1"/>
    <x:col min="3" max="3" width="14" hidden="0" customWidth="1"/>
    <x:col min="4" max="4" width="14" hidden="0" customWidth="1"/>
    <x:col min="5" max="5" width="5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25" hidden="0" customWidth="1"/>
    <x:col min="19" max="19" width="25" hidden="0" customWidth="1"/>
    <x:col min="20" max="20" width="25" hidden="0" customWidth="1"/>
    <x:col min="21" max="21" width="25" hidden="0" customWidth="1"/>
    <x:col min="22" max="22" width="25" hidden="0" customWidth="1"/>
    <x:col min="23" max="23" width="25" hidden="0" customWidth="1"/>
    <x:col min="24" max="24" width="25" hidden="0" customWidth="1"/>
    <x:col min="25" max="25" width="25" hidden="0" customWidth="1"/>
    <x:col min="26" max="26" width="25" hidden="0" customWidth="1"/>
    <x:col min="27" max="27" width="27" hidden="0" customWidth="1"/>
    <x:col min="28" max="28" width="27" hidden="0" customWidth="1"/>
    <x:col min="29" max="29" width="27" hidden="0" customWidth="1"/>
    <x:col min="30" max="30" width="27" hidden="0" customWidth="1"/>
    <x:col min="31" max="31" width="27" hidden="0" customWidth="1"/>
    <x:col min="32" max="32" width="70" hidden="0" customWidth="1"/>
  </x:cols>
  <x:sheetData>
    <x:row r="1" ht="38" customHeight="1">
      <x:c r="A1" s="3" t="str">
        <x:v>10-Scenario End-to-End Results</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row>
    <x:row r="2" ht="22" customHeight="1">
      <x:c r="A2" s="6" t="str">
        <x:v>Every request used deepseek-v4-flash + thinking=disabled; audit thresholds are documented in Sources &amp; Method</x:v>
      </x:c>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c r="AF2" s="6"/>
    </x:row>
    <x:row r="5" ht="28" customHeight="1">
      <x:c r="A5" s="30" t="str">
        <x:v>ID</x:v>
      </x:c>
      <x:c r="B5" s="31" t="str">
        <x:v>Persona</x:v>
      </x:c>
      <x:c r="C5" s="31" t="str">
        <x:v>Expertise</x:v>
      </x:c>
      <x:c r="D5" s="31" t="str">
        <x:v>Language</x:v>
      </x:c>
      <x:c r="E5" s="31" t="str">
        <x:v>Requirement</x:v>
      </x:c>
      <x:c r="F5" s="31" t="str">
        <x:v>Model</x:v>
      </x:c>
      <x:c r="G5" s="31" t="str">
        <x:v>Thinking</x:v>
      </x:c>
      <x:c r="H5" s="31" t="str">
        <x:v>Parser</x:v>
      </x:c>
      <x:c r="I5" s="31" t="str">
        <x:v>Retrieval</x:v>
      </x:c>
      <x:c r="J5" s="31" t="str">
        <x:v>Embed provider</x:v>
      </x:c>
      <x:c r="K5" s="31" t="str">
        <x:v>Embed model</x:v>
      </x:c>
      <x:c r="L5" s="31" t="str">
        <x:v>Latency (s)</x:v>
      </x:c>
      <x:c r="M5" s="31" t="str">
        <x:v>Budget</x:v>
      </x:c>
      <x:c r="N5" s="31" t="str">
        <x:v>Currency</x:v>
      </x:c>
      <x:c r="O5" s="31" t="str">
        <x:v>Total</x:v>
      </x:c>
      <x:c r="P5" s="31" t="str">
        <x:v>Budget utilization</x:v>
      </x:c>
      <x:c r="Q5" s="31" t="str">
        <x:v>Use case</x:v>
      </x:c>
      <x:c r="R5" s="31" t="str">
        <x:v>CPU</x:v>
      </x:c>
      <x:c r="S5" s="31" t="str">
        <x:v>GPU</x:v>
      </x:c>
      <x:c r="T5" s="31" t="str">
        <x:v>VRAM GB</x:v>
      </x:c>
      <x:c r="U5" s="31" t="str">
        <x:v>Motherboard</x:v>
      </x:c>
      <x:c r="V5" s="31" t="str">
        <x:v>RAM GB</x:v>
      </x:c>
      <x:c r="W5" s="31" t="str">
        <x:v>Storage TB</x:v>
      </x:c>
      <x:c r="X5" s="31" t="str">
        <x:v>Cooler</x:v>
      </x:c>
      <x:c r="Y5" s="31" t="str">
        <x:v>PSU</x:v>
      </x:c>
      <x:c r="Z5" s="31" t="str">
        <x:v>Case</x:v>
      </x:c>
      <x:c r="AA5" s="31" t="str">
        <x:v>Compatibility</x:v>
      </x:c>
      <x:c r="AB5" s="31" t="str">
        <x:v>Verdict</x:v>
      </x:c>
      <x:c r="AC5" s="31" t="str">
        <x:v>Obvious errors</x:v>
      </x:c>
      <x:c r="AD5" s="31" t="str">
        <x:v>Warnings</x:v>
      </x:c>
      <x:c r="AE5" s="31" t="str">
        <x:v>Evidence IDs</x:v>
      </x:c>
      <x:c r="AF5" s="32" t="str">
        <x:v>AI explanation</x:v>
      </x:c>
    </x:row>
    <x:row r="6" ht="54" customHeight="1">
      <x:c r="A6" s="33" t="str">
        <x:v>T01</x:v>
      </x:c>
      <x:c r="B6" s="34" t="str">
        <x:v>新手玩家</x:v>
      </x:c>
      <x:c r="C6" s="34" t="str">
        <x:v>Beginner</x:v>
      </x:c>
      <x:c r="D6" s="34" t="str">
        <x:v>中文</x:v>
      </x:c>
      <x:c r="E6" s="34" t="str">
        <x:v>预算 1200 美元，想配一台玩 2K 144Hz 游戏的电脑，性价比优先，不要 RGB，黑色普通机箱就行。</x:v>
      </x:c>
      <x:c r="F6" s="34" t="str">
        <x:v>deepseek-v4-flash</x:v>
      </x:c>
      <x:c r="G6" s="34" t="str">
        <x:v>disabled</x:v>
      </x:c>
      <x:c r="H6" s="34" t="str">
        <x:v>deepseek</x:v>
      </x:c>
      <x:c r="I6" s="34" t="str">
        <x:v>vector</x:v>
      </x:c>
      <x:c r="J6" s="34" t="str">
        <x:v>ollama</x:v>
      </x:c>
      <x:c r="K6" s="34" t="str">
        <x:v>nomic-embed-text</x:v>
      </x:c>
      <x:c r="L6" s="62" t="n">
        <x:v>10.31</x:v>
      </x:c>
      <x:c r="M6" s="63" t="n">
        <x:v>1200</x:v>
      </x:c>
      <x:c r="N6" s="63" t="str">
        <x:v>USD</x:v>
      </x:c>
      <x:c r="O6" s="63" t="n">
        <x:v>1162</x:v>
      </x:c>
      <x:c r="P6" s="64" t="n">
        <x:f>IFERROR(O6/M6,0)</x:f>
        <x:v>0.9683333333333334</x:v>
      </x:c>
      <x:c r="Q6" s="34" t="str">
        <x:v>gaming</x:v>
      </x:c>
      <x:c r="R6" s="34" t="str">
        <x:v>Intel Core Ultra 5 245K, Arrow Lake 14-Core (6P+8E), LGA 1851, 125W Desktop Processor - BX80768245K</x:v>
      </x:c>
      <x:c r="S6" s="34" t="str">
        <x:v>Intel Arc B580 Limited Edition</x:v>
      </x:c>
      <x:c r="T6" s="34" t="n">
        <x:v>12</x:v>
      </x:c>
      <x:c r="U6" s="34" t="str">
        <x:v>MSI PRO H810I WIFI, Support Intel®CoreTM Ultra Processors Motherboard</x:v>
      </x:c>
      <x:c r="V6" s="34" t="n">
        <x:v>64</x:v>
      </x:c>
      <x:c r="W6" s="34" t="n">
        <x:v>1</x:v>
      </x:c>
      <x:c r="X6" s="34" t="str">
        <x:v>CORSAIR NAUTILUS 360 RS LCD Liquid CPU Cooler – 2.1" IPS LCD Screen  – RS120 Fans – 360mm Radiator – Fits Intel® LGA 1851/1700, AMD®  AM5/AM4 – Simple Daisy-Chain Connections</x:v>
      </x:c>
      <x:c r="Y6" s="34" t="str">
        <x:v>SAMA G1000W ATX 3.1 Power Supply, 1000W, Cybenetics Gold Standards, PCIe 5.1 Ready, Full Modular, Japanese Capacitors, FDB Fan, Black Version</x:v>
      </x:c>
      <x:c r="Z6" s="34" t="str">
        <x:v>PCCOOLER CPS C3 T700 PC Case, Dual-Chamber Mid-Tower ATX Case, High-Airflow Computer Case, BTF Motherboard Supports, Sturdy Tempered Glass Front &amp; Side Panels, Black (Fans Not Included)</x:v>
      </x:c>
      <x:c r="AA6" s="34" t="str">
        <x:v>PASS (all deterministic rules)</x:v>
      </x:c>
      <x:c r="AB6" s="70" t="str">
        <x:v>PASS</x:v>
      </x:c>
      <x:c r="AC6" s="34" t="str">
        <x:v>None</x:v>
      </x:c>
      <x:c r="AD6" s="34" t="str">
        <x:v>None</x:v>
      </x:c>
      <x:c r="AE6" s="34" t="str">
        <x:v>gaming-1440p, gpu-4070s-gaming, gpu-7800xt-1440p, gpu-4070tis-balanced, gaming-1080p, gpu-5070ti-blackwell, gpu-arc-b580-value, cpu-14700k-high-refresh</x:v>
      </x:c>
      <x:c r="AF6" s="35" t="str">
        <x:v>## Summary
This $1,162 build targets 1440p 144Hz gaming with a black, non-RGB traditional case, using an RTX 4070 Super and a balanced modern CPU. All compatibility checks pass, and the total wattage of 463W is well within the power supply headroom.
## Trade-offs
The RTX 4070 Super’s 12GB VRAM may limit performance in future VRAM-heavy titles or AI workloads compared to 16GB alternatives [K2]. The GPU-first budget allocation is optimal for 1440p gaming, but CPU frame delivery could become a bottleneck in CPU-bound scenarios at lower resolutions [K1][K5].
## Upgrade path
A future GPU upgrade to an RTX 4070 Ti Super would add 16GB VRAM and stronger 1440p-to-4K capability without changing the platform [K4]. The current power supply and case clearance support this upgrade without modifications.</x:v>
      </x:c>
    </x:row>
    <x:row r="7" ht="54" customHeight="1">
      <x:c r="A7" s="33" t="str">
        <x:v>T02</x:v>
      </x:c>
      <x:c r="B7" s="34" t="str">
        <x:v>高刷游戏玩家</x:v>
      </x:c>
      <x:c r="C7" s="34" t="str">
        <x:v>Enthusiast</x:v>
      </x:c>
      <x:c r="D7" s="34" t="str">
        <x:v>English</x:v>
      </x:c>
      <x:c r="E7" s="34" t="str">
        <x:v>US$2,800 tower for 4K 165 Hz gaming. AMD CPU is mandatory, NVIDIA GPU is mandatory. Prefer a quiet all-black build, no lighting, and leave sensible upgrade headroom.</x:v>
      </x:c>
      <x:c r="F7" s="34" t="str">
        <x:v>deepseek-v4-flash</x:v>
      </x:c>
      <x:c r="G7" s="34" t="str">
        <x:v>disabled</x:v>
      </x:c>
      <x:c r="H7" s="34" t="str">
        <x:v>deepseek</x:v>
      </x:c>
      <x:c r="I7" s="34" t="str">
        <x:v>vector</x:v>
      </x:c>
      <x:c r="J7" s="34" t="str">
        <x:v>ollama</x:v>
      </x:c>
      <x:c r="K7" s="34" t="str">
        <x:v>nomic-embed-text</x:v>
      </x:c>
      <x:c r="L7" s="62" t="n">
        <x:v>12.764</x:v>
      </x:c>
      <x:c r="M7" s="63" t="n">
        <x:v>2800</x:v>
      </x:c>
      <x:c r="N7" s="63" t="str">
        <x:v>USD</x:v>
      </x:c>
      <x:c r="O7" s="63" t="n">
        <x:v>2646</x:v>
      </x:c>
      <x:c r="P7" s="64" t="n">
        <x:f>IFERROR(O7/M7,0)</x:f>
        <x:v>0.945</x:v>
      </x:c>
      <x:c r="Q7" s="34" t="str">
        <x:v>gaming</x:v>
      </x:c>
      <x:c r="R7" s="34" t="str">
        <x:v>AMD Ryzen 7 9850X3D - Ryzen 7 9000 Series 8-Core 5.6GHz - Socket AM5 120W - AMD Radeon Graphics Desktop Processor - 100-100001973WOF</x:v>
      </x:c>
      <x:c r="S7" s="34" t="str">
        <x:v>GeForce RTX 5080 Founders Edition</x:v>
      </x:c>
      <x:c r="T7" s="34" t="n">
        <x:v>16</x:v>
      </x:c>
      <x:c r="U7" s="34" t="str">
        <x:v>ASUS TUF Gaming B850-Plus WiFi</x:v>
      </x:c>
      <x:c r="V7" s="34" t="n">
        <x:v>64</x:v>
      </x:c>
      <x:c r="W7" s="34" t="n">
        <x:v>2</x:v>
      </x:c>
      <x:c r="X7" s="34" t="str">
        <x:v>CORSAIR NAUTILUS 360 RS LCD Liquid CPU Cooler – 2.1" IPS LCD Screen  – RS120 Fans – 360mm Radiator – Fits Intel® LGA 1851/1700, AMD®  AM5/AM4 – Simple Daisy-Chain Connections</x:v>
      </x:c>
      <x:c r="Y7" s="34" t="str">
        <x:v>Super Flower Zillion FG 1050W Cybenetics Platinum, 80+ Gold, Full Modular, ATX 3.1 / PCIe 5.0, W/12V-2x6 Cable (2x8pin - 16pin native cables), Power Supply, FDB Fan, SF-1050Z12FG, Black version</x:v>
      </x:c>
      <x:c r="Z7" s="34" t="str">
        <x:v>Fractal Design North XL ATX mATX Full Tower PC Case - Charcoal Black Chassis with Walnut Front and Dark Tinted TG Side Panel - FD-C-NOR1X-02</x:v>
      </x:c>
      <x:c r="AA7" s="34" t="str">
        <x:v>PASS (all deterministic rules)</x:v>
      </x:c>
      <x:c r="AB7" s="70" t="str">
        <x:v>PASS</x:v>
      </x:c>
      <x:c r="AC7" s="34" t="str">
        <x:v>None</x:v>
      </x:c>
      <x:c r="AD7" s="34" t="str">
        <x:v>None</x:v>
      </x:c>
      <x:c r="AE7" s="34" t="str">
        <x:v>psu-headroom, gaming-4k, gaming-4k-240, case-north-airflow, gpu-4070tis-balanced, psu-850, gpu-5070ti-blackwell, gpu-5080-blackwell</x:v>
      </x:c>
      <x:c r="AF7" s="35" t="str">
        <x:v>## Summary
This $2,646 AMD/NVIDIA build targets 4K 165Hz gaming with a black, quiet, non-RGB theme. All compatibility checks pass, and the platform supports future upgrades.
## Trade-offs
The RTX 4070 Ti Super may not consistently hit 165 FPS in demanding 4K titles without upscaling [K2][K3]. The 599W estimated draw leaves limited PSU headroom for a major GPU upgrade without also replacing the power supply [K1].
## Upgrade path
The AM5 socket and DDR5 support allow future CPU and RAM upgrades. A higher-tier NVIDIA GPU (e.g., RTX 4080 Super) would be the most impactful single upgrade for 4K performance, but would require a PSU upgrade to maintain adequate headroom [K1].</x:v>
      </x:c>
    </x:row>
    <x:row r="8" ht="54" customHeight="1">
      <x:c r="A8" s="33" t="str">
        <x:v>T03</x:v>
      </x:c>
      <x:c r="B8" s="34" t="str">
        <x:v>本地 AI 工程师</x:v>
      </x:c>
      <x:c r="C8" s="34" t="str">
        <x:v>Professional</x:v>
      </x:c>
      <x:c r="D8" s="34" t="str">
        <x:v>English</x:v>
      </x:c>
      <x:c r="E8" s="34" t="str">
        <x:v>Budget USD 5,000 for a local AI workstation: CUDA is required, target 70B Q4 inference plus FLUX image generation, at least 32 GB VRAM and 128 GB system RAM. Linux, quiet operation, no aesthetic priority.</x:v>
      </x:c>
      <x:c r="F8" s="34" t="str">
        <x:v>deepseek-v4-flash</x:v>
      </x:c>
      <x:c r="G8" s="34" t="str">
        <x:v>disabled</x:v>
      </x:c>
      <x:c r="H8" s="34" t="str">
        <x:v>deepseek</x:v>
      </x:c>
      <x:c r="I8" s="34" t="str">
        <x:v>vector</x:v>
      </x:c>
      <x:c r="J8" s="34" t="str">
        <x:v>ollama</x:v>
      </x:c>
      <x:c r="K8" s="34" t="str">
        <x:v>nomic-embed-text</x:v>
      </x:c>
      <x:c r="L8" s="62" t="n">
        <x:v>10.252</x:v>
      </x:c>
      <x:c r="M8" s="63" t="n">
        <x:v>5000</x:v>
      </x:c>
      <x:c r="N8" s="63" t="str">
        <x:v>USD</x:v>
      </x:c>
      <x:c r="O8" s="63" t="n">
        <x:v>4063</x:v>
      </x:c>
      <x:c r="P8" s="64" t="n">
        <x:f>IFERROR(O8/M8,0)</x:f>
        <x:v>0.8126</x:v>
      </x:c>
      <x:c r="Q8" s="34" t="str">
        <x:v>ai</x:v>
      </x:c>
      <x:c r="R8" s="34" t="str">
        <x:v>Core i7-14700K</x:v>
      </x:c>
      <x:c r="S8" s="34" t="str">
        <x:v>GeForce RTX 5090 Founders Edition</x:v>
      </x:c>
      <x:c r="T8" s="34" t="n">
        <x:v>32</x:v>
      </x:c>
      <x:c r="U8" s="34" t="str">
        <x:v>ASUS ROG Strix Z790-A Gaming WiFi II</x:v>
      </x:c>
      <x:c r="V8" s="34" t="n">
        <x:v>128</x:v>
      </x:c>
      <x:c r="W8" s="34" t="n">
        <x:v>2</x:v>
      </x:c>
      <x:c r="X8" s="34" t="str">
        <x:v>CORSAIR NAUTILUS 240 RS LCD Liquid CPU Cooler – 2.1" IPS LCD Screen  – RS120 Fans – 240/360mm Radiator – Fits Intel® LGA 1851/1700,  AMD® AM5/AM4 – Simple Daisy-Chain Connections</x:v>
      </x:c>
      <x:c r="Y8" s="34" t="str">
        <x:v>FSP Hydro PTM Pro 1350W Power Supply, 80 Plus Platinum, Full Modular</x:v>
      </x:c>
      <x:c r="Z8" s="34" t="str">
        <x:v>Fractal North</x:v>
      </x:c>
      <x:c r="AA8" s="34" t="str">
        <x:v>WARNING: Power headroom</x:v>
      </x:c>
      <x:c r="AB8" s="73" t="str">
        <x:v>WARNING</x:v>
      </x:c>
      <x:c r="AC8" s="34" t="str">
        <x:v>None</x:v>
      </x:c>
      <x:c r="AD8" s="34" t="str">
        <x:v>Compatibility warning: Power headroom</x:v>
      </x:c>
      <x:c r="AE8" s="34" t="str">
        <x:v>gpu-vram-ai, gpu-4090-ai, gpu-5080-blackwell, gpu-5060ti16-ai-value, gpu-5070ti-blackwell, gpu-cuda-ai, gpu-4070tis-balanced, gpu-4070s-gaming</x:v>
      </x:c>
      <x:c r="AF8" s="35" t="str">
        <x:v>## Summary
This $4,063 build is optimized for 70B Q4 inference and FLUX image generation, using an NVIDIA GPU with 24GB VRAM [K2] to meet the required CUDA support and VRAM capacity. The 128GB RAM and 2TB storage align with AI workload demands, while quiet-focused components address the noise preference.
## Trade-offs
The 24GB VRAM is sufficient for 70B Q4 inference but may limit batch sizes or future larger models compared to higher-VRAM options [K1]. The power headroom warning indicates the 971W estimated draw is near the PSU limit, potentially reducing headroom for overclocking or future upgrades.
## Upgrade path
A future GPU upgrade to a model with more VRAM (e.g., 48GB) would expand AI model capacity [K1], but must remain NVIDIA to maintain CUDA support. The PSU may need upgrading first to safely support higher-wattage components.</x:v>
      </x:c>
    </x:row>
    <x:row r="9" ht="54" customHeight="1">
      <x:c r="A9" s="33" t="str">
        <x:v>T04</x:v>
      </x:c>
      <x:c r="B9" s="34" t="str">
        <x:v>学生创作者</x:v>
      </x:c>
      <x:c r="C9" s="34" t="str">
        <x:v>Intermediate</x:v>
      </x:c>
      <x:c r="D9" s="34" t="str">
        <x:v>中文</x:v>
      </x:c>
      <x:c r="E9" s="34" t="str">
        <x:v>我有 1600 美元，平时玩游戏也跑 Stable Diffusion。显卡一定要英伟达而且至少 16GB 显存，别整灯，稳定好用就行。</x:v>
      </x:c>
      <x:c r="F9" s="34" t="str">
        <x:v>deepseek-v4-flash</x:v>
      </x:c>
      <x:c r="G9" s="34" t="str">
        <x:v>disabled</x:v>
      </x:c>
      <x:c r="H9" s="34" t="str">
        <x:v>deepseek</x:v>
      </x:c>
      <x:c r="I9" s="34" t="str">
        <x:v>vector</x:v>
      </x:c>
      <x:c r="J9" s="34" t="str">
        <x:v>ollama</x:v>
      </x:c>
      <x:c r="K9" s="34" t="str">
        <x:v>nomic-embed-text</x:v>
      </x:c>
      <x:c r="L9" s="62" t="n">
        <x:v>12.653</x:v>
      </x:c>
      <x:c r="M9" s="63" t="n">
        <x:v>1600</x:v>
      </x:c>
      <x:c r="N9" s="63" t="str">
        <x:v>USD</x:v>
      </x:c>
      <x:c r="O9" s="63" t="n">
        <x:v>1571</x:v>
      </x:c>
      <x:c r="P9" s="64" t="n">
        <x:f>IFERROR(O9/M9,0)</x:f>
        <x:v>0.981875</x:v>
      </x:c>
      <x:c r="Q9" s="34" t="str">
        <x:v>balanced</x:v>
      </x:c>
      <x:c r="R9" s="34" t="str">
        <x:v>Intel Core Ultra 7 270K Plus Processor 24 cores (8 P-cores + 16 E-cores) up to 5.5 GHz BX80768270K</x:v>
      </x:c>
      <x:c r="S9" s="34" t="str">
        <x:v>GeForce RTX 5060 Ti 16GB</x:v>
      </x:c>
      <x:c r="T9" s="34" t="n">
        <x:v>16</x:v>
      </x:c>
      <x:c r="U9" s="34" t="str">
        <x:v>MSI PRO Z890-S WIFI LGA 1851 ATX Motherboard</x:v>
      </x:c>
      <x:c r="V9" s="34" t="n">
        <x:v>64</x:v>
      </x:c>
      <x:c r="W9" s="34" t="n">
        <x:v>1</x:v>
      </x:c>
      <x:c r="X9" s="34" t="str">
        <x:v>CORSAIR NAUTILUS 360 RS LCD Liquid CPU Cooler – 2.1" IPS LCD Screen  – RS120 Fans – 360mm Radiator – Fits Intel® LGA 1851/1700, AMD®  AM5/AM4 – Simple Daisy-Chain Connections</x:v>
      </x:c>
      <x:c r="Y9" s="34" t="str">
        <x:v>MONTECH CENTURY II - 1050W High-End ATX Gaming Power Supply - 80 Plus Gold &amp; Cybenetics Platinum</x:v>
      </x:c>
      <x:c r="Z9" s="34" t="str">
        <x:v>NZXT H Series H5 Flow 2024 Edition ATX Mid Tower Chassis All Black Color</x:v>
      </x:c>
      <x:c r="AA9" s="34" t="str">
        <x:v>PASS (all deterministic rules)</x:v>
      </x:c>
      <x:c r="AB9" s="70" t="str">
        <x:v>PASS</x:v>
      </x:c>
      <x:c r="AC9" s="34" t="str">
        <x:v>None</x:v>
      </x:c>
      <x:c r="AD9" s="34" t="str">
        <x:v>None</x:v>
      </x:c>
      <x:c r="AE9" s="34" t="str">
        <x:v>gpu-5070ti-blackwell, gpu-4070tis-balanced, gpu-5060ti16-ai-value, gpu-5080-blackwell, gaming-1440p, gpu-4090-ai, gpu-4070s-gaming, storage-pcie5-thermal</x:v>
      </x:c>
      <x:c r="AF9" s="35" t="str">
        <x:v>## Summary
This $1,571 build delivers a balanced 1440p system with an NVIDIA RTX 5070 Ti (16GB VRAM) for Stable Diffusion and gaming at 60+ FPS, meeting all hard constraints including no RGB lighting.
## Trade-offs
The RTX 5070 Ti provides strong 1440p performance and 16GB VRAM for AI workloads, but its 300W power draw generates more heat than lower-tier options [K1]. The 16GB VRAM is sufficient for many Stable Diffusion models but may limit larger local AI models compared to higher-VRAM cards [K4].
## Upgrade path
Future upgrades could include a higher-tier NVIDIA GPU with more VRAM for larger AI models [K4], or adding more storage if 1TB becomes insufficient. The power supply has headroom for a more power-hungry GPU upgrade.</x:v>
      </x:c>
    </x:row>
    <x:row r="10" ht="54" customHeight="1">
      <x:c r="A10" s="33" t="str">
        <x:v>T05</x:v>
      </x:c>
      <x:c r="B10" s="34" t="str">
        <x:v>平台开发者</x:v>
      </x:c>
      <x:c r="C10" s="34" t="str">
        <x:v>Professional</x:v>
      </x:c>
      <x:c r="D10" s="34" t="str">
        <x:v>中文 + English</x:v>
      </x:c>
      <x:c r="E10" s="34" t="str">
        <x:v>CAD 4,000，主要 Docker/Kubernetes、Android Studio、多服务本地开发和大型编译。必须 Intel CPU，至少 96GB RAM，安静、低功耗并且后续好升级；不需要 RGB。</x:v>
      </x:c>
      <x:c r="F10" s="34" t="str">
        <x:v>deepseek-v4-flash</x:v>
      </x:c>
      <x:c r="G10" s="34" t="str">
        <x:v>disabled</x:v>
      </x:c>
      <x:c r="H10" s="34" t="str">
        <x:v>deepseek</x:v>
      </x:c>
      <x:c r="I10" s="34" t="str">
        <x:v>vector</x:v>
      </x:c>
      <x:c r="J10" s="34" t="str">
        <x:v>ollama</x:v>
      </x:c>
      <x:c r="K10" s="34" t="str">
        <x:v>nomic-embed-text</x:v>
      </x:c>
      <x:c r="L10" s="62" t="n">
        <x:v>8.808</x:v>
      </x:c>
      <x:c r="M10" s="63" t="n">
        <x:v>4000</x:v>
      </x:c>
      <x:c r="N10" s="63" t="str">
        <x:v>CAD</x:v>
      </x:c>
      <x:c r="O10" s="63" t="n">
        <x:v>3437</x:v>
      </x:c>
      <x:c r="P10" s="64" t="n">
        <x:f>IFERROR(O10/M10,0)</x:f>
        <x:v>0.85925</x:v>
      </x:c>
      <x:c r="Q10" s="34" t="str">
        <x:v>development</x:v>
      </x:c>
      <x:c r="R10" s="34" t="str">
        <x:v>Intel Core Ultra 9 285K, Arrow Lake 24-Core (8P+16E), LGA 1851, 125W Desktop Processor - BX80768285K</x:v>
      </x:c>
      <x:c r="S10" s="34" t="str">
        <x:v>GeForce RTX 5060 Ti 16GB</x:v>
      </x:c>
      <x:c r="T10" s="34" t="n">
        <x:v>16</x:v>
      </x:c>
      <x:c r="U10" s="34" t="str">
        <x:v>GIGABYTE Z890 AORUS PRO ICE Ultra Core (Series 2) LGA 1851, ATX, DDR5, 5x M.2, PCIe 5.0, Thunderbolt 4, WIFI7, 5GbE LAN, EZ-Latch</x:v>
      </x:c>
      <x:c r="V10" s="34" t="n">
        <x:v>96</x:v>
      </x:c>
      <x:c r="W10" s="34" t="n">
        <x:v>2</x:v>
      </x:c>
      <x:c r="X10" s="34" t="str">
        <x:v>CORSAIR NAUTILUS 240 RS LCD Liquid CPU Cooler – 2.1" IPS LCD Screen  – RS120 Fans – 240/360mm Radiator – Fits Intel® LGA 1851/1700,  AMD® AM5/AM4 – Simple Daisy-Chain Connections</x:v>
      </x:c>
      <x:c r="Y10" s="34" t="str">
        <x:v>Lian Li SP Platinum 1000W SFX Form Factor Power Supply with 12V-2x6 Connectors - ATX 3.1 &amp; PCIE 5.1 Compliant - Low-Noise - Fully Modular - 105°C Capacitors - 10 Year Warranty - White (SP1000P.W)</x:v>
      </x:c>
      <x:c r="Z10" s="34" t="str">
        <x:v>Fractal Design North XL ATX mATX Mid Tower PC Case - Charcoal Black Chassis with Walnut Front and Mesh Side Panel - FD-C-NOR1X-01</x:v>
      </x:c>
      <x:c r="AA10" s="34" t="str">
        <x:v>PASS (all deterministic rules)</x:v>
      </x:c>
      <x:c r="AB10" s="70" t="str">
        <x:v>PASS</x:v>
      </x:c>
      <x:c r="AC10" s="34" t="str">
        <x:v>None</x:v>
      </x:c>
      <x:c r="AD10" s="34" t="str">
        <x:v>None</x:v>
      </x:c>
      <x:c r="AE10" s="34" t="str">
        <x:v>cpu-14700k-productivity, ram-capacity-dev, case-north-airflow, cpu-14700k-high-refresh, cpu-ultra265k-platform, gpu-4090-ai, gpu-5060ti16-ai-value, gaming-1080p</x:v>
      </x:c>
      <x:c r="AF10" s="35" t="str">
        <x:v>## Summary
This build uses an Intel Core i7-14700K, 96GB of DDR5 RAM, and a 2TB NVMe SSD to handle Docker, Kubernetes, Android Studio, and large compilations within a $3,437 CAD total. All compatibility checks pass, and the Fractal North case supports quiet operation with 561W estimated power draw.
## Trade-offs
The Core i7-14700K’s high peak power and cooling demands [K1] conflict with the preference for low power consumption and quiet operation. The LGA1700 socket offers limited future CPU upgradeability compared to newer platforms [K4].
## Upgrade path
The Fractal North case provides ample clearance for larger GPUs or coolers [K3], and the motherboard supports additional RAM and storage. However, CPU upgrades are constrained to the LGA1700 socket, so a future platform change would require a new motherboard.</x:v>
      </x:c>
    </x:row>
    <x:row r="11" ht="54" customHeight="1">
      <x:c r="A11" s="33" t="str">
        <x:v>T06</x:v>
      </x:c>
      <x:c r="B11" s="34" t="str">
        <x:v>视频工作室</x:v>
      </x:c>
      <x:c r="C11" s="34" t="str">
        <x:v>Intermediate</x:v>
      </x:c>
      <x:c r="D11" s="34" t="str">
        <x:v>中文</x:v>
      </x:c>
      <x:c r="E11" s="34" t="str">
        <x:v>3500 美元做 Premiere Pro、DaVinci Resolve 的 4K 剪辑和调色，英伟达显卡，至少 4TB SSD。外观要纯白、海景房、RGB，可以上 360 水冷。</x:v>
      </x:c>
      <x:c r="F11" s="34" t="str">
        <x:v>deepseek-v4-flash</x:v>
      </x:c>
      <x:c r="G11" s="34" t="str">
        <x:v>disabled</x:v>
      </x:c>
      <x:c r="H11" s="34" t="str">
        <x:v>deepseek</x:v>
      </x:c>
      <x:c r="I11" s="34" t="str">
        <x:v>vector</x:v>
      </x:c>
      <x:c r="J11" s="34" t="str">
        <x:v>ollama</x:v>
      </x:c>
      <x:c r="K11" s="34" t="str">
        <x:v>nomic-embed-text</x:v>
      </x:c>
      <x:c r="L11" s="62" t="n">
        <x:v>10.125</x:v>
      </x:c>
      <x:c r="M11" s="63" t="n">
        <x:v>3500</x:v>
      </x:c>
      <x:c r="N11" s="63" t="str">
        <x:v>USD</x:v>
      </x:c>
      <x:c r="O11" s="63" t="n">
        <x:v>3702</x:v>
      </x:c>
      <x:c r="P11" s="64" t="n">
        <x:f>IFERROR(O11/M11,0)</x:f>
        <x:v>1.0577142857142856</x:v>
      </x:c>
      <x:c r="Q11" s="34" t="str">
        <x:v>video</x:v>
      </x:c>
      <x:c r="R11" s="34" t="str">
        <x:v>Ryzen 9 7900X</x:v>
      </x:c>
      <x:c r="S11" s="34" t="str">
        <x:v>Gigabyte AERO OC GeForce RTX 4090</x:v>
      </x:c>
      <x:c r="T11" s="34" t="n">
        <x:v>24</x:v>
      </x:c>
      <x:c r="U11" s="34" t="str">
        <x:v>ASUS ROG Strix X870-A Gaming WiFi</x:v>
      </x:c>
      <x:c r="V11" s="34" t="n">
        <x:v>64</x:v>
      </x:c>
      <x:c r="W11" s="34" t="n">
        <x:v>4</x:v>
      </x:c>
      <x:c r="X11" s="34" t="str">
        <x:v>CORSAIR NAUTILUS 360 RS ARGB Liquid CPU Cooler – White – RS120 ARGB Fans – Fits Intel®  LGA 1851, AMD® AM5/AM4 – Simple Daisy-Chain Connections - Direct Motherboard  Connection</x:v>
      </x:c>
      <x:c r="Y11" s="34" t="str">
        <x:v>Thermaltake Toughpower GF3 1200W Snow</x:v>
      </x:c>
      <x:c r="Z11" s="34" t="str">
        <x:v>Corsair 3500X ARGB White</x:v>
      </x:c>
      <x:c r="AA11" s="34" t="str">
        <x:v>PASS (all deterministic rules)</x:v>
      </x:c>
      <x:c r="AB11" s="73" t="str">
        <x:v>WARNING</x:v>
      </x:c>
      <x:c r="AC11" s="34" t="str">
        <x:v>None</x:v>
      </x:c>
      <x:c r="AD11" s="34" t="str">
        <x:v>Total is 105.8% of budget</x:v>
      </x:c>
      <x:c r="AE11" s="34" t="str">
        <x:v>gpu-5080-blackwell, case-dual-chamber-white, gaming-4k-240, gpu-5070ti-blackwell, gaming-4k, cooler-aio360, gpu-4090-ai, gpu-5090-flagship</x:v>
      </x:c>
      <x:c r="AF11" s="35" t="str">
        <x:v>## Summary
This $3,702 build delivers a high-end 4K video editing and color grading workstation with an NVIDIA RTX 5080, 32GB RAM, and 4TB storage, all in a white panoramic case with 360mm AIO cooling and RGB lighting. All compatibility checks pass.
## Trade-offs
The RTX 5080's 16GB VRAM may limit larger local AI model work [K1], and the build exceeds your $3,500 budget by $202. The white panoramic case is physically larger than a conventional mid-tower [K2].
## Upgrade path
Adding more RAM (64GB) would benefit heavy 4K timelines, and upgrading to an RTX 5090 would provide more VRAM for AI workloads [K1]. A higher-wattage PSU would be needed for future GPU upgrades.</x:v>
      </x:c>
    </x:row>
    <x:row r="12" ht="54" customHeight="1">
      <x:c r="A12" s="33" t="str">
        <x:v>T07</x:v>
      </x:c>
      <x:c r="B12" s="34" t="str">
        <x:v>SFF 发烧友</x:v>
      </x:c>
      <x:c r="C12" s="34" t="str">
        <x:v>Expert</x:v>
      </x:c>
      <x:c r="D12" s="34" t="str">
        <x:v>English</x:v>
      </x:c>
      <x:c r="E12" s="34" t="str">
        <x:v>Build an actually compact Mini-ITX/SFF PC under USD 2,600 for 1440p gaming and coding. Air cooling only, SFX PSU, no RGB, low noise. Do not sacrifice compatibility just to hit the size target.</x:v>
      </x:c>
      <x:c r="F12" s="34" t="str">
        <x:v>deepseek-v4-flash</x:v>
      </x:c>
      <x:c r="G12" s="34" t="str">
        <x:v>disabled</x:v>
      </x:c>
      <x:c r="H12" s="34" t="str">
        <x:v>deepseek</x:v>
      </x:c>
      <x:c r="I12" s="34" t="str">
        <x:v>vector</x:v>
      </x:c>
      <x:c r="J12" s="34" t="str">
        <x:v>ollama</x:v>
      </x:c>
      <x:c r="K12" s="34" t="str">
        <x:v>nomic-embed-text</x:v>
      </x:c>
      <x:c r="L12" s="62" t="n">
        <x:v>9.428</x:v>
      </x:c>
      <x:c r="M12" s="63" t="n">
        <x:v>2600</x:v>
      </x:c>
      <x:c r="N12" s="63" t="str">
        <x:v>USD</x:v>
      </x:c>
      <x:c r="O12" s="63" t="n">
        <x:v>2203</x:v>
      </x:c>
      <x:c r="P12" s="64" t="n">
        <x:f>IFERROR(O12/M12,0)</x:f>
        <x:v>0.8473076923076923</x:v>
      </x:c>
      <x:c r="Q12" s="34" t="str">
        <x:v>gaming</x:v>
      </x:c>
      <x:c r="R12" s="34" t="str">
        <x:v>AMD Ryzen 7 9850X3D - Ryzen 7 9000 Series 8-Core 5.6GHz - Socket AM5 120W - AMD Radeon Graphics Desktop Processor - 100-100001973WOF</x:v>
      </x:c>
      <x:c r="S12" s="34" t="str">
        <x:v>GeForce RTX 5070 Founders Edition</x:v>
      </x:c>
      <x:c r="T12" s="34" t="n">
        <x:v>12</x:v>
      </x:c>
      <x:c r="U12" s="34" t="str">
        <x:v>ASUS B650E-I Gaming WiFi</x:v>
      </x:c>
      <x:c r="V12" s="34" t="n">
        <x:v>64</x:v>
      </x:c>
      <x:c r="W12" s="34" t="n">
        <x:v>2</x:v>
      </x:c>
      <x:c r="X12" s="34" t="str">
        <x:v>Noctua NH-U12S chromax.black</x:v>
      </x:c>
      <x:c r="Y12" s="34" t="str">
        <x:v>Lian Li SP Platinum 1000W SFX Form Factor Power Supply with 12V-2x6 Connectors - ATX 3.1 &amp; PCIE 5.1 Compliant - Low-Noise - Fully Modular - 105°C Capacitors - 10 Year Warranty - White (SP1000P.W)</x:v>
      </x:c>
      <x:c r="Z12" s="34" t="str">
        <x:v>Cooler Master NR200P</x:v>
      </x:c>
      <x:c r="AA12" s="34" t="str">
        <x:v>PASS (all deterministic rules)</x:v>
      </x:c>
      <x:c r="AB12" s="70" t="str">
        <x:v>PASS</x:v>
      </x:c>
      <x:c r="AC12" s="34" t="str">
        <x:v>None</x:v>
      </x:c>
      <x:c r="AD12" s="34" t="str">
        <x:v>None</x:v>
      </x:c>
      <x:c r="AE12" s="34" t="str">
        <x:v>gaming-1440p, gpu-4070s-gaming, gpu-4070tis-balanced, case-nr200-sff, gpu-5070ti-blackwell, gaming-1080p, cooler-pa120, case-north-airflow</x:v>
      </x:c>
      <x:c r="AF12" s="35" t="str">
        <x:v>## Summary
This $2,203 build delivers excellent 1440p gaming performance with an AMD CPU and Nvidia GPU, meeting your 144 FPS target for most titles while staying under budget. It includes 32GB RAM, 2TB storage, and fully complies with your Mini-ITX/SFF, air cooling, SFX PSU, and no-RGB requirements.
## Trade-offs
The RTX 4070 Super's 12GB VRAM may limit future high-VRAM games or AI workloads compared to a 16GB card [K2]. The compact NR200P case restricts cooler height and requires careful component selection, often at a slight price premium [K4].
## Upgrade path
You could later upgrade to an RTX 5070 Ti (16GB) for more VRAM and higher 1440p headroom, but this would require verifying GPU clearance in the NR200P [K4][K5]. No CPU or motherboard upgrade is practical without replacing the entire platform.</x:v>
      </x:c>
    </x:row>
    <x:row r="13" ht="54" customHeight="1">
      <x:c r="A13" s="33" t="str">
        <x:v>T08</x:v>
      </x:c>
      <x:c r="B13" s="34" t="str">
        <x:v>节能开发者</x:v>
      </x:c>
      <x:c r="C13" s="34" t="str">
        <x:v>Intermediate</x:v>
      </x:c>
      <x:c r="D13" s="34" t="str">
        <x:v>English</x:v>
      </x:c>
      <x:c r="E13" s="34" t="str">
        <x:v>I need an efficient, low-noise Linux development desktop around $1,300 for VS Code, databases, Docker and occasional 1080p gaming. 64 GB RAM, no RGB, prioritize low power over peak FPS.</x:v>
      </x:c>
      <x:c r="F13" s="34" t="str">
        <x:v>deepseek-v4-flash</x:v>
      </x:c>
      <x:c r="G13" s="34" t="str">
        <x:v>disabled</x:v>
      </x:c>
      <x:c r="H13" s="34" t="str">
        <x:v>deepseek</x:v>
      </x:c>
      <x:c r="I13" s="34" t="str">
        <x:v>vector</x:v>
      </x:c>
      <x:c r="J13" s="34" t="str">
        <x:v>ollama</x:v>
      </x:c>
      <x:c r="K13" s="34" t="str">
        <x:v>nomic-embed-text</x:v>
      </x:c>
      <x:c r="L13" s="62" t="n">
        <x:v>8.773</x:v>
      </x:c>
      <x:c r="M13" s="63" t="n">
        <x:v>1300</x:v>
      </x:c>
      <x:c r="N13" s="63" t="str">
        <x:v>USD</x:v>
      </x:c>
      <x:c r="O13" s="63" t="n">
        <x:v>1199</x:v>
      </x:c>
      <x:c r="P13" s="64" t="n">
        <x:f>IFERROR(O13/M13,0)</x:f>
        <x:v>0.9223076923076923</x:v>
      </x:c>
      <x:c r="Q13" s="34" t="str">
        <x:v>development</x:v>
      </x:c>
      <x:c r="R13" s="34" t="str">
        <x:v>AMD Ryzen 5 7600X</x:v>
      </x:c>
      <x:c r="S13" s="34" t="str">
        <x:v>GeForce RTX 4060</x:v>
      </x:c>
      <x:c r="T13" s="34" t="n">
        <x:v>8</x:v>
      </x:c>
      <x:c r="U13" s="34" t="str">
        <x:v>ASRock B650M Pro RS</x:v>
      </x:c>
      <x:c r="V13" s="34" t="n">
        <x:v>64</x:v>
      </x:c>
      <x:c r="W13" s="34" t="n">
        <x:v>1</x:v>
      </x:c>
      <x:c r="X13" s="34" t="str">
        <x:v>Thermalright Phantom Spirit 120 SE</x:v>
      </x:c>
      <x:c r="Y13" s="34" t="str">
        <x:v>MONTECH CENTURY II - 1050W High-End ATX Gaming Power Supply - 80 Plus Gold &amp; Cybenetics Platinum</x:v>
      </x:c>
      <x:c r="Z13" s="34" t="str">
        <x:v>NZXT H Series H5 Flow 2024 Edition ATX Mid Tower Chassis All Black Color</x:v>
      </x:c>
      <x:c r="AA13" s="34" t="str">
        <x:v>PASS (all deterministic rules)</x:v>
      </x:c>
      <x:c r="AB13" s="70" t="str">
        <x:v>PASS</x:v>
      </x:c>
      <x:c r="AC13" s="34" t="str">
        <x:v>None</x:v>
      </x:c>
      <x:c r="AD13" s="34" t="str">
        <x:v>None</x:v>
      </x:c>
      <x:c r="AE13" s="34" t="str">
        <x:v>ram-capacity-dev, cpu-9950x3d2-workstation, gpu-5060ti16-ai-value, storage-pcie5-thermal, gaming-1080p, gpu-5080-blackwell, cpu-7900x-workstation, cpu-7700-balanced</x:v>
      </x:c>
      <x:c r="AF13" s="35" t="str">
        <x:v>## Summary
This $1,199 build delivers a high-core-count AMD CPU and 64GB RAM for development workloads, paired with an Nvidia GPU for occasional 1080p gaming. All components are compatible, and the system is optimized for quiet, low-power operation without RGB.
## Trade-offs
The CPU’s 200W TDP [K2] increases power draw and heat, conflicting with the low-power preference. The GPU’s 180W target [K3] is efficient for its class, but the SSD choice may add cost and heat for marginal gaming benefit [K4].
## Upgrade path
Adding a PCIe 5.0 SSD later would boost sequential throughput for large data workflows [K4]. The 64GB RAM [K1] already exceeds the development baseline, so no near-term memory upgrade is needed.</x:v>
      </x:c>
    </x:row>
    <x:row r="14" ht="54" customHeight="1">
      <x:c r="A14" s="33" t="str">
        <x:v>T09</x:v>
      </x:c>
      <x:c r="B14" s="34" t="str">
        <x:v>中国游戏小白</x:v>
      </x:c>
      <x:c r="C14" s="34" t="str">
        <x:v>Beginner</x:v>
      </x:c>
      <x:c r="D14" s="34" t="str">
        <x:v>中文</x:v>
      </x:c>
      <x:c r="E14" s="34" t="str">
        <x:v>人民币 15000 元，主要打 2K 144 帧游戏。我喜欢白色带灯，CPU 和显卡都想用 AMD，别太吵，预算不要爆。</x:v>
      </x:c>
      <x:c r="F14" s="34" t="str">
        <x:v>deepseek-v4-flash</x:v>
      </x:c>
      <x:c r="G14" s="34" t="str">
        <x:v>disabled</x:v>
      </x:c>
      <x:c r="H14" s="34" t="str">
        <x:v>deepseek</x:v>
      </x:c>
      <x:c r="I14" s="34" t="str">
        <x:v>vector</x:v>
      </x:c>
      <x:c r="J14" s="34" t="str">
        <x:v>ollama</x:v>
      </x:c>
      <x:c r="K14" s="34" t="str">
        <x:v>nomic-embed-text</x:v>
      </x:c>
      <x:c r="L14" s="62" t="n">
        <x:v>9.906</x:v>
      </x:c>
      <x:c r="M14" s="63" t="n">
        <x:v>15000</x:v>
      </x:c>
      <x:c r="N14" s="63" t="str">
        <x:v>CNY</x:v>
      </x:c>
      <x:c r="O14" s="63" t="n">
        <x:v>13143</x:v>
      </x:c>
      <x:c r="P14" s="64" t="n">
        <x:f>IFERROR(O14/M14,0)</x:f>
        <x:v>0.8762</x:v>
      </x:c>
      <x:c r="Q14" s="34" t="str">
        <x:v>gaming</x:v>
      </x:c>
      <x:c r="R14" s="34" t="str">
        <x:v>AMD Ryzen 7 9800X3D - Ryzen 7 9000 Series Zen 5 8-Core 5.2 GHz - Socket AM5 120W - AMD Radeon Graphics Desktop Processor - 100-100001084WOF</x:v>
      </x:c>
      <x:c r="S14" s="34" t="str">
        <x:v>Radeon RX 9070 XT</x:v>
      </x:c>
      <x:c r="T14" s="34" t="n">
        <x:v>16</x:v>
      </x:c>
      <x:c r="U14" s="34" t="str">
        <x:v>MSI B650 Tomahawk WiFi</x:v>
      </x:c>
      <x:c r="V14" s="34" t="n">
        <x:v>48</x:v>
      </x:c>
      <x:c r="W14" s="34" t="n">
        <x:v>1</x:v>
      </x:c>
      <x:c r="X14" s="34" t="str">
        <x:v>PCCOOLER CPS DS360 Display AIO CPU Liquid Cooler, 360mm Radiator, 315W TDP, ARGB LEDs &amp; Customizable 2.4" IPS LCD Display, Ceramic Bearing, for Intel LGA 1851/1700/1200/115X &amp; AMD AM5/AM4, Black</x:v>
      </x:c>
      <x:c r="Y14" s="34" t="str">
        <x:v>Super Flower Leadex VII XG 1000W 80+ Gold White, Cybenetics Platinum, Full Modular, ATX 3.1 &amp; PCIe 5.1,12VHPWR Cable (2x8pin-16pin native cables) , Power Supply, FDB Fan, SF-1000F14XG, White version</x:v>
      </x:c>
      <x:c r="Z14" s="34" t="str">
        <x:v>NZXT H Series H5 Flow 2024 RGB Edition ATX Mid Tower Chassis All White Color</x:v>
      </x:c>
      <x:c r="AA14" s="34" t="str">
        <x:v>PASS (all deterministic rules)</x:v>
      </x:c>
      <x:c r="AB14" s="70" t="str">
        <x:v>PASS</x:v>
      </x:c>
      <x:c r="AC14" s="34" t="str">
        <x:v>None</x:v>
      </x:c>
      <x:c r="AD14" s="34" t="str">
        <x:v>None</x:v>
      </x:c>
      <x:c r="AE14" s="34" t="str">
        <x:v>gaming-1440p, gpu-7800xt-1440p, gaming-1080p, gpu-rdna4-9070xt, gpu-7900xtx-raster, cpu-9950x3d-mixed, motherboard-z790-white, cpu-7800x3d-gaming</x:v>
      </x:c>
      <x:c r="AF14" s="35" t="str">
        <x:v>## Summary
The build totals ¥13,143, under budget, and targets 1440p 144 FPS gaming with an all-AMD CPU/GPU setup in a white, RGB-themed, quiet configuration. All compatibility checks pass.
## Trade-offs
The RX 7800 XT provides strong 1440p raster value with 16GB VRAM [K2], but may not consistently hit 144 FPS in the most demanding titles without FSR. The white/RGB and quiet component choices slightly increase cost versus standard equivalents.
## Upgrade path
A future GPU upgrade to an RX 9070 XT or RX 7900 XTX would boost 1440p frame rates and enable 4K gaming [K4][K5], requiring only a PSU upgrade to 750W+ [K4]. The AM5 platform supports later CPU upgrades without motherboard change.</x:v>
      </x:c>
    </x:row>
    <x:row r="15" ht="54" customHeight="1">
      <x:c r="A15" s="38" t="str">
        <x:v>T10</x:v>
      </x:c>
      <x:c r="B15" s="39" t="str">
        <x:v>3D/引擎工作站用户</x:v>
      </x:c>
      <x:c r="C15" s="39" t="str">
        <x:v>Expert</x:v>
      </x:c>
      <x:c r="D15" s="39" t="str">
        <x:v>English</x:v>
      </x:c>
      <x:c r="E15" s="39" t="str">
        <x:v>USD 6,500 workstation for Unreal Engine 5 shader compilation, Blender Cycles and large C++ builds. Use a Ryzen 9 9950X3D and GeForce RTX 5090, 128 GB RAM and 4 TB NVMe. Reliability and cooling matter more than looks.</x:v>
      </x:c>
      <x:c r="F15" s="39" t="str">
        <x:v>deepseek-v4-flash</x:v>
      </x:c>
      <x:c r="G15" s="39" t="str">
        <x:v>disabled</x:v>
      </x:c>
      <x:c r="H15" s="39" t="str">
        <x:v>deepseek</x:v>
      </x:c>
      <x:c r="I15" s="39" t="str">
        <x:v>vector</x:v>
      </x:c>
      <x:c r="J15" s="39" t="str">
        <x:v>ollama</x:v>
      </x:c>
      <x:c r="K15" s="39" t="str">
        <x:v>nomic-embed-text</x:v>
      </x:c>
      <x:c r="L15" s="65" t="n">
        <x:v>13.183</x:v>
      </x:c>
      <x:c r="M15" s="66" t="n">
        <x:v>6500</x:v>
      </x:c>
      <x:c r="N15" s="66" t="str">
        <x:v>USD</x:v>
      </x:c>
      <x:c r="O15" s="66" t="n">
        <x:v>6753</x:v>
      </x:c>
      <x:c r="P15" s="67" t="n">
        <x:f>IFERROR(O15/M15,0)</x:f>
        <x:v>1.0389230769230768</x:v>
      </x:c>
      <x:c r="Q15" s="39" t="str">
        <x:v>development</x:v>
      </x:c>
      <x:c r="R15" s="39" t="str">
        <x:v>Ryzen 9 9950X3D</x:v>
      </x:c>
      <x:c r="S15" s="39" t="str">
        <x:v>GeForce RTX 5090 Founders Edition</x:v>
      </x:c>
      <x:c r="T15" s="39" t="n">
        <x:v>32</x:v>
      </x:c>
      <x:c r="U15" s="39" t="str">
        <x:v>ASUS ProArt X670E-Creator</x:v>
      </x:c>
      <x:c r="V15" s="39" t="n">
        <x:v>128</x:v>
      </x:c>
      <x:c r="W15" s="39" t="n">
        <x:v>4</x:v>
      </x:c>
      <x:c r="X15" s="39" t="str">
        <x:v>NZXT KRAKEN ELITE RGB 420MM WHITE AIO LIQUID COOLER WITH IPS LCD &amp; RGB CORE SINGLE-FRAME FAN</x:v>
      </x:c>
      <x:c r="Y15" s="39" t="str">
        <x:v>be quiet! Dark Power Pro 13 1300W 80+ Titanium Power Supply</x:v>
      </x:c>
      <x:c r="Z15" s="39" t="str">
        <x:v>Fractal Design North XL ATX mATX Mid Tower PC Case - Chalk White Chassis with Oak Front and Clear TG Side Panel - FD-C-NOR1X-04</x:v>
      </x:c>
      <x:c r="AA15" s="39" t="str">
        <x:v>WARNING: Power headroom</x:v>
      </x:c>
      <x:c r="AB15" s="76" t="str">
        <x:v>WARNING</x:v>
      </x:c>
      <x:c r="AC15" s="39" t="str">
        <x:v>None</x:v>
      </x:c>
      <x:c r="AD15" s="39" t="str">
        <x:v>Use case parsed as development, expected balanced; Compatibility warning: Power headroom; Total is 103.9% of budget</x:v>
      </x:c>
      <x:c r="AE15" s="39" t="str">
        <x:v>gpu-5080-blackwell, cpu-9950x3d2-workstation, gaming-4k, gpu-5070ti-blackwell, cpu-7900x-workstation, gaming-4k-240, gpu-4070tis-balanced, gpu-4070s-gaming</x:v>
      </x:c>
      <x:c r="AF15" s="40" t="str">
        <x:v>## Summary
The build pairs a Ryzen 9 9950X3D with an RTX 5090, 128GB RAM, and 4TB storage for $6,753, optimized for Unreal Engine 5 shader compilation, Blender Cycles, and large C++ builds. All compatibility checks pass except a power headroom warning, indicating the 898W estimated draw may exceed the PSU's safe continuous capacity.
## Trade-offs
The power headroom warning [compatibility] suggests the PSU may lack sufficient margin for sustained peak loads under simultaneous CPU/GPU stress, risking instability during long shader compilations or renders. The RTX 5090's high power draw also generates significant heat, requiring robust case airflow to maintain reliability [K3].
## Upgrade path
Replacing the PSU with a higher-wattage unit (e.g., 1200W+) would resolve the headroom warning and improve stability for extended workloads. Adding more storage or upgrading to a larger NVMe drive is straightforward, as the motherboard supports additional M.2 slots.</x:v>
      </x:c>
    </x:row>
  </x:sheetData>
  <x:mergeCells>
    <x:mergeCell ref="A1:AF1"/>
    <x:mergeCell ref="A2:AF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22" hidden="0" customWidth="1"/>
    <x:col min="3" max="3" width="14" hidden="0" customWidth="1"/>
    <x:col min="4" max="4" width="14" hidden="0" customWidth="1"/>
    <x:col min="5" max="5" width="55" hidden="0" customWidth="1"/>
    <x:col min="6" max="6" width="14" hidden="0" customWidth="1"/>
    <x:col min="7" max="7" width="14" hidden="0" customWidth="1"/>
    <x:col min="8" max="8" width="48" hidden="0" customWidth="1"/>
    <x:col min="9" max="9" width="19" hidden="0" customWidth="1"/>
    <x:col min="10" max="10" width="19" hidden="0" customWidth="1"/>
    <x:col min="11" max="11" width="19" hidden="0" customWidth="1"/>
  </x:cols>
  <x:sheetData>
    <x:row r="1" ht="38" customHeight="1">
      <x:c r="A1" s="3" t="str">
        <x:v>Regression Delta · First Run vs Fixed Run</x:v>
      </x:c>
      <x:c r="B1" s="3"/>
      <x:c r="C1" s="3"/>
      <x:c r="D1" s="3"/>
      <x:c r="E1" s="3"/>
      <x:c r="F1" s="3"/>
      <x:c r="G1" s="3"/>
      <x:c r="H1" s="3"/>
      <x:c r="I1" s="3"/>
      <x:c r="J1" s="3"/>
      <x:c r="K1" s="3"/>
    </x:row>
    <x:row r="2" ht="22" customHeight="1">
      <x:c r="A2" s="6" t="str">
        <x:v>The first-run failures remain visible; the final run is not cherry-picked</x:v>
      </x:c>
      <x:c r="B2" s="6"/>
      <x:c r="C2" s="6"/>
      <x:c r="D2" s="6"/>
      <x:c r="E2" s="6"/>
      <x:c r="F2" s="6"/>
      <x:c r="G2" s="6"/>
      <x:c r="H2" s="6"/>
      <x:c r="I2" s="6"/>
      <x:c r="J2" s="6"/>
      <x:c r="K2" s="6"/>
    </x:row>
    <x:row r="5" ht="28" customHeight="1">
      <x:c r="A5" s="30" t="str">
        <x:v>ID</x:v>
      </x:c>
      <x:c r="B5" s="31" t="str">
        <x:v>Scenario</x:v>
      </x:c>
      <x:c r="C5" s="31" t="str">
        <x:v>Before verdict</x:v>
      </x:c>
      <x:c r="D5" s="31" t="str">
        <x:v>Before total</x:v>
      </x:c>
      <x:c r="E5" s="31" t="str">
        <x:v>Before issues</x:v>
      </x:c>
      <x:c r="F5" s="31" t="str">
        <x:v>After verdict</x:v>
      </x:c>
      <x:c r="G5" s="31" t="str">
        <x:v>After total</x:v>
      </x:c>
      <x:c r="H5" s="31" t="str">
        <x:v>After issues</x:v>
      </x:c>
      <x:c r="I5" s="31" t="str">
        <x:v>Delta</x:v>
      </x:c>
      <x:c r="J5" s="31" t="str">
        <x:v>Remote vector before</x:v>
      </x:c>
      <x:c r="K5" s="32" t="str">
        <x:v>Remote vector after</x:v>
      </x:c>
    </x:row>
    <x:row r="6" ht="44" customHeight="1">
      <x:c r="A6" s="33" t="str">
        <x:v>T01</x:v>
      </x:c>
      <x:c r="B6" s="34" t="str">
        <x:v>新手玩家</x:v>
      </x:c>
      <x:c r="C6" s="79" t="str">
        <x:v>FAIL</x:v>
      </x:c>
      <x:c r="D6" s="34" t="n">
        <x:v>5389</x:v>
      </x:c>
      <x:c r="E6" s="34" t="str">
        <x:v>Total is 449.1% of budget; Compatibility warning: Power headroom</x:v>
      </x:c>
      <x:c r="F6" s="70" t="str">
        <x:v>PASS</x:v>
      </x:c>
      <x:c r="G6" s="34" t="n">
        <x:v>1162</x:v>
      </x:c>
      <x:c r="H6" s="34" t="str">
        <x:v>None</x:v>
      </x:c>
      <x:c r="I6" s="34" t="str">
        <x:v>Improved</x:v>
      </x:c>
      <x:c r="J6" s="34" t="str">
        <x:v>vector/ollama</x:v>
      </x:c>
      <x:c r="K6" s="35" t="str">
        <x:v>vector/ollama</x:v>
      </x:c>
    </x:row>
    <x:row r="7" ht="44" customHeight="1">
      <x:c r="A7" s="33" t="str">
        <x:v>T02</x:v>
      </x:c>
      <x:c r="B7" s="34" t="str">
        <x:v>高刷游戏玩家</x:v>
      </x:c>
      <x:c r="C7" s="70" t="str">
        <x:v>PASS</x:v>
      </x:c>
      <x:c r="D7" s="34" t="n">
        <x:v>2646</x:v>
      </x:c>
      <x:c r="E7" s="34" t="str">
        <x:v>None</x:v>
      </x:c>
      <x:c r="F7" s="70" t="str">
        <x:v>PASS</x:v>
      </x:c>
      <x:c r="G7" s="34" t="n">
        <x:v>2646</x:v>
      </x:c>
      <x:c r="H7" s="34" t="str">
        <x:v>None</x:v>
      </x:c>
      <x:c r="I7" s="34" t="str">
        <x:v>Unchanged</x:v>
      </x:c>
      <x:c r="J7" s="34" t="str">
        <x:v>vector/ollama</x:v>
      </x:c>
      <x:c r="K7" s="35" t="str">
        <x:v>vector/ollama</x:v>
      </x:c>
    </x:row>
    <x:row r="8" ht="44" customHeight="1">
      <x:c r="A8" s="33" t="str">
        <x:v>T03</x:v>
      </x:c>
      <x:c r="B8" s="34" t="str">
        <x:v>本地 AI 工程师</x:v>
      </x:c>
      <x:c r="C8" s="79" t="str">
        <x:v>FAIL</x:v>
      </x:c>
      <x:c r="D8" s="34" t="n">
        <x:v>0</x:v>
      </x:c>
      <x:c r="E8" s="34" t="str">
        <x:v>API error: Unable to generate a RAG recommendation.</x:v>
      </x:c>
      <x:c r="F8" s="73" t="str">
        <x:v>WARNING</x:v>
      </x:c>
      <x:c r="G8" s="34" t="n">
        <x:v>4063</x:v>
      </x:c>
      <x:c r="H8" s="34" t="str">
        <x:v>Compatibility warning: Power headroom</x:v>
      </x:c>
      <x:c r="I8" s="34" t="str">
        <x:v>Improved</x:v>
      </x:c>
      <x:c r="J8" s="34" t="str">
        <x:v>undefined/undefined</x:v>
      </x:c>
      <x:c r="K8" s="35" t="str">
        <x:v>vector/ollama</x:v>
      </x:c>
    </x:row>
    <x:row r="9" ht="44" customHeight="1">
      <x:c r="A9" s="33" t="str">
        <x:v>T04</x:v>
      </x:c>
      <x:c r="B9" s="34" t="str">
        <x:v>学生创作者</x:v>
      </x:c>
      <x:c r="C9" s="73" t="str">
        <x:v>WARNING</x:v>
      </x:c>
      <x:c r="D9" s="34" t="n">
        <x:v>1536</x:v>
      </x:c>
      <x:c r="E9" s="34" t="str">
        <x:v>Compatibility warning: Chipset pairing</x:v>
      </x:c>
      <x:c r="F9" s="70" t="str">
        <x:v>PASS</x:v>
      </x:c>
      <x:c r="G9" s="34" t="n">
        <x:v>1571</x:v>
      </x:c>
      <x:c r="H9" s="34" t="str">
        <x:v>None</x:v>
      </x:c>
      <x:c r="I9" s="34" t="str">
        <x:v>Improved</x:v>
      </x:c>
      <x:c r="J9" s="34" t="str">
        <x:v>vector/ollama</x:v>
      </x:c>
      <x:c r="K9" s="35" t="str">
        <x:v>vector/ollama</x:v>
      </x:c>
    </x:row>
    <x:row r="10" ht="44" customHeight="1">
      <x:c r="A10" s="33" t="str">
        <x:v>T05</x:v>
      </x:c>
      <x:c r="B10" s="34" t="str">
        <x:v>平台开发者</x:v>
      </x:c>
      <x:c r="C10" s="70" t="str">
        <x:v>PASS</x:v>
      </x:c>
      <x:c r="D10" s="34" t="n">
        <x:v>3437</x:v>
      </x:c>
      <x:c r="E10" s="34" t="str">
        <x:v>None</x:v>
      </x:c>
      <x:c r="F10" s="70" t="str">
        <x:v>PASS</x:v>
      </x:c>
      <x:c r="G10" s="34" t="n">
        <x:v>3437</x:v>
      </x:c>
      <x:c r="H10" s="34" t="str">
        <x:v>None</x:v>
      </x:c>
      <x:c r="I10" s="34" t="str">
        <x:v>Unchanged</x:v>
      </x:c>
      <x:c r="J10" s="34" t="str">
        <x:v>vector/ollama</x:v>
      </x:c>
      <x:c r="K10" s="35" t="str">
        <x:v>vector/ollama</x:v>
      </x:c>
    </x:row>
    <x:row r="11" ht="44" customHeight="1">
      <x:c r="A11" s="33" t="str">
        <x:v>T06</x:v>
      </x:c>
      <x:c r="B11" s="34" t="str">
        <x:v>视频工作室</x:v>
      </x:c>
      <x:c r="C11" s="79" t="str">
        <x:v>FAIL</x:v>
      </x:c>
      <x:c r="D11" s="34" t="n">
        <x:v>3761</x:v>
      </x:c>
      <x:c r="E11" s="34" t="str">
        <x:v>Case is not panoramic: NZXT H Series H5 Flow 2024 RGB Edition ATX Mid Tower Chassis All White Color; Total is 107.5% of budget</x:v>
      </x:c>
      <x:c r="F11" s="73" t="str">
        <x:v>WARNING</x:v>
      </x:c>
      <x:c r="G11" s="34" t="n">
        <x:v>3702</x:v>
      </x:c>
      <x:c r="H11" s="34" t="str">
        <x:v>Total is 105.8% of budget</x:v>
      </x:c>
      <x:c r="I11" s="34" t="str">
        <x:v>Improved</x:v>
      </x:c>
      <x:c r="J11" s="34" t="str">
        <x:v>vector/ollama</x:v>
      </x:c>
      <x:c r="K11" s="35" t="str">
        <x:v>vector/ollama</x:v>
      </x:c>
    </x:row>
    <x:row r="12" ht="44" customHeight="1">
      <x:c r="A12" s="33" t="str">
        <x:v>T07</x:v>
      </x:c>
      <x:c r="B12" s="34" t="str">
        <x:v>SFF 发烧友</x:v>
      </x:c>
      <x:c r="C12" s="79" t="str">
        <x:v>FAIL</x:v>
      </x:c>
      <x:c r="D12" s="34" t="n">
        <x:v>0</x:v>
      </x:c>
      <x:c r="E12" s="34" t="str">
        <x:v>API error: Unable to generate a RAG recommendation.</x:v>
      </x:c>
      <x:c r="F12" s="70" t="str">
        <x:v>PASS</x:v>
      </x:c>
      <x:c r="G12" s="34" t="n">
        <x:v>2203</x:v>
      </x:c>
      <x:c r="H12" s="34" t="str">
        <x:v>None</x:v>
      </x:c>
      <x:c r="I12" s="34" t="str">
        <x:v>Improved</x:v>
      </x:c>
      <x:c r="J12" s="34" t="str">
        <x:v>undefined/undefined</x:v>
      </x:c>
      <x:c r="K12" s="35" t="str">
        <x:v>vector/ollama</x:v>
      </x:c>
    </x:row>
    <x:row r="13" ht="44" customHeight="1">
      <x:c r="A13" s="33" t="str">
        <x:v>T08</x:v>
      </x:c>
      <x:c r="B13" s="34" t="str">
        <x:v>节能开发者</x:v>
      </x:c>
      <x:c r="C13" s="73" t="str">
        <x:v>WARNING</x:v>
      </x:c>
      <x:c r="D13" s="34" t="n">
        <x:v>1258</x:v>
      </x:c>
      <x:c r="E13" s="34" t="str">
        <x:v>Compatibility warning: Chipset pairing</x:v>
      </x:c>
      <x:c r="F13" s="70" t="str">
        <x:v>PASS</x:v>
      </x:c>
      <x:c r="G13" s="34" t="n">
        <x:v>1199</x:v>
      </x:c>
      <x:c r="H13" s="34" t="str">
        <x:v>None</x:v>
      </x:c>
      <x:c r="I13" s="34" t="str">
        <x:v>Improved</x:v>
      </x:c>
      <x:c r="J13" s="34" t="str">
        <x:v>vector/ollama</x:v>
      </x:c>
      <x:c r="K13" s="35" t="str">
        <x:v>vector/ollama</x:v>
      </x:c>
    </x:row>
    <x:row r="14" ht="44" customHeight="1">
      <x:c r="A14" s="33" t="str">
        <x:v>T09</x:v>
      </x:c>
      <x:c r="B14" s="34" t="str">
        <x:v>中国游戏小白</x:v>
      </x:c>
      <x:c r="C14" s="70" t="str">
        <x:v>PASS</x:v>
      </x:c>
      <x:c r="D14" s="34" t="n">
        <x:v>13451</x:v>
      </x:c>
      <x:c r="E14" s="34" t="str">
        <x:v>None</x:v>
      </x:c>
      <x:c r="F14" s="70" t="str">
        <x:v>PASS</x:v>
      </x:c>
      <x:c r="G14" s="34" t="n">
        <x:v>13143</x:v>
      </x:c>
      <x:c r="H14" s="34" t="str">
        <x:v>None</x:v>
      </x:c>
      <x:c r="I14" s="34" t="str">
        <x:v>Unchanged</x:v>
      </x:c>
      <x:c r="J14" s="34" t="str">
        <x:v>vector/ollama</x:v>
      </x:c>
      <x:c r="K14" s="35" t="str">
        <x:v>vector/ollama</x:v>
      </x:c>
    </x:row>
    <x:row r="15" ht="44" customHeight="1">
      <x:c r="A15" s="38" t="str">
        <x:v>T10</x:v>
      </x:c>
      <x:c r="B15" s="39" t="str">
        <x:v>3D/引擎工作站用户</x:v>
      </x:c>
      <x:c r="C15" s="76" t="str">
        <x:v>WARNING</x:v>
      </x:c>
      <x:c r="D15" s="39" t="n">
        <x:v>6753</x:v>
      </x:c>
      <x:c r="E15" s="39" t="str">
        <x:v>Use case parsed as development, expected balanced; Compatibility warning: Power headroom; Total is 103.9% of budget</x:v>
      </x:c>
      <x:c r="F15" s="76" t="str">
        <x:v>WARNING</x:v>
      </x:c>
      <x:c r="G15" s="39" t="n">
        <x:v>6753</x:v>
      </x:c>
      <x:c r="H15" s="39" t="str">
        <x:v>Use case parsed as development, expected balanced; Compatibility warning: Power headroom; Total is 103.9% of budget</x:v>
      </x:c>
      <x:c r="I15" s="39" t="str">
        <x:v>Unchanged</x:v>
      </x:c>
      <x:c r="J15" s="39" t="str">
        <x:v>vector/ollama</x:v>
      </x:c>
      <x:c r="K15" s="40" t="str">
        <x:v>vector/ollama</x:v>
      </x:c>
    </x:row>
  </x:sheetData>
  <x:mergeCells>
    <x:mergeCell ref="A1:K1"/>
    <x:mergeCell ref="A2:K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55" hidden="0" customWidth="1"/>
    <x:col min="3" max="3" width="48" hidden="0" customWidth="1"/>
    <x:col min="4" max="4" width="42" hidden="0" customWidth="1"/>
    <x:col min="5" max="5" width="62" hidden="0" customWidth="1"/>
    <x:col min="6" max="6" width="62" hidden="0" customWidth="1"/>
    <x:col min="7" max="7" width="62" hidden="0" customWidth="1"/>
    <x:col min="8" max="8" width="62" hidden="0" customWidth="1"/>
  </x:cols>
  <x:sheetData>
    <x:row r="1" ht="38" customHeight="1">
      <x:c r="A1" s="3" t="str">
        <x:v>Full Returned Results</x:v>
      </x:c>
      <x:c r="B1" s="3"/>
      <x:c r="C1" s="3"/>
      <x:c r="D1" s="3"/>
      <x:c r="E1" s="3"/>
      <x:c r="F1" s="3"/>
      <x:c r="G1" s="3"/>
      <x:c r="H1" s="3"/>
    </x:row>
    <x:row r="2" ht="22" customHeight="1">
      <x:c r="A2" s="6" t="str">
        <x:v>Parsed intent, final build, deterministic checks, RAG reasoning, and generated explanation</x:v>
      </x:c>
      <x:c r="B2" s="6"/>
      <x:c r="C2" s="6"/>
      <x:c r="D2" s="6"/>
      <x:c r="E2" s="6"/>
      <x:c r="F2" s="6"/>
      <x:c r="G2" s="6"/>
      <x:c r="H2" s="6"/>
    </x:row>
    <x:row r="5" ht="28" customHeight="1">
      <x:c r="A5" s="30" t="str">
        <x:v>ID</x:v>
      </x:c>
      <x:c r="B5" s="31" t="str">
        <x:v>Requirement</x:v>
      </x:c>
      <x:c r="C5" s="31" t="str">
        <x:v>Parsed BuildRequest</x:v>
      </x:c>
      <x:c r="D5" s="31" t="str">
        <x:v>Final build</x:v>
      </x:c>
      <x:c r="E5" s="31" t="str">
        <x:v>Compatibility details</x:v>
      </x:c>
      <x:c r="F5" s="31" t="str">
        <x:v>Retrieved reasoning</x:v>
      </x:c>
      <x:c r="G5" s="31" t="str">
        <x:v>AI explanation</x:v>
      </x:c>
      <x:c r="H5" s="32" t="str">
        <x:v>Alternative builds</x:v>
      </x:c>
    </x:row>
    <x:row r="6" ht="120" customHeight="1">
      <x:c r="A6" s="33" t="str">
        <x:v>T01</x:v>
      </x:c>
      <x:c r="B6" s="34" t="str">
        <x:v>预算 1200 美元，想配一台玩 2K 144Hz 游戏的电脑，性价比优先，不要 RGB，黑色普通机箱就行。</x:v>
      </x:c>
      <x:c r="C6" s="34" t="str">
        <x:v>{"budget":1200,"currency":"USD","country":"US","useCase":"gaming","resolution":"1440p","targetFps":144,"games":"","aiWorkloads":[],"vramPreference":12,"ramCapacityGb":32,"storageCapacityTb":1,"developerWorkloads":[],"preferredCpuBrand":"none","preferredGpuBrand":"none","preferredColor":"black","preferredCooling":"none","preferredCaseStyle":"traditional","preferQuiet":false,"preferRgb":false,"preferSmallFormFactor":false,"preferUpgradeability":false,"preferLowPower":false,"existingPartIds":[],"constraints":[{"id":"llm-workloadTarget-0","target":"workloadTarget","value":"1440p 144hz gaming","strength":"preferred","sourceText":"2K 144Hz 游戏","interpretation":"Target is 1440p at 144Hz for gaming; actual performance depends on game and settings.","origin":"llm"},{"id":"llm-lighting-1","target":"lighting","value":"rgb","strength":"excluded","sourceText":"不要 RGB","interpretation":"Exclude RGB lighting on components where possible.","origin":"llm"},{"id":"llm-color-2","target":"color","value":"black","strength":"preferred","sourceText":"黑色普通机箱","interpretation":"Prefer a black case; ordinary black case is acceptable.","origin":"llm"},{"id":"llm-caseStyle-3","target":"caseStyle","value":"traditional","strength":"preferred","sourceText":"普通机箱","interpretation":"Prefer a traditional case style, not panoramic or special form factor.","origin":"llm"}]}</x:v>
      </x:c>
      <x:c r="D6" s="34" t="str">
        <x:v>cpu: Intel Core Ultra 5 245K, Arrow Lake 14-Core (6P+8E), LGA 1851, 125W Desktop Processor - BX80768245K
gpu: Intel Arc B580 Limited Edition
motherboard: MSI PRO H810I WIFI, Support Intel®CoreTM Ultra Processors Motherboard
ram: Corsair Vengeance 64GB DDR5-6000
storage: WD Black SN850X 1TB
cooler: CORSAIR NAUTILUS 360 RS LCD Liquid CPU Cooler – 2.1" IPS LCD Screen  – RS120 Fans – 360mm Radiator – Fits Intel® LGA 1851/1700, AMD®  AM5/AM4 – Simple Daisy-Chain Connections
case: PCCOOLER CPS C3 T700 PC Case, Dual-Chamber Mid-Tower ATX Case, High-Airflow Computer Case, BTF Motherboard Supports, Sturdy Tempered Glass Front &amp; Side Panels, Black (Fans Not Included)
psu: SAMA G1000W ATX 3.1 Power Supply, 1000W, Cybenetics Gold Standards, PCIe 5.1 Ready, Full Modular, Japanese Capacitors, FDB Fan, Black Version</x:v>
      </x:c>
      <x:c r="E6" s="34" t="str">
        <x:v>PASS · CPU socket: Intel Core Ultra 5 245K, Arrow Lake 14-Core (6P+8E), LGA 1851, 125W Desktop Processor - BX80768245K uses LGA1851, matching MSI PRO H810I WIFI, Support Intel®CoreTM Ultra Processors Motherboard.
PASS · Memory type: DDR5 memory matches the motherboard.
PASS · Motherboard fit: Mini-ITX motherboard fits inside PCCOOLER CPS C3 T700 PC Case, Dual-Chamber Mid-Tower ATX Case, High-Airflow Computer Case, BTF Motherboard Supports, Sturdy Tempered Glass Front &amp; Side Panels, Black (Fans Not Included).
PASS · GPU clearance: Intel Arc B580 Limited Edition is 272mm and fits the 380mm clearance.
PASS · Cooler clearance: CORSAIR NAUTILUS 360 RS LCD Liquid CPU Cooler – 2.1" IPS LCD Screen  – RS120 Fans – 360mm Radiator – Fits Intel® LGA 1851/1700, AMD®  AM5/AM4 – Simple Daisy-Chain Connections uses a radiator mount instead of tower clearance.
PASS · Power headroom: Estimated draw is 463W. 1000W provides healthy headroom.
PASS · PSU fit: ATX PSU is supported by PCCOOLER CPS C3 T700 PC Case, Dual-Chamber Mid-Tower ATX Case, High-Airflow Computer Case, BTF Motherboard Supports, Sturdy Tempered Glass Front &amp; Side Panels, Black (Fans Not Included).
PASS · Cooling capacity: 324W cooler rating covers the CPU's 159W rating.
PASS · Chipset pairing: H810I is a sensible match for this high-tier CPU.
PASS · Storage interface: NVMe storage is supported by the motherboard.</x:v>
      </x:c>
      <x:c r="F6" s="34" t="str">
        <x:v>cpu: Intel Core Ultra 5 245K, Arrow Lake 14-Core (6P+8E), LGA 1851, 125W Desktop Processor - BX80768245K — Weighted score 84.6. in stock, newegg market price, market score 86.4. 1080p gaming allocation [gaming-1080p]
gpu: Intel Arc B580 Limited Edition — Weighted score 65.4. unknown, catalog-price fallback, market score 25.0. 1440p gaming allocation [gaming-1440p, gpu-arc-b580-value, gaming-4k]
motherboard: MSI PRO H810I WIFI, Support Intel®CoreTM Ultra Processors Motherboard — Weighted score 76.9. in stock, canadacomputers market price, market score 86.4. Selected from structured specifications and deterministic constraints. []
ram: Corsair Vengeance 64GB DDR5-6000 — Weighted score 61.9. unknown, catalog-price fallback, market score 25.0. Selected from structured specifications and deterministic constraints. []
storage: WD Black SN850X 1TB — Weighted score 65.1. unknown, catalog-price fallback, market score 25.0. Selected from structured specifications and deterministic constraints. []
cooler: CORSAIR NAUTILUS 360 RS LCD Liquid CPU Cooler – 2.1" IPS LCD Screen  – RS120 Fans – 360mm Radiator – Fits Intel® LGA 1851/1700, AMD®  AM5/AM4 – Simple Daisy-Chain Connections — Weighted score 69.0. in stock, newegg market price, market score 87.2. Selected from structured specifications and deterministic constraints. []
case: PCCOOLER CPS C3 T700 PC Case, Dual-Chamber Mid-Tower ATX Case, High-Airflow Computer Case, BTF Motherboard Supports, Sturdy Tempered Glass Front &amp; Side Panels, Black (Fans Not Included) — black appearance constraint. Weighted score 89.4. in stock, newegg market price, market score 86.4. Case clearance constraints [case-clearance]
psu: SAMA G1000W ATX 3.1 Power Supply, 1000W, Cybenetics Gold Standards, PCIe 5.1 Ready, Full Modular, Japanese Capacitors, FDB Fan, Black Version — black appearance constraint. Weighted score 80.4. in stock, newegg market price, market score 86.4. Selected from structured specifications and deterministic constraints. []</x:v>
      </x:c>
      <x:c r="G6" s="34" t="str">
        <x:v>## Summary
This $1,162 build targets 1440p 144Hz gaming with a black, non-RGB traditional case, using an RTX 4070 Super and a balanced modern CPU. All compatibility checks pass, and the total wattage of 463W is well within the power supply headroom.
## Trade-offs
The RTX 4070 Super’s 12GB VRAM may limit performance in future VRAM-heavy titles or AI workloads compared to 16GB alternatives [K2]. The GPU-first budget allocation is optimal for 1440p gaming, but CPU frame delivery could become a bottleneck in CPU-bound scenarios at lower resolutions [K1][K5].
## Upgrade path
A future GPU upgrade to an RTX 4070 Ti Super would add 16GB VRAM and stronger 1440p-to-4K capability without changing the platform [K4]. The current power supply and case clearance support this upgrade without modifications.</x:v>
      </x:c>
      <x:c r="H6" s="35" t="str">
        <x:v>Performance variant (5144): Higher GPU performance or VRAM at increased cost and power.
Capacity variant (2147): More multitasking and dataset headroom with no direct gaming uplift.</x:v>
      </x:c>
    </x:row>
    <x:row r="7" ht="120" customHeight="1">
      <x:c r="A7" s="33" t="str">
        <x:v>T02</x:v>
      </x:c>
      <x:c r="B7" s="34" t="str">
        <x:v>US$2,800 tower for 4K 165 Hz gaming. AMD CPU is mandatory, NVIDIA GPU is mandatory. Prefer a quiet all-black build, no lighting, and leave sensible upgrade headroom.</x:v>
      </x:c>
      <x:c r="C7" s="34" t="str">
        <x:v>{"budget":2800,"currency":"USD","country":"US","useCase":"gaming","resolution":"4k","targetFps":165,"games":"","aiWorkloads":[],"vramPreference":16,"ramCapacityGb":32,"storageCapacityTb":2,"developerWorkloads":[],"preferredCpuBrand":"amd","preferredGpuBrand":"nvidia","preferredColor":"black","preferredCooling":"none","preferredCaseStyle":"traditional","preferQuiet":true,"preferRgb":false,"preferSmallFormFactor":false,"preferUpgradeability":true,"preferLowPower":false,"existingPartIds":[],"constraints":[{"id":"llm-cpuBrand-0","target":"cpuBrand","value":"amd","strength":"required","sourceText":"AMD CPU is mandatory","interpretation":"CPU must be AMD.","origin":"llm"},{"id":"llm-gpuBrand-1","target":"gpuBrand","value":"nvidia","strength":"required","sourceText":"NVIDIA GPU is mandatory","interpretation":"GPU must be NVIDIA.","origin":"llm"},{"id":"llm-color-2","target":"color","value":"black","strength":"preferred","sourceText":"all-black build","interpretation":"Visible components should be black where possible.","origin":"llm"},{"id":"llm-noise-3","target":"noise","value":"quiet","strength":"preferred","sourceText":"Prefer a quiet","interpretation":"Acoustic optimization across case, cooler, GPU, and PSU.","origin":"llm"},{"id":"llm-lighting-4","target":"lighting","value":"rgb","strength":"excluded","sourceText":"no lighting","interpretation":"Exclude RGB lighting on components.","origin":"llm"},{"id":"llm-upgradeability-5","target":"upgradeability","value":"high","strength":"preferred","sourceText":"leave sensible upgrade headroom","interpretation":"Platform should allow future CPU, GPU, RAM, and storage upgrades.","origin":"llm"},{"id":"llm-workloadTarget-6","target":"workloadTarget","value":"4k 165 hz gaming","strength":"preferred","sourceText":"4K 165 Hz gaming","interpretation":"Target 4K resolution at 165 Hz; actual performance depends on game and settings.","origin":"llm"}]}</x:v>
      </x:c>
      <x:c r="D7" s="34" t="str">
        <x:v>cpu: AMD Ryzen 7 9850X3D - Ryzen 7 9000 Series 8-Core 5.6GHz - Socket AM5 120W - AMD Radeon Graphics Desktop Processor - 100-100001973WOF
gpu: GeForce RTX 5080 Founders Edition
motherboard: ASUS TUF Gaming B850-Plus WiFi
ram: Corsair Vengeance 64GB DDR5-6000
storage: Samsung 9100 Pro 2TB
cooler: CORSAIR NAUTILUS 360 RS LCD Liquid CPU Cooler – 2.1" IPS LCD Screen  – RS120 Fans – 360mm Radiator – Fits Intel® LGA 1851/1700, AMD®  AM5/AM4 – Simple Daisy-Chain Connections
case: Fractal Design North XL ATX mATX Full Tower PC Case - Charcoal Black Chassis with Walnut Front and Dark Tinted TG Side Panel - FD-C-NOR1X-02
psu: Super Flower Zillion FG 1050W Cybenetics Platinum, 80+ Gold, Full Modular, ATX 3.1 / PCIe 5.0, W/12V-2x6 Cable (2x8pin - 16pin native cables), Power Supply, FDB Fan, SF-1050Z12FG, Black version</x:v>
      </x:c>
      <x:c r="E7" s="34" t="str">
        <x:v>PASS · CPU socket: AMD Ryzen 7 9850X3D - Ryzen 7 9000 Series 8-Core 5.6GHz - Socket AM5 120W - AMD Radeon Graphics Desktop Processor - 100-100001973WOF uses AM5, matching ASUS TUF Gaming B850-Plus WiFi.
PASS · Memory type: DDR5 memory matches the motherboard.
PASS · Motherboard fit: ATX motherboard fits inside Fractal Design North XL ATX mATX Full Tower PC Case - Charcoal Black Chassis with Walnut Front and Dark Tinted TG Side Panel - FD-C-NOR1X-02.
PASS · GPU clearance: GeForce RTX 5080 Founders Edition is 304mm and fits the 413mm clearance.
PASS · Cooler clearance: CORSAIR NAUTILUS 360 RS LCD Liquid CPU Cooler – 2.1" IPS LCD Screen  – RS120 Fans – 360mm Radiator – Fits Intel® LGA 1851/1700, AMD®  AM5/AM4 – Simple Daisy-Chain Connections uses a radiator mount instead of tower clearance.
PASS · Power headroom: Estimated draw is 599W. 1050W provides healthy headroom.
PASS · PSU fit: ATX PSU is supported by Fractal Design North XL ATX mATX Full Tower PC Case - Charcoal Black Chassis with Walnut Front and Dark Tinted TG Side Panel - FD-C-NOR1X-02.
PASS · Cooling capacity: 324W cooler rating covers the CPU's 120W rating.
PASS · Chipset pairing: B850 is a sensible match for this high-tier CPU.
PASS · Storage interface: NVMe storage is supported by the motherboard.</x:v>
      </x:c>
      <x:c r="F7" s="34" t="str">
        <x:v>cpu: AMD Ryzen 7 9850X3D - Ryzen 7 9000 Series 8-Core 5.6GHz - Socket AM5 120W - AMD Radeon Graphics Desktop Processor - 100-100001973WOF — AMD CPU hard constraint. Weighted score 92.6. in stock, newegg market price, market score 86.4. 1080p gaming allocation [gaming-1080p]
gpu: GeForce RTX 5080 Founders Edition — NVIDIA GPU hard constraint. Weighted score 80.1. unknown, catalog-price fallback, market score 25.0. 4K gaming allocation [gaming-4k, gaming-4k-240, gpu-5080-blackwell]
motherboard: ASUS TUF Gaming B850-Plus WiFi — Weighted score 84.0. unknown, catalog-price fallback, market score 25.0. AM5 platform upgradeability [upgrade-am5, platform-am5-800-series]
ram: Corsair Vengeance 64GB DDR5-6000 — Weighted score 70.3. unknown, catalog-price fallback, market score 25.0. Selected from structured specifications and deterministic constraints. []
storage: Samsung 9100 Pro 2TB — Weighted score 71.8. unknown, catalog-price fallback, market score 25.0. PCIe 5.0 SSD performance and thermal trade-off [storage-pcie5-thermal]
cooler: CORSAIR NAUTILUS 360 RS LCD Liquid CPU Cooler – 2.1" IPS LCD Screen  – RS120 Fans – 360mm Radiator – Fits Intel® LGA 1851/1700, AMD®  AM5/AM4 – Simple Daisy-Chain Connections — Weighted score 79.2. in stock, newegg market price, market score 87.2. Selected from structured specifications and deterministic constraints. []
case: Fractal Design North XL ATX mATX Full Tower PC Case - Charcoal Black Chassis with Walnut Front and Dark Tinted TG Side Panel - FD-C-NOR1X-02 — black appearance constraint. Weighted score 83.1. in stock, newegg market price, market score 86.4. Selected from structured specifications and deterministic constraints. []
psu: Super Flower Zillion FG 1050W Cybenetics Platinum, 80+ Gold, Full Modular, ATX 3.1 / PCIe 5.0, W/12V-2x6 Cable (2x8pin - 16pin native cables), Power Supply, FDB Fan, SF-1050Z12FG, Black version — black appearance constraint. Weighted score 92.4. in stock, newegg market price, market score 86.4. Power supply headroom rule [psu-headroom]</x:v>
      </x:c>
      <x:c r="G7" s="34" t="str">
        <x:v>## Summary
This $2,646 AMD/NVIDIA build targets 4K 165Hz gaming with a black, quiet, non-RGB theme. All compatibility checks pass, and the platform supports future upgrades.
## Trade-offs
The RTX 4070 Ti Super may not consistently hit 165 FPS in demanding 4K titles without upscaling [K2][K3]. The 599W estimated draw leaves limited PSU headroom for a major GPU upgrade without also replacing the power supply [K1].
## Upgrade path
The AM5 socket and DDR5 support allow future CPU and RAM upgrades. A higher-tier NVIDIA GPU (e.g., RTX 4080 Super) would be the most impactful single upgrade for 4K performance, but would require a PSU upgrade to maintain adequate headroom [K1].</x:v>
      </x:c>
      <x:c r="H7" s="35" t="str">
        <x:v>Value-focused variant (1946): Lower cost with reduced graphics or compute headroom.
Performance variant (3446): Higher GPU performance or VRAM at increased cost and power.
Capacity variant (3631): More multitasking and dataset headroom with no direct gaming uplift.</x:v>
      </x:c>
    </x:row>
    <x:row r="8" ht="120" customHeight="1">
      <x:c r="A8" s="33" t="str">
        <x:v>T03</x:v>
      </x:c>
      <x:c r="B8" s="34" t="str">
        <x:v>Budget USD 5,000 for a local AI workstation: CUDA is required, target 70B Q4 inference plus FLUX image generation, at least 32 GB VRAM and 128 GB system RAM. Linux, quiet operation, no aesthetic priority.</x:v>
      </x:c>
      <x:c r="C8" s="34" t="str">
        <x:v>{"budget":5000,"currency":"USD","country":"US","useCase":"ai","resolution":"4k","targetFps":60,"games":"","aiWorkloads":["70B Q4 inference","FLUX image generation"],"vramPreference":32,"ramCapacityGb":128,"storageCapacityTb":2,"developerWorkloads":[],"preferredCpuBrand":"none","preferredGpuBrand":"nvidia","preferredColor":"none","preferredCooling":"none","preferredCaseStyle":"none","preferQuiet":true,"preferRgb":false,"preferSmallFormFactor":false,"preferUpgradeability":false,"preferLowPower":false,"existingPartIds":[],"constraints":[{"id":"llm-gpuBrand-0","target":"gpuBrand","value":"nvidia","strength":"required","sourceText":"CUDA is required","interpretation":"NVIDIA GPU required for CUDA support","origin":"llm"},{"id":"llm-workloadTarget-1","target":"workloadTarget","value":"70b q4 inference","strength":"required","sourceText":"target 70B Q4 inference plus FLUX image generation","interpretation":"System must be capable of running 70B parameter models at Q4 quantization and FLUX image generation","origin":"llm"},{"id":"llm-workloadTarget-2","target":"workloadTarget","value":"flux image generation","strength":"required","sourceText":"target 70B Q4 inference plus FLUX image generation","interpretation":"System must be capable of running FLUX image generation","origin":"llm"},{"id":"llm-noise-3","target":"noise","value":"quiet","strength":"preferred","sourceText":"quiet operation","interpretation":"Acoustic optimization across case, cooler, GPU, and PSU","origin":"llm"}]}</x:v>
      </x:c>
      <x:c r="D8" s="34" t="str">
        <x:v>cpu: Core i7-14700K
gpu: GeForce RTX 5090 Founders Edition
motherboard: ASUS ROG Strix Z790-A Gaming WiFi II
ram: Kingston Fury 128GB DDR5-5600
storage: Team Group MP44 M.2 2280 2TB PCIe 4.0 x4 with NVMe Laptop &amp; Desktop &amp; NUC &amp; NAS Internal Solid State Drive (SSD), (R/W Speed up to 7,400/7,000MB/s) TM8FPW002T0C101
cooler: CORSAIR NAUTILUS 240 RS LCD Liquid CPU Cooler – 2.1" IPS LCD Screen  – RS120 Fans – 240/360mm Radiator – Fits Intel® LGA 1851/1700,  AMD® AM5/AM4 – Simple Daisy-Chain Connections
case: Fractal North
psu: FSP Hydro PTM Pro 1350W Power Supply, 80 Plus Platinum, Full Modular</x:v>
      </x:c>
      <x:c r="E8" s="34" t="str">
        <x:v>PASS · CPU socket: Core i7-14700K uses LGA1700, matching ASUS ROG Strix Z790-A Gaming WiFi II.
PASS · Memory type: DDR5 memory matches the motherboard.
PASS · Motherboard fit: ATX motherboard fits inside Fractal North.
PASS · GPU clearance: GeForce RTX 5090 Founders Edition is 304mm and fits the 355mm clearance.
PASS · Cooler clearance: CORSAIR NAUTILUS 240 RS LCD Liquid CPU Cooler – 2.1" IPS LCD Screen  – RS120 Fans – 240/360mm Radiator – Fits Intel® LGA 1851/1700,  AMD® AM5/AM4 – Simple Daisy-Chain Connections uses a radiator mount instead of tower clearance.
WARNING · Power headroom: Estimated draw is 971W. 1350W is safe, but the upgrade margin is modest.
PASS · PSU fit: ATX PSU is supported by Fractal North.
PASS · Cooling capacity: 324W cooler rating covers the CPU's 253W rating.
PASS · Chipset pairing: Z790 is a sensible match for this enthusiast-tier CPU.
PASS · Storage interface: NVMe storage is supported by the motherboard.</x:v>
      </x:c>
      <x:c r="F8" s="34" t="str">
        <x:v>cpu: Core i7-14700K — Weighted score 70.1. unknown, catalog-price fallback, market score 25.0. Core i7-14700K high-refresh gaming profile [cpu-14700k-high-refresh]
gpu: GeForce RTX 5090 Founders Edition — NVIDIA GPU hard constraint. Weighted score 81.6. unknown, catalog-price fallback, market score 25.0. VRAM is the primary local AI constraint [gpu-vram-ai, gpu-cuda-ai, gaming-4k-240]
motherboard: ASUS ROG Strix Z790-A Gaming WiFi II — Weighted score 65.1. unknown, catalog-price fallback, market score 25.0. Selected from structured specifications and deterministic constraints. []
ram: Kingston Fury 128GB DDR5-5600 — Weighted score 72.0. unknown, catalog-price fallback, market score 25.0. System RAM for local AI [ram-capacity-ai]
storage: Team Group MP44 M.2 2280 2TB PCIe 4.0 x4 with NVMe Laptop &amp; Desktop &amp; NUC &amp; NAS Internal Solid State Drive (SSD), (R/W Speed up to 7,400/7,000MB/s) TM8FPW002T0C101 — Weighted score 69.7. in stock, newegg market price, market score 86.4. Selected from structured specifications and deterministic constraints. []
cooler: CORSAIR NAUTILUS 240 RS LCD Liquid CPU Cooler – 2.1" IPS LCD Screen  – RS120 Fans – 240/360mm Radiator – Fits Intel® LGA 1851/1700,  AMD® AM5/AM4 – Simple Daisy-Chain Connections — Weighted score 73.0. in stock, newegg market price, market score 86.4. Selected from structured specifications and deterministic constraints. []
case: Fractal North — Weighted score 71.6. unknown, catalog-price fallback, market score 25.0. Fractal North balanced airflow [case-north-airflow]
psu: FSP Hydro PTM Pro 1350W Power Supply, 80 Plus Platinum, Full Modular — Weighted score 75.4. in stock, newegg market price, market score 86.4. Selected from structured specifications and deterministic constraints. []</x:v>
      </x:c>
      <x:c r="G8" s="34" t="str">
        <x:v>## Summary
This $4,063 build is optimized for 70B Q4 inference and FLUX image generation, using an NVIDIA GPU with 24GB VRAM [K2] to meet the required CUDA support and VRAM capacity. The 128GB RAM and 2TB storage align with AI workload demands, while quiet-focused components address the noise preference.
## Trade-offs
The 24GB VRAM is sufficient for 70B Q4 inference but may limit batch sizes or future larger models compared to higher-VRAM options [K1]. The power headroom warning indicates the 971W estimated draw is near the PSU limit, potentially reducing headroom for overclocking or future upgrades.
## Upgrade path
A future GPU upgrade to a model with more VRAM (e.g., 48GB) would expand AI model capacity [K1], but must remain NVIDIA to maintain CUDA support. The PSU may need upgrading first to safely support higher-wattage components.</x:v>
      </x:c>
      <x:c r="H8" s="35" t="str">
        <x:v>Value-focused variant (2363): Lower cost with reduced graphics or compute headroom.
Capacity variant (5505): More multitasking and dataset headroom with no direct gaming uplift.</x:v>
      </x:c>
    </x:row>
    <x:row r="9" ht="120" customHeight="1">
      <x:c r="A9" s="33" t="str">
        <x:v>T04</x:v>
      </x:c>
      <x:c r="B9" s="34" t="str">
        <x:v>我有 1600 美元，平时玩游戏也跑 Stable Diffusion。显卡一定要英伟达而且至少 16GB 显存，别整灯，稳定好用就行。</x:v>
      </x:c>
      <x:c r="C9" s="34" t="str">
        <x:v>{"budget":1600,"currency":"USD","country":"US","useCase":"balanced","resolution":"1440p","targetFps":60,"games":"","aiWorkloads":["Stable Diffusion"],"vramPreference":16,"ramCapacityGb":32,"storageCapacityTb":1,"developerWorkloads":[],"preferredCpuBrand":"none","preferredGpuBrand":"nvidia","preferredColor":"none","preferredCooling":"none","preferredCaseStyle":"traditional","preferQuiet":false,"preferRgb":false,"preferSmallFormFactor":false,"preferUpgradeability":false,"preferLowPower":false,"existingPartIds":[],"constraints":[{"id":"llm-gpuBrand-0","target":"gpuBrand","value":"nvidia","strength":"required","sourceText":"显卡一定要英伟达","interpretation":"GPU must be NVIDIA.","origin":"llm"},{"id":"llm-workloadTarget-1","target":"workloadTarget","value":"vram","strength":"required","sourceText":"至少 16GB 显存","interpretation":"GPU must have at least 16GB VRAM.","origin":"llm"},{"id":"llm-lighting-2","target":"lighting","value":"rgb","strength":"excluded","sourceText":"别整灯","interpretation":"No RGB lighting.","origin":"llm"},{"id":"llm-workloadTarget-3","target":"workloadTarget","value":"ai","strength":"preferred","sourceText":"跑 Stable Diffusion","interpretation":"System should be capable for Stable Diffusion.","origin":"llm"}]}</x:v>
      </x:c>
      <x:c r="D9" s="34" t="str">
        <x:v>cpu: Intel Core Ultra 7 270K Plus Processor 24 cores (8 P-cores + 16 E-cores) up to 5.5 GHz BX80768270K
gpu: GeForce RTX 5060 Ti 16GB
motherboard: MSI PRO Z890-S WIFI LGA 1851 ATX Motherboard
ram: Corsair Vengeance 64GB DDR5-6000
storage: KingSpec VP14000 1TB PCIe 5.0x4 M.2 NVMe 2280 Gen5 SSD TLC NAND Internal Solid State Drive, Seq. Read Speeds Up to 14,349/8,957 MB/s, Best for AI Computing, Gaming, and Heavy Duty Workstations
cooler: CORSAIR NAUTILUS 360 RS LCD Liquid CPU Cooler – 2.1" IPS LCD Screen  – RS120 Fans – 360mm Radiator – Fits Intel® LGA 1851/1700, AMD®  AM5/AM4 – Simple Daisy-Chain Connections
case: NZXT H Series H5 Flow 2024 Edition ATX Mid Tower Chassis All Black Color
psu: MONTECH CENTURY II - 1050W High-End ATX Gaming Power Supply - 80 Plus Gold &amp; Cybenetics Platinum</x:v>
      </x:c>
      <x:c r="E9" s="34" t="str">
        <x:v>PASS · CPU socket: Intel Core Ultra 7 270K Plus Processor 24 cores (8 P-cores + 16 E-cores) up to 5.5 GHz BX80768270K uses LGA1851, matching MSI PRO Z890-S WIFI LGA 1851 ATX Motherboard.
PASS · Memory type: DDR5 memory matches the motherboard.
PASS · Motherboard fit: ATX motherboard fits inside NZXT H Series H5 Flow 2024 Edition ATX Mid Tower Chassis All Black Color.
PASS · GPU clearance: GeForce RTX 5060 Ti 16GB is 300mm and fits the 380mm clearance.
PASS · Cooler clearance: CORSAIR NAUTILUS 360 RS LCD Liquid CPU Cooler – 2.1" IPS LCD Screen  – RS120 Fans – 360mm Radiator – Fits Intel® LGA 1851/1700, AMD®  AM5/AM4 – Simple Daisy-Chain Connections uses a radiator mount instead of tower clearance.
PASS · Power headroom: Estimated draw is 544W. 1050W provides healthy headroom.
PASS · PSU fit: ATX PSU is supported by NZXT H Series H5 Flow 2024 Edition ATX Mid Tower Chassis All Black Color.
PASS · Cooling capacity: 324W cooler rating covers the CPU's 250W rating.
PASS · Chipset pairing: Z890 is a sensible match for this enthusiast-tier CPU.
PASS · Storage interface: NVMe storage is supported by the motherboard.</x:v>
      </x:c>
      <x:c r="F9" s="34" t="str">
        <x:v>cpu: Intel Core Ultra 7 270K Plus Processor 24 cores (8 P-cores + 16 E-cores) up to 5.5 GHz BX80768270K — Weighted score 80.8. in stock, newegg market price, market score 86.4. 1080p gaming allocation [gaming-1080p]
gpu: GeForce RTX 5060 Ti 16GB — NVIDIA GPU hard constraint. Weighted score 72.0. unknown, catalog-price fallback, market score 25.0. RTX 5060 Ti 16GB capacity-value trade-off [gpu-5060ti16-ai-value, gaming-1440p]
motherboard: MSI PRO Z890-S WIFI LGA 1851 ATX Motherboard — Weighted score 75.9. in stock, newegg market price, market score 86.4. Selected from structured specifications and deterministic constraints. []
ram: Corsair Vengeance 64GB DDR5-6000 — Weighted score 64.4. unknown, catalog-price fallback, market score 25.0. Selected from structured specifications and deterministic constraints. []
storage: KingSpec VP14000 1TB PCIe 5.0x4 M.2 NVMe 2280 Gen5 SSD TLC NAND Internal Solid State Drive, Seq. Read Speeds Up to 14,349/8,957 MB/s, Best for AI Computing, Gaming, and Heavy Duty Workstations — Weighted score 80.3. in stock, newegg market price, market score 86.4. NVMe capacity for workstation use [storage-workstation]
cooler: CORSAIR NAUTILUS 360 RS LCD Liquid CPU Cooler – 2.1" IPS LCD Screen  – RS120 Fans – 360mm Radiator – Fits Intel® LGA 1851/1700, AMD®  AM5/AM4 – Simple Daisy-Chain Connections — Weighted score 68.7. in stock, newegg market price, market score 87.2. Selected from structured specifications and deterministic constraints. []
case: NZXT H Series H5 Flow 2024 Edition ATX Mid Tower Chassis All Black Color — Weighted score 74.3. in stock, newegg market price, market score 86.4. Selected from structured specifications and deterministic constraints. []
psu: MONTECH CENTURY II - 1050W High-End ATX Gaming Power Supply - 80 Plus Gold &amp; Cybenetics Platinum — Weighted score 77.2. in stock, newegg market price, market score 86.4. Selected from structured specifications and deterministic constraints. []</x:v>
      </x:c>
      <x:c r="G9" s="34" t="str">
        <x:v>## Summary
This $1,571 build delivers a balanced 1440p system with an NVIDIA RTX 5070 Ti (16GB VRAM) for Stable Diffusion and gaming at 60+ FPS, meeting all hard constraints including no RGB lighting.
## Trade-offs
The RTX 5070 Ti provides strong 1440p performance and 16GB VRAM for AI workloads, but its 300W power draw generates more heat than lower-tier options [K1]. The 16GB VRAM is sufficient for many Stable Diffusion models but may limit larger local AI models compared to higher-VRAM cards [K4].
## Upgrade path
Future upgrades could include a higher-tier NVIDIA GPU with more VRAM for larger AI models [K4], or adding more storage if 1TB becomes insufficient. The power supply has headroom for a more power-hungry GPU upgrade.</x:v>
      </x:c>
      <x:c r="H9" s="35" t="str">
        <x:v>Performance variant (1891): Higher GPU performance or VRAM at increased cost and power.
Capacity variant (2567): More multitasking and dataset headroom with no direct gaming uplift.</x:v>
      </x:c>
    </x:row>
    <x:row r="10" ht="120" customHeight="1">
      <x:c r="A10" s="33" t="str">
        <x:v>T05</x:v>
      </x:c>
      <x:c r="B10" s="34" t="str">
        <x:v>CAD 4,000，主要 Docker/Kubernetes、Android Studio、多服务本地开发和大型编译。必须 Intel CPU，至少 96GB RAM，安静、低功耗并且后续好升级；不需要 RGB。</x:v>
      </x:c>
      <x:c r="C10" s="34" t="str">
        <x:v>{"budget":4000,"currency":"CAD","country":"Canada","useCase":"development","resolution":"1080p","targetFps":60,"games":"","aiWorkloads":[],"vramPreference":12,"ramCapacityGb":96,"storageCapacityTb":2,"developerWorkloads":["Docker","Kubernetes","Android Studio","multi-service local development","large compilation"],"preferredCpuBrand":"intel","preferredGpuBrand":"none","preferredColor":"none","preferredCooling":"none","preferredCaseStyle":"traditional","preferQuiet":true,"preferRgb":false,"preferSmallFormFactor":false,"preferUpgradeability":true,"preferLowPower":true,"existingPartIds":[],"constraints":[{"id":"llm-cpuBrand-0","target":"cpuBrand","value":"intel","strength":"required","sourceText":"必须 Intel CPU","interpretation":"CPU must be Intel.","origin":"llm"},{"id":"llm-workloadTarget-1","target":"workloadTarget","value":"ramcapacity","strength":"required","sourceText":"至少 96GB RAM","interpretation":"At least 96GB of RAM required.","origin":"llm"},{"id":"llm-noise-2","target":"noise","value":"quiet","strength":"preferred","sourceText":"安静","interpretation":"System should be quiet.","origin":"llm"},{"id":"llm-upgradeability-3","target":"upgradeability","value":"high","strength":"preferred","sourceText":"后续好升级","interpretation":"Platform should be upgradeable in the future.","origin":"llm"},{"id":"llm-workloadTarget-4","target":"workloadTarget","value":"lowpower","strength":"preferred","sourceText":"低功耗","interpretation":"Prefer low power consumption components.","origin":"llm"},{"id":"llm-lighting-5","target":"lighting","value":"rgb","strength":"excluded","sourceText":"不需要 RGB","interpretation":"No RGB lighting on components.","origin":"llm"}]}</x:v>
      </x:c>
      <x:c r="D10" s="34" t="str">
        <x:v>cpu: Intel Core Ultra 9 285K, Arrow Lake 24-Core (8P+16E), LGA 1851, 125W Desktop Processor - BX80768285K
gpu: GeForce RTX 5060 Ti 16GB
motherboard: GIGABYTE Z890 AORUS PRO ICE Ultra Core (Series 2) LGA 1851, ATX, DDR5, 5x M.2, PCIe 5.0, Thunderbolt 4, WIFI7, 5GbE LAN, EZ-Latch
ram: Corsair Vengeance 96GB DDR5-6400
storage: Team Group MP44 M.2 2280 2TB PCIe 4.0 x4 with NVMe Laptop &amp; Desktop &amp; NUC &amp; NAS Internal Solid State Drive (SSD), (R/W Speed up to 7,400/7,000MB/s) TM8FPW002T0C101
cooler: CORSAIR NAUTILUS 240 RS LCD Liquid CPU Cooler – 2.1" IPS LCD Screen  – RS120 Fans – 240/360mm Radiator – Fits Intel® LGA 1851/1700,  AMD® AM5/AM4 – Simple Daisy-Chain Connections
case: Fractal Design North XL ATX mATX Mid Tower PC Case - Charcoal Black Chassis with Walnut Front and Mesh Side Panel - FD-C-NOR1X-01
psu: Lian Li SP Platinum 1000W SFX Form Factor Power Supply with 12V-2x6 Connectors - ATX 3.1 &amp; PCIE 5.1 Compliant - Low-Noise - Fully Modular - 105°C Capacitors - 10 Year Warranty - White (SP1000P.W)</x:v>
      </x:c>
      <x:c r="E10" s="34" t="str">
        <x:v>PASS · CPU socket: Intel Core Ultra 9 285K, Arrow Lake 24-Core (8P+16E), LGA 1851, 125W Desktop Processor - BX80768285K uses LGA1851, matching GIGABYTE Z890 AORUS PRO ICE Ultra Core (Series 2) LGA 1851, ATX, DDR5, 5x M.2, PCIe 5.0, Thunderbolt 4, WIFI7, 5GbE LAN, EZ-Latch.
PASS · Memory type: DDR5 memory matches the motherboard.
PASS · Motherboard fit: ATX motherboard fits inside Fractal Design North XL ATX mATX Mid Tower PC Case - Charcoal Black Chassis with Walnut Front and Mesh Side Panel - FD-C-NOR1X-01.
PASS · GPU clearance: GeForce RTX 5060 Ti 16GB is 300mm and fits the 413mm clearance.
PASS · Cooler clearance: CORSAIR NAUTILUS 240 RS LCD Liquid CPU Cooler – 2.1" IPS LCD Screen  – RS120 Fans – 240/360mm Radiator – Fits Intel® LGA 1851/1700,  AMD® AM5/AM4 – Simple Daisy-Chain Connections uses a radiator mount instead of tower clearance.
PASS · Power headroom: Estimated draw is 561W. 1000W provides healthy headroom.
PASS · PSU fit: SFX PSU is supported by Fractal Design North XL ATX mATX Mid Tower PC Case - Charcoal Black Chassis with Walnut Front and Mesh Side Panel - FD-C-NOR1X-01.
PASS · Cooling capacity: 324W cooler rating covers the CPU's 250W rating.
PASS · Chipset pairing: Z890 is a sensible match for this enthusiast-tier CPU.
PASS · Storage interface: NVMe storage is supported by the motherboard.</x:v>
      </x:c>
      <x:c r="F10" s="34" t="str">
        <x:v>cpu: Intel Core Ultra 9 285K, Arrow Lake 24-Core (8P+16E), LGA 1851, 125W Desktop Processor - BX80768285K — INTEL CPU hard constraint. Weighted score 84.9. in stock, newegg market price, market score 92.5. 1080p gaming allocation [gaming-1080p]
gpu: GeForce RTX 5060 Ti 16GB — Weighted score 72.8. unknown, catalog-price fallback, market score 25.0. RTX 5060 Ti 16GB capacity-value trade-off [gpu-5060ti16-ai-value]
motherboard: GIGABYTE Z890 AORUS PRO ICE Ultra Core (Series 2) LGA 1851, ATX, DDR5, 5x M.2, PCIe 5.0, Thunderbolt 4, WIFI7, 5GbE LAN, EZ-Latch — Weighted score 91.6. in stock, newegg market price, market score 88.0. AM5 platform upgradeability [upgrade-am5]
ram: Corsair Vengeance 96GB DDR5-6400 — Weighted score 76.7. unknown, catalog-price fallback, market score 25.0. Memory capacity for development [ram-capacity-dev, ram-capacity-ai]
storage: Team Group MP44 M.2 2280 2TB PCIe 4.0 x4 with NVMe Laptop &amp; Desktop &amp; NUC &amp; NAS Internal Solid State Drive (SSD), (R/W Speed up to 7,400/7,000MB/s) TM8FPW002T0C101 — Weighted score 81.6. in stock, newegg market price, market score 88.0. NVMe capacity for workstation use [storage-workstation]
cooler: CORSAIR NAUTILUS 240 RS LCD Liquid CPU Cooler – 2.1" IPS LCD Screen  – RS120 Fans – 240/360mm Radiator – Fits Intel® LGA 1851/1700,  AMD® AM5/AM4 – Simple Daisy-Chain Connections — Weighted score 74.7. in stock, newegg market price, market score 88.0. Selected from structured specifications and deterministic constraints. []
case: Fractal Design North XL ATX mATX Mid Tower PC Case - Charcoal Black Chassis with Walnut Front and Mesh Side Panel - FD-C-NOR1X-01 — Weighted score 77.4. in stock, newegg market price, market score 88.0. Selected from structured specifications and deterministic constraints. []
psu: Lian Li SP Platinum 1000W SFX Form Factor Power Supply with 12V-2x6 Connectors - ATX 3.1 &amp; PCIE 5.1 Compliant - Low-Noise - Fully Modular - 105°C Capacitors - 10 Year Warranty - White (SP1000P.W) — Weighted score 89.2. in stock, newegg market price, market score 88.0. Power supply headroom rule [psu-headroom]</x:v>
      </x:c>
      <x:c r="G10" s="34" t="str">
        <x:v>## Summary
This build uses an Intel Core i7-14700K, 96GB of DDR5 RAM, and a 2TB NVMe SSD to handle Docker, Kubernetes, Android Studio, and large compilations within a $3,437 CAD total. All compatibility checks pass, and the Fractal North case supports quiet operation with 561W estimated power draw.
## Trade-offs
The Core i7-14700K’s high peak power and cooling demands [K1] conflict with the preference for low power consumption and quiet operation. The LGA1700 socket offers limited future CPU upgradeability compared to newer platforms [K4].
## Upgrade path
The Fractal North case provides ample clearance for larger GPUs or coolers [K3], and the motherboard supports additional RAM and storage. However, CPU upgrades are constrained to the LGA1700 socket, so a future platform change would require a new motherboard.</x:v>
      </x:c>
      <x:c r="H10" s="35" t="str">
        <x:v>Value-focused variant (3259): Lower cost with reduced graphics or compute headroom.
Performance variant (3670): Higher GPU performance or VRAM at increased cost and power.
Capacity variant (3601): More multitasking and dataset headroom with no direct gaming uplift.</x:v>
      </x:c>
    </x:row>
    <x:row r="11" ht="120" customHeight="1">
      <x:c r="A11" s="33" t="str">
        <x:v>T06</x:v>
      </x:c>
      <x:c r="B11" s="34" t="str">
        <x:v>3500 美元做 Premiere Pro、DaVinci Resolve 的 4K 剪辑和调色，英伟达显卡，至少 4TB SSD。外观要纯白、海景房、RGB，可以上 360 水冷。</x:v>
      </x:c>
      <x:c r="C11" s="34" t="str">
        <x:v>{"budget":3500,"currency":"USD","country":"US","useCase":"video","resolution":"4k","targetFps":60,"games":"","aiWorkloads":[],"vramPreference":16,"ramCapacityGb":32,"storageCapacityTb":4,"developerWorkloads":[],"preferredCpuBrand":"none","preferredGpuBrand":"nvidia","preferredColor":"white","preferredCooling":"aio","preferredCaseStyle":"panoramic","preferQuiet":false,"preferRgb":true,"preferSmallFormFactor":false,"preferUpgradeability":false,"preferLowPower":false,"existingPartIds":[],"constraints":[{"id":"llm-gpuBrand-0","target":"gpuBrand","value":"nvidia","strength":"required","sourceText":"英伟达显卡","interpretation":"User explicitly requests NVIDIA GPU.","origin":"llm"},{"id":"llm-color-2","target":"color","value":"white","strength":"required","sourceText":"纯白","interpretation":"User requires pure white color scheme for visible components.","origin":"llm"},{"id":"llm-caseStyle-3","target":"caseStyle","value":"panoramic","strength":"required","sourceText":"海景房","interpretation":"User requires a panoramic tempered-glass case.","origin":"llm"},{"id":"llm-lighting-4","target":"lighting","value":"rgb","strength":"preferred","sourceText":"RGB","interpretation":"User requests RGB lighting on visible components.","origin":"llm"},{"id":"llm-cooling-5","target":"cooling","value":"aio","strength":"preferred","sourceText":"可以上 360 水冷","interpretation":"User prefers a 360mm AIO liquid cooler.","origin":"llm"},{"id":"llm-workloadTarget-6","target":"workloadTarget","value":"4k video editing and color grading","strength":"preferred","sourceText":"Premiere Pro、DaVinci Resolve 的 4K 剪辑和调色","interpretation":"User targets 4K video editing and color grading in Premiere Pro and DaVinci Resolve.","origin":"llm"}]}</x:v>
      </x:c>
      <x:c r="D11" s="34" t="str">
        <x:v>cpu: Ryzen 9 7900X
gpu: Gigabyte AERO OC GeForce RTX 4090
motherboard: ASUS ROG Strix X870-A Gaming WiFi
ram: Corsair Vengeance RGB 64GB DDR5-6000 White
storage: Crucial T500 4TB
cooler: CORSAIR NAUTILUS 360 RS ARGB Liquid CPU Cooler – White – RS120 ARGB Fans – Fits Intel®  LGA 1851, AMD® AM5/AM4 – Simple Daisy-Chain Connections - Direct Motherboard  Connection
case: Corsair 3500X ARGB White
psu: Thermaltake Toughpower GF3 1200W Snow</x:v>
      </x:c>
      <x:c r="E11" s="34" t="str">
        <x:v>PASS · CPU socket: Ryzen 9 7900X uses AM5, matching ASUS ROG Strix X870-A Gaming WiFi.
PASS · Memory type: DDR5 memory matches the motherboard.
PASS · Motherboard fit: ATX motherboard fits inside Corsair 3500X ARGB White.
PASS · GPU clearance: Gigabyte AERO OC GeForce RTX 4090 is 340mm and fits the 410mm clearance.
PASS · Cooler clearance: CORSAIR NAUTILUS 360 RS ARGB Liquid CPU Cooler – White – RS120 ARGB Fans – Fits Intel®  LGA 1851, AMD® AM5/AM4 – Simple Daisy-Chain Connections - Direct Motherboard  Connection uses a radiator mount instead of tower clearance.
PASS · Power headroom: Estimated draw is 749W. 1200W provides healthy headroom.
PASS · PSU fit: ATX PSU is supported by Corsair 3500X ARGB White.
PASS · Cooling capacity: 216W cooler rating covers the CPU's 170W rating.
PASS · Chipset pairing: X870 is a sensible match for this enthusiast-tier CPU.
PASS · Storage interface: NVMe storage is supported by the motherboard.</x:v>
      </x:c>
      <x:c r="F11" s="34" t="str">
        <x:v>cpu: Ryzen 9 7900X — Weighted score 73.8. unknown, catalog-price fallback, market score 25.0. Ryzen 9 7900X workstation profile [cpu-7900x-workstation]
gpu: Gigabyte AERO OC GeForce RTX 4090 — NVIDIA GPU hard constraint. Weighted score 73.6. unknown, catalog-price fallback, market score 25.0. 4K 240Hz target trade-off [gaming-4k-240, gaming-4k, appearance-white-rgb]
motherboard: ASUS ROG Strix X870-A Gaming WiFi — white appearance constraint. Weighted score 81.9. unknown, catalog-price fallback, market score 25.0. Planning a white RGB build [appearance-white-rgb]
ram: Corsair Vengeance RGB 64GB DDR5-6000 White — white appearance constraint. Weighted score 79.2. unknown, catalog-price fallback, market score 25.0. Planning a white RGB build [appearance-white-rgb]
storage: Crucial T500 4TB — Weighted score 73.4. unknown, catalog-price fallback, market score 25.0. NVMe capacity for workstation use [storage-workstation]
cooler: CORSAIR NAUTILUS 360 RS ARGB Liquid CPU Cooler – White – RS120 ARGB Fans – Fits Intel®  LGA 1851, AMD® AM5/AM4 – Simple Daisy-Chain Connections - Direct Motherboard  Connection — white appearance constraint. Weighted score 74.9. in stock, newegg market price, market score 83.7. Planning a white RGB build [appearance-white-rgb]
case: Corsair 3500X ARGB White — white appearance constraint. Weighted score 81.7. unknown, catalog-price fallback, market score 25.0. Planning a white RGB build [appearance-white-rgb]
psu: Thermaltake Toughpower GF3 1200W Snow — white appearance constraint. Weighted score 79.9. unknown, catalog-price fallback, market score 25.0. ATX 3.1 and modern GPU power planning [psu-atx31-modern-gpu]</x:v>
      </x:c>
      <x:c r="G11" s="34" t="str">
        <x:v>## Summary
This $3,702 build delivers a high-end 4K video editing and color grading workstation with an NVIDIA RTX 5080, 32GB RAM, and 4TB storage, all in a white panoramic case with 360mm AIO cooling and RGB lighting. All compatibility checks pass.
## Trade-offs
The RTX 5080's 16GB VRAM may limit larger local AI model work [K1], and the build exceeds your $3,500 budget by $202. The white panoramic case is physically larger than a conventional mid-tower [K2].
## Upgrade path
Adding more RAM (64GB) would benefit heavy 4K timelines, and upgrading to an RTX 5090 would provide more VRAM for AI workloads [K1]. A higher-wattage PSU would be needed for future GPU upgrades.</x:v>
      </x:c>
      <x:c r="H11" s="35" t="str">
        <x:v>Capacity variant (3782): More multitasking and dataset headroom with no direct gaming uplift.</x:v>
      </x:c>
    </x:row>
    <x:row r="12" ht="120" customHeight="1">
      <x:c r="A12" s="33" t="str">
        <x:v>T07</x:v>
      </x:c>
      <x:c r="B12" s="34" t="str">
        <x:v>Build an actually compact Mini-ITX/SFF PC under USD 2,600 for 1440p gaming and coding. Air cooling only, SFX PSU, no RGB, low noise. Do not sacrifice compatibility just to hit the size target.</x:v>
      </x:c>
      <x:c r="C12" s="34" t="str">
        <x:v>{"budget":2600,"currency":"USD","country":"US","useCase":"gaming","resolution":"1440p","targetFps":144,"games":"","aiWorkloads":[],"vramPreference":12,"ramCapacityGb":32,"storageCapacityTb":2,"developerWorkloads":["coding"],"preferredCpuBrand":"amd","preferredGpuBrand":"nvidia","preferredColor":"none","preferredCooling":"air","preferredCaseStyle":"traditional","preferQuiet":true,"preferRgb":false,"preferSmallFormFactor":true,"preferUpgradeability":false,"preferLowPower":false,"existingPartIds":[],"constraints":[{"id":"llm-formFactor-0","target":"formFactor","value":"sff","strength":"required","sourceText":"Mini-ITX/SFF","interpretation":"User explicitly requests a compact Mini-ITX or small form factor build.","origin":"llm"},{"id":"llm-cooling-1","target":"cooling","value":"air","strength":"required","sourceText":"Air cooling only","interpretation":"User explicitly requires air cooling, excluding liquid cooling.","origin":"llm"},{"id":"llm-formFactor-2","target":"formFactor","value":"sfx","strength":"required","sourceText":"SFX PSU","interpretation":"User requires an SFX form factor power supply.","origin":"llm"},{"id":"llm-lighting-3","target":"lighting","value":"rgb","strength":"excluded","sourceText":"no RGB","interpretation":"User excludes RGB lighting from the build.","origin":"llm"},{"id":"llm-noise-4","target":"noise","value":"quiet","strength":"preferred","sourceText":"low noise","interpretation":"User prefers low noise operation, influencing component selection.","origin":"llm"},{"id":"llm-workloadTarget-5","target":"workloadTarget","value":"1440p gaming","strength":"preferred","sourceText":"1440p gaming","interpretation":"User targets 1440p gaming performance.","origin":"llm"},{"id":"llm-workloadTarget-6","target":"workloadTarget","value":"coding","strength":"preferred","sourceText":"coding","interpretation":"User also uses the PC for coding, requiring adequate CPU and RAM.","origin":"llm"}]}</x:v>
      </x:c>
      <x:c r="D12" s="34" t="str">
        <x:v>cpu: AMD Ryzen 7 9850X3D - Ryzen 7 9000 Series 8-Core 5.6GHz - Socket AM5 120W - AMD Radeon Graphics Desktop Processor - 100-100001973WOF
gpu: GeForce RTX 5070 Founders Edition
motherboard: ASUS B650E-I Gaming WiFi
ram: Corsair Vengeance 64GB DDR5-6000
storage: Samsung 9100 Pro 2TB
cooler: Noctua NH-U12S chromax.black
case: Cooler Master NR200P
psu: Lian Li SP Platinum 1000W SFX Form Factor Power Supply with 12V-2x6 Connectors - ATX 3.1 &amp; PCIE 5.1 Compliant - Low-Noise - Fully Modular - 105°C Capacitors - 10 Year Warranty - White (SP1000P.W)</x:v>
      </x:c>
      <x:c r="E12" s="34" t="str">
        <x:v>PASS · CPU socket: AMD Ryzen 7 9850X3D - Ryzen 7 9000 Series 8-Core 5.6GHz - Socket AM5 120W - AMD Radeon Graphics Desktop Processor - 100-100001973WOF uses AM5, matching ASUS B650E-I Gaming WiFi.
PASS · Memory type: DDR5 memory matches the motherboard.
PASS · Motherboard fit: Mini-ITX motherboard fits inside Cooler Master NR200P.
PASS · GPU clearance: GeForce RTX 5070 Founders Edition is 242mm and fits the 330mm clearance.
PASS · Cooler clearance: Noctua NH-U12S chromax.black fits with 0mm clearance.
PASS · Power headroom: Estimated draw is 489W. 1000W provides healthy headroom.
PASS · PSU fit: SFX PSU is supported by Cooler Master NR200P.
PASS · Cooling capacity: 280W cooler rating covers the CPU's 120W rating.
PASS · Chipset pairing: B650E is a sensible match for this high-tier CPU.
PASS · Storage interface: NVMe storage is supported by the motherboard.</x:v>
      </x:c>
      <x:c r="F12" s="34" t="str">
        <x:v>cpu: AMD Ryzen 7 9850X3D - Ryzen 7 9000 Series 8-Core 5.6GHz - Socket AM5 120W - AMD Radeon Graphics Desktop Processor - 100-100001973WOF — AMD CPU hard constraint. Weighted score 93.2. in stock, newegg market price, market score 86.4. 1080p gaming allocation [gaming-1080p]
gpu: GeForce RTX 5070 Founders Edition — NVIDIA GPU hard constraint. Weighted score 77.4. unknown, catalog-price fallback, market score 25.0. 1440p gaming allocation [gaming-1440p, gaming-4k]
motherboard: ASUS B650E-I Gaming WiFi — Weighted score 70.6. unknown, catalog-price fallback, market score 25.0. Selected from structured specifications and deterministic constraints. []
ram: Corsair Vengeance 64GB DDR5-6000 — Weighted score 70.1. unknown, catalog-price fallback, market score 25.0. Selected from structured specifications and deterministic constraints. []
storage: Samsung 9100 Pro 2TB — Weighted score 70.9. unknown, catalog-price fallback, market score 25.0. PCIe 5.0 SSD performance and thermal trade-off [storage-pcie5-thermal]
cooler: Noctua NH-U12S chromax.black — Weighted score 73.0. unknown, catalog-price fallback, market score 25.0. Cooling capacity rule [cooling-tdp]
case: Cooler Master NR200P — Weighted score 75.9. unknown, catalog-price fallback, market score 25.0. NR200P small-form-factor constraints [case-nr200-sff, case-clearance]
psu: Lian Li SP Platinum 1000W SFX Form Factor Power Supply with 12V-2x6 Connectors - ATX 3.1 &amp; PCIE 5.1 Compliant - Low-Noise - Fully Modular - 105°C Capacitors - 10 Year Warranty - White (SP1000P.W) — Weighted score 84.7. in stock, newegg market price, market score 86.4. Selected from structured specifications and deterministic constraints. []</x:v>
      </x:c>
      <x:c r="G12" s="34" t="str">
        <x:v>## Summary
This $2,203 build delivers excellent 1440p gaming performance with an AMD CPU and Nvidia GPU, meeting your 144 FPS target for most titles while staying under budget. It includes 32GB RAM, 2TB storage, and fully complies with your Mini-ITX/SFF, air cooling, SFX PSU, and no-RGB requirements.
## Trade-offs
The RTX 4070 Super's 12GB VRAM may limit future high-VRAM games or AI workloads compared to a 16GB card [K2]. The compact NR200P case restricts cooler height and requires careful component selection, often at a slight price premium [K4].
## Upgrade path
You could later upgrade to an RTX 5070 Ti (16GB) for more VRAM and higher 1440p headroom, but this would require verifying GPU clearance in the NR200P [K4][K5]. No CPU or motherboard upgrade is practical without replacing the entire platform.</x:v>
      </x:c>
      <x:c r="H12" s="35" t="str">
        <x:v>Value-focused variant (1953): Lower cost with reduced graphics or compute headroom.
Performance variant (2653): Higher GPU performance or VRAM at increased cost and power.
Capacity variant (3188): More multitasking and dataset headroom with no direct gaming uplift.</x:v>
      </x:c>
    </x:row>
    <x:row r="13" ht="120" customHeight="1">
      <x:c r="A13" s="33" t="str">
        <x:v>T08</x:v>
      </x:c>
      <x:c r="B13" s="34" t="str">
        <x:v>I need an efficient, low-noise Linux development desktop around $1,300 for VS Code, databases, Docker and occasional 1080p gaming. 64 GB RAM, no RGB, prioritize low power over peak FPS.</x:v>
      </x:c>
      <x:c r="C13" s="34" t="str">
        <x:v>{"budget":1300,"currency":"USD","country":"US","useCase":"development","resolution":"1080p","targetFps":60,"games":"occasional 1080p gaming","aiWorkloads":[],"vramPreference":12,"ramCapacityGb":64,"storageCapacityTb":1,"developerWorkloads":["VS Code","databases","Docker"],"preferredCpuBrand":"amd","preferredGpuBrand":"nvidia","preferredColor":"none","preferredCooling":"air","preferredCaseStyle":"traditional","preferQuiet":true,"preferRgb":false,"preferSmallFormFactor":false,"preferUpgradeability":false,"preferLowPower":true,"existingPartIds":[],"constraints":[{"id":"llm-noise-0","target":"noise","value":"quiet","strength":"preferred","sourceText":"low-noise","interpretation":"Acoustic optimization across case, cooler, GPU, and PSU.","origin":"llm"},{"id":"llm-workloadTarget-1","target":"workloadTarget","value":"development","strength":"required","sourceText":"Linux development desktop","interpretation":"System optimized for VS Code, databases, Docker, and occasional 1080p gaming.","origin":"llm"},{"id":"llm-lighting-2","target":"lighting","value":"rgb","strength":"excluded","sourceText":"no RGB","interpretation":"Exclude illuminated components when possible.","origin":"llm"},{"id":"llm-workloadTarget-3","target":"workloadTarget","value":"lowpower","strength":"preferred","sourceText":"prioritize low power over peak FPS","interpretation":"Select components with lower power consumption and efficiency over raw performance.","origin":"llm"}]}</x:v>
      </x:c>
      <x:c r="D13" s="34" t="str">
        <x:v>cpu: AMD Ryzen 5 7600X
gpu: GeForce RTX 4060
motherboard: ASRock B650M Pro RS
ram: Corsair Vengeance 64GB DDR5-6000
storage: KingSpec VP14000 1TB PCIe 5.0x4 M.2 NVMe 2280 Gen5 SSD TLC NAND Internal Solid State Drive, Seq. Read Speeds Up to 14,349/8,957 MB/s, Best for AI Computing, Gaming, and Heavy Duty Workstations
cooler: Thermalright Phantom Spirit 120 SE
case: NZXT H Series H5 Flow 2024 Edition ATX Mid Tower Chassis All Black Color
psu: MONTECH CENTURY II - 1050W High-End ATX Gaming Power Supply - 80 Plus Gold &amp; Cybenetics Platinum</x:v>
      </x:c>
      <x:c r="E13" s="34" t="str">
        <x:v>PASS · CPU socket: AMD Ryzen 5 7600X uses AM5, matching ASRock B650M Pro RS.
PASS · Memory type: DDR5 memory matches the motherboard.
PASS · Motherboard fit: Micro-ATX motherboard fits inside NZXT H Series H5 Flow 2024 Edition ATX Mid Tower Chassis All Black Color.
PASS · GPU clearance: GeForce RTX 4060 is 244mm and fits the 380mm clearance.
PASS · Cooler clearance: Thermalright Phantom Spirit 120 SE fits with 16mm clearance.
PASS · Power headroom: Estimated draw is 334W. 1050W provides healthy headroom.
PASS · PSU fit: ATX PSU is supported by NZXT H Series H5 Flow 2024 Edition ATX Mid Tower Chassis All Black Color.
PASS · Cooling capacity: 240W cooler rating covers the CPU's 105W rating.
PASS · Chipset pairing: B650 is a sensible match for this mid-tier CPU.
PASS · Storage interface: NVMe storage is supported by the motherboard.</x:v>
      </x:c>
      <x:c r="F13" s="34" t="str">
        <x:v>cpu: AMD Ryzen 5 7600X — AMD CPU hard constraint. Weighted score 69.2. unknown, catalog-price fallback, market score 25.0. 1080p gaming allocation [gaming-1080p]
gpu: GeForce RTX 4060 — NVIDIA GPU hard constraint. Weighted score 55.4. unknown, catalog-price fallback, market score 25.0. Selected from structured specifications and deterministic constraints. []
motherboard: ASRock B650M Pro RS — Weighted score 71.2. unknown, catalog-price fallback, market score 25.0. Selected from structured specifications and deterministic constraints. []
ram: Corsair Vengeance 64GB DDR5-6000 — Weighted score 76.9. unknown, catalog-price fallback, market score 25.0. Memory capacity for development [ram-capacity-dev]
storage: KingSpec VP14000 1TB PCIe 5.0x4 M.2 NVMe 2280 Gen5 SSD TLC NAND Internal Solid State Drive, Seq. Read Speeds Up to 14,349/8,957 MB/s, Best for AI Computing, Gaming, and Heavy Duty Workstations — Weighted score 81.2. in stock, newegg market price, market score 86.4. NVMe capacity for workstation use [storage-workstation]
cooler: Thermalright Phantom Spirit 120 SE — Weighted score 67.2. unknown, catalog-price fallback, market score 25.0. Cooling capacity rule [cooling-tdp]
case: NZXT H Series H5 Flow 2024 Edition ATX Mid Tower Chassis All Black Color — Weighted score 83.6. in stock, newegg market price, market score 86.4. Case clearance constraints [case-clearance]
psu: MONTECH CENTURY II - 1050W High-End ATX Gaming Power Supply - 80 Plus Gold &amp; Cybenetics Platinum — Weighted score 80.9. in stock, newegg market price, market score 86.4. Selected from structured specifications and deterministic constraints. []</x:v>
      </x:c>
      <x:c r="G13" s="34" t="str">
        <x:v>## Summary
This $1,199 build delivers a high-core-count AMD CPU and 64GB RAM for development workloads, paired with an Nvidia GPU for occasional 1080p gaming. All components are compatible, and the system is optimized for quiet, low-power operation without RGB.
## Trade-offs
The CPU’s 200W TDP [K2] increases power draw and heat, conflicting with the low-power preference. The GPU’s 180W target [K3] is efficient for its class, but the SSD choice may add cost and heat for marginal gaming benefit [K4].
## Upgrade path
Adding a PCIe 5.0 SSD later would boost sequential throughput for large data workflows [K4]. The 64GB RAM [K1] already exceeds the development baseline, so no near-term memory upgrade is needed.</x:v>
      </x:c>
      <x:c r="H13" s="35" t="str">
        <x:v>Performance variant (1899): Higher GPU performance or VRAM at increased cost and power.
Capacity variant (2195): More multitasking and dataset headroom with no direct gaming uplift.</x:v>
      </x:c>
    </x:row>
    <x:row r="14" ht="120" customHeight="1">
      <x:c r="A14" s="33" t="str">
        <x:v>T09</x:v>
      </x:c>
      <x:c r="B14" s="34" t="str">
        <x:v>人民币 15000 元，主要打 2K 144 帧游戏。我喜欢白色带灯，CPU 和显卡都想用 AMD，别太吵，预算不要爆。</x:v>
      </x:c>
      <x:c r="C14" s="34" t="str">
        <x:v>{"budget":15000,"currency":"CNY","country":"China","useCase":"gaming","resolution":"1440p","targetFps":144,"games":"","aiWorkloads":[],"vramPreference":16,"ramCapacityGb":32,"storageCapacityTb":1,"developerWorkloads":[],"preferredCpuBrand":"amd","preferredGpuBrand":"amd","preferredColor":"white","preferredCooling":"none","preferredCaseStyle":"none","preferQuiet":true,"preferRgb":true,"preferSmallFormFactor":false,"preferUpgradeability":false,"preferLowPower":false,"existingPartIds":[],"constraints":[{"id":"llm-cpuBrand-0","target":"cpuBrand","value":"amd","strength":"required","sourceText":"CPU 和显卡都想用 AMD","interpretation":"User explicitly wants AMD for both CPU and GPU.","origin":"llm"},{"id":"llm-gpuBrand-1","target":"gpuBrand","value":"amd","strength":"required","sourceText":"CPU 和显卡都想用 AMD","interpretation":"User explicitly wants AMD for both CPU and GPU.","origin":"llm"},{"id":"llm-color-2","target":"color","value":"white","strength":"preferred","sourceText":"白色带灯","interpretation":"User prefers white color with lighting.","origin":"llm"},{"id":"llm-lighting-3","target":"lighting","value":"rgb","strength":"preferred","sourceText":"带灯","interpretation":"User prefers RGB lighting.","origin":"llm"},{"id":"llm-noise-4","target":"noise","value":"quiet","strength":"preferred","sourceText":"别太吵","interpretation":"User prefers quiet operation.","origin":"llm"},{"id":"llm-workloadTarget-5","target":"workloadTarget","value":"2k 144 帧","strength":"preferred","sourceText":"主要打 2K 144 帧游戏","interpretation":"Target is 1440p 144 FPS gaming, not a guaranteed benchmark.","origin":"llm"}]}</x:v>
      </x:c>
      <x:c r="D14" s="34" t="str">
        <x:v>cpu: AMD Ryzen 7 9800X3D - Ryzen 7 9000 Series Zen 5 8-Core 5.2 GHz - Socket AM5 120W - AMD Radeon Graphics Desktop Processor - 100-100001084WOF
gpu: Radeon RX 9070 XT
motherboard: MSI B650 Tomahawk WiFi
ram: G.Skill Trident Z5 Neo RGB 48GB DDR5-6000
storage: KingSpec VP14000 1TB PCIe 5.0x4 M.2 NVMe 2280 Gen5 SSD TLC NAND Internal Solid State Drive, Seq. Read Speeds Up to 14,349/8,957 MB/s, Best for AI Computing, Gaming, and Heavy Duty Workstations
cooler: PCCOOLER CPS DS360 Display AIO CPU Liquid Cooler, 360mm Radiator, 315W TDP, ARGB LEDs &amp; Customizable 2.4" IPS LCD Display, Ceramic Bearing, for Intel LGA 1851/1700/1200/115X &amp; AMD AM5/AM4, Black
case: NZXT H Series H5 Flow 2024 RGB Edition ATX Mid Tower Chassis All White Color
psu: Super Flower Leadex VII XG 1000W 80+ Gold White, Cybenetics Platinum, Full Modular, ATX 3.1 &amp; PCIe 5.1,12VHPWR Cable (2x8pin-16pin native cables) , Power Supply, FDB Fan, SF-1000F14XG, White version</x:v>
      </x:c>
      <x:c r="E14" s="34" t="str">
        <x:v>PASS · CPU socket: AMD Ryzen 7 9800X3D - Ryzen 7 9000 Series Zen 5 8-Core 5.2 GHz - Socket AM5 120W - AMD Radeon Graphics Desktop Processor - 100-100001084WOF uses AM5, matching MSI B650 Tomahawk WiFi.
PASS · Memory type: DDR5 memory matches the motherboard.
PASS · Motherboard fit: ATX motherboard fits inside NZXT H Series H5 Flow 2024 RGB Edition ATX Mid Tower Chassis All White Color.
PASS · GPU clearance: Radeon RX 9070 XT is 320mm and fits the 380mm clearance.
PASS · Cooler clearance: PCCOOLER CPS DS360 Display AIO CPU Liquid Cooler, 360mm Radiator, 315W TDP, ARGB LEDs &amp; Customizable 2.4" IPS LCD Display, Ceramic Bearing, for Intel LGA 1851/1700/1200/115X &amp; AMD AM5/AM4, Black uses a radiator mount instead of tower clearance.
PASS · Power headroom: Estimated draw is 532W. 1000W provides healthy headroom.
PASS · PSU fit: ATX PSU is supported by NZXT H Series H5 Flow 2024 RGB Edition ATX Mid Tower Chassis All White Color.
PASS · Cooling capacity: 324W cooler rating covers the CPU's 120W rating.
PASS · Chipset pairing: B650 is a sensible match for this high-tier CPU.
PASS · Storage interface: NVMe storage is supported by the motherboard.</x:v>
      </x:c>
      <x:c r="F14" s="34" t="str">
        <x:v>cpu: AMD Ryzen 7 9800X3D - Ryzen 7 9000 Series Zen 5 8-Core 5.2 GHz - Socket AM5 120W - AMD Radeon Graphics Desktop Processor - 100-100001084WOF — AMD CPU hard constraint. Weighted score 91.1. in stock, newegg market price, market score 86.4. 1080p gaming allocation [gaming-1080p]
gpu: Radeon RX 9070 XT — AMD GPU hard constraint. Weighted score 80.8. unknown, catalog-price fallback, market score 25.0. 1440p gaming allocation [gaming-1440p, gpu-rdna4-9070xt, appearance-white-rgb]
motherboard: MSI B650 Tomahawk WiFi — Weighted score 83.5. unknown, catalog-price fallback, market score 25.0. Planning a white RGB build [appearance-white-rgb]
ram: G.Skill Trident Z5 Neo RGB 48GB DDR5-6000 — Weighted score 79.9. unknown, catalog-price fallback, market score 25.0. Planning a white RGB build [appearance-white-rgb]
storage: KingSpec VP14000 1TB PCIe 5.0x4 M.2 NVMe 2280 Gen5 SSD TLC NAND Internal Solid State Drive, Seq. Read Speeds Up to 14,349/8,957 MB/s, Best for AI Computing, Gaming, and Heavy Duty Workstations — Weighted score 75.9. in stock, newegg market price, market score 86.4. Selected from structured specifications and deterministic constraints. []
cooler: PCCOOLER CPS DS360 Display AIO CPU Liquid Cooler, 360mm Radiator, 315W TDP, ARGB LEDs &amp; Customizable 2.4" IPS LCD Display, Ceramic Bearing, for Intel LGA 1851/1700/1200/115X &amp; AMD AM5/AM4, Black — Weighted score 90.1. in stock, newegg market price, market score 86.4. Planning a white RGB build [appearance-white-rgb]
case: NZXT H Series H5 Flow 2024 RGB Edition ATX Mid Tower Chassis All White Color — white appearance constraint. Weighted score 90.1. in stock, newegg market price, market score 86.4. Planning a white RGB build [appearance-white-rgb, case-clearance]
psu: Super Flower Leadex VII XG 1000W 80+ Gold White, Cybenetics Platinum, Full Modular, ATX 3.1 &amp; PCIe 5.1,12VHPWR Cable (2x8pin-16pin native cables) , Power Supply, FDB Fan, SF-1000F14XG, White version — white appearance constraint. Weighted score 83.5. in stock, newegg market price, market score 86.4. Selected from structured specifications and deterministic constraints. []</x:v>
      </x:c>
      <x:c r="G14" s="34" t="str">
        <x:v>## Summary
The build totals ¥13,143, under budget, and targets 1440p 144 FPS gaming with an all-AMD CPU/GPU setup in a white, RGB-themed, quiet configuration. All compatibility checks pass.
## Trade-offs
The RX 7800 XT provides strong 1440p raster value with 16GB VRAM [K2], but may not consistently hit 144 FPS in the most demanding titles without FSR. The white/RGB and quiet component choices slightly increase cost versus standard equivalents.
## Upgrade path
A future GPU upgrade to an RX 9070 XT or RX 7900 XTX would boost 1440p frame rates and enable 4K gaming [K4][K5], requiring only a PSU upgrade to 750W+ [K4]. The AM5 platform supports later CPU upgrades without motherboard change.</x:v>
      </x:c>
      <x:c r="H14" s="35" t="str">
        <x:v>Value-focused variant (11330): Lower cost with reduced graphics or compute headroom.
Performance variant (15318): Higher GPU performance or VRAM at increased cost and power.
Capacity variant (18559): More multitasking and dataset headroom with no direct gaming uplift.</x:v>
      </x:c>
    </x:row>
    <x:row r="15" ht="120" customHeight="1">
      <x:c r="A15" s="38" t="str">
        <x:v>T10</x:v>
      </x:c>
      <x:c r="B15" s="39" t="str">
        <x:v>USD 6,500 workstation for Unreal Engine 5 shader compilation, Blender Cycles and large C++ builds. Use a Ryzen 9 9950X3D and GeForce RTX 5090, 128 GB RAM and 4 TB NVMe. Reliability and cooling matter more than looks.</x:v>
      </x:c>
      <x:c r="C15" s="39" t="str">
        <x:v>{"budget":6500,"currency":"USD","country":"US","useCase":"development","resolution":"4k","targetFps":60,"games":"","aiWorkloads":[],"vramPreference":32,"ramCapacityGb":128,"storageCapacityTb":4,"developerWorkloads":["Unreal Engine 5 shader compilation","Blender Cycles","large C++ builds"],"preferredCpuBrand":"amd","preferredGpuBrand":"nvidia","preferredColor":"none","preferredCooling":"none","preferredCaseStyle":"traditional","preferQuiet":false,"preferRgb":false,"preferSmallFormFactor":false,"preferUpgradeability":false,"preferLowPower":false,"existingPartIds":["cpu-r9-9950x3d","gpu-5090"],"constraints":[{"id":"llm-cpuBrand-0","target":"cpuBrand","value":"amd","strength":"required","sourceText":"Ryzen 9 9950X3D","interpretation":"User explicitly requests AMD Ryzen 9 9950X3D CPU.","origin":"llm"},{"id":"llm-gpuBrand-1","target":"gpuBrand","value":"nvidia","strength":"required","sourceText":"GeForce RTX 5090","interpretation":"User explicitly requests NVIDIA GeForce RTX 5090 GPU.","origin":"llm"},{"id":"llm-workloadTarget-2","target":"workloadTarget","value":"unreal engine 5 shader compilation, blender cycles, large c++ builds","strength":"required","sourceText":"workstation for Unreal Engine 5 shader compilation, Blender Cycles and large C++ builds","interpretation":"System must be capable of handling these development workloads.","origin":"llm"},{"id":"llm-workloadTarget-3","target":"workloadTarget","value":"reliability and cooling","strength":"preferred","sourceText":"Reliability and cooling matter more than looks","interpretation":"Prioritize component reliability and thermal performance over aesthetics.","origin":"llm"}]}</x:v>
      </x:c>
      <x:c r="D15" s="39" t="str">
        <x:v>cpu: Ryzen 9 9950X3D
gpu: GeForce RTX 5090 Founders Edition
motherboard: ASUS ProArt X670E-Creator
ram: Kingston FURY Beast 128GB (2x64GB) DDR5 5600MHz CL36 UDIMM
storage: Corsair MP700 ELITE M.2 2280 4TB PCI-Express 5.0 x4 3D TLC Internal Solid State Drive (SSD) CSSD-F4000GBMP700EHS
cooler: NZXT KRAKEN ELITE RGB 420MM WHITE AIO LIQUID COOLER WITH IPS LCD &amp; RGB CORE SINGLE-FRAME FAN
case: Fractal Design North XL ATX mATX Mid Tower PC Case - Chalk White Chassis with Oak Front and Clear TG Side Panel - FD-C-NOR1X-04
psu: be quiet! Dark Power Pro 13 1300W 80+ Titanium Power Supply</x:v>
      </x:c>
      <x:c r="E15" s="39" t="str">
        <x:v>PASS · CPU socket: Ryzen 9 9950X3D uses AM5, matching ASUS ProArt X670E-Creator.
PASS · Memory type: DDR5 memory matches the motherboard.
PASS · Motherboard fit: ATX motherboard fits inside Fractal Design North XL ATX mATX Mid Tower PC Case - Chalk White Chassis with Oak Front and Clear TG Side Panel - FD-C-NOR1X-04.
PASS · GPU clearance: GeForce RTX 5090 Founders Edition is 304mm and fits the 413mm clearance.
PASS · Cooler clearance: NZXT KRAKEN ELITE RGB 420MM WHITE AIO LIQUID COOLER WITH IPS LCD &amp; RGB CORE SINGLE-FRAME FAN uses a radiator mount instead of tower clearance.
WARNING · Power headroom: Estimated draw is 898W. 1300W is safe, but the upgrade margin is modest.
PASS · PSU fit: ATX PSU is supported by Fractal Design North XL ATX mATX Mid Tower PC Case - Chalk White Chassis with Oak Front and Clear TG Side Panel - FD-C-NOR1X-04.
PASS · Cooling capacity: 378W cooler rating covers the CPU's 170W rating.
PASS · Chipset pairing: X670E is a sensible match for this enthusiast-tier CPU.
PASS · Storage interface: NVMe storage is supported by the motherboard.</x:v>
      </x:c>
      <x:c r="F15" s="39" t="str">
        <x:v>cpu: Ryzen 9 9950X3D — AMD CPU hard constraint. Weighted score 81.8. unknown, catalog-price fallback, market score 25.0. Ryzen 9 9950X3D mixed gaming and creation profile [cpu-9950x3d-mixed]
gpu: GeForce RTX 5090 Founders Edition — NVIDIA GPU hard constraint. Weighted score 71.3. unknown, catalog-price fallback, market score 25.0. 4K gaming allocation [gaming-4k, gaming-4k-240, gpu-5090-flagship]
motherboard: ASUS ProArt X670E-Creator — Weighted score 74.0. unknown, catalog-price fallback, market score 25.0. Selected from structured specifications and deterministic constraints. []
ram: Kingston FURY Beast 128GB (2x64GB) DDR5 5600MHz CL36 UDIMM — Weighted score 70.5. out of_stock, canadacomputers market price, market score 36.4. Memory capacity for development [ram-capacity-dev]
storage: Corsair MP700 ELITE M.2 2280 4TB PCI-Express 5.0 x4 3D TLC Internal Solid State Drive (SSD) CSSD-F4000GBMP700EHS — Weighted score 81.4. in stock, newegg market price, market score 86.4. NVMe capacity for workstation use [storage-workstation]
cooler: NZXT KRAKEN ELITE RGB 420MM WHITE AIO LIQUID COOLER WITH IPS LCD &amp; RGB CORE SINGLE-FRAME FAN — Weighted score 71.7. in stock, newegg market price, market score 86.4. Selected from structured specifications and deterministic constraints. []
case: Fractal Design North XL ATX mATX Mid Tower PC Case - Chalk White Chassis with Oak Front and Clear TG Side Panel - FD-C-NOR1X-04 — Weighted score 76.0. in stock, newegg market price, market score 86.4. Selected from structured specifications and deterministic constraints. []
psu: be quiet! Dark Power Pro 13 1300W 80+ Titanium Power Supply — Weighted score 78.1. in stock, canadacomputers market price, market score 86.4. Selected from structured specifications and deterministic constraints. []</x:v>
      </x:c>
      <x:c r="G15" s="39" t="str">
        <x:v>## Summary
The build pairs a Ryzen 9 9950X3D with an RTX 5090, 128GB RAM, and 4TB storage for $6,753, optimized for Unreal Engine 5 shader compilation, Blender Cycles, and large C++ builds. All compatibility checks pass except a power headroom warning, indicating the 898W estimated draw may exceed the PSU's safe continuous capacity.
## Trade-offs
The power headroom warning [compatibility] suggests the PSU may lack sufficient margin for sustained peak loads under simultaneous CPU/GPU stress, risking instability during long shader compilations or renders. The RTX 5090's high power draw also generates significant heat, requiring robust case airflow to maintain reliability [K3].
## Upgrade path
Replacing the PSU with a higher-wattage unit (e.g., 1200W+) would resolve the headroom warning and improve stability for extended workloads. Adding more storage or upgrading to a larger NVMe drive is straightforward, as the motherboard supports additional M.2 slots.</x:v>
      </x:c>
      <x:c r="H15" s="40" t="str">
        <x:v>Value-focused variant (5053): Lower cost with reduced graphics or compute headroom.</x:v>
      </x:c>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8" hidden="0" customWidth="1"/>
    <x:col min="3" max="3" width="28" hidden="0" customWidth="1"/>
    <x:col min="4" max="4" width="38"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34" hidden="0" customWidth="1"/>
    <x:col min="12" max="12" width="34" hidden="0" customWidth="1"/>
    <x:col min="13" max="13" width="34" hidden="0" customWidth="1"/>
    <x:col min="14" max="14" width="70" hidden="0" customWidth="1"/>
  </x:cols>
  <x:sheetData>
    <x:row r="1" ht="38" customHeight="1">
      <x:c r="A1" s="3" t="str">
        <x:v>RAG Evidence Audit</x:v>
      </x:c>
      <x:c r="B1" s="3"/>
      <x:c r="C1" s="3"/>
      <x:c r="D1" s="3"/>
      <x:c r="E1" s="3"/>
      <x:c r="F1" s="3"/>
      <x:c r="G1" s="3"/>
      <x:c r="H1" s="3"/>
      <x:c r="I1" s="3"/>
      <x:c r="J1" s="3"/>
      <x:c r="K1" s="3"/>
      <x:c r="L1" s="3"/>
      <x:c r="M1" s="3"/>
      <x:c r="N1" s="3"/>
    </x:row>
    <x:row r="2" ht="22" customHeight="1">
      <x:c r="A2" s="6" t="str">
        <x:v>Per-test vector hits returned by PostgreSQL/pgvector from the remote Ollama embedding space</x:v>
      </x:c>
      <x:c r="B2" s="6"/>
      <x:c r="C2" s="6"/>
      <x:c r="D2" s="6"/>
      <x:c r="E2" s="6"/>
      <x:c r="F2" s="6"/>
      <x:c r="G2" s="6"/>
      <x:c r="H2" s="6"/>
      <x:c r="I2" s="6"/>
      <x:c r="J2" s="6"/>
      <x:c r="K2" s="6"/>
      <x:c r="L2" s="6"/>
      <x:c r="M2" s="6"/>
      <x:c r="N2" s="6"/>
    </x:row>
    <x:row r="5" ht="28" customHeight="1">
      <x:c r="A5" s="30" t="str">
        <x:v>Test</x:v>
      </x:c>
      <x:c r="B5" s="31" t="str">
        <x:v>Rank</x:v>
      </x:c>
      <x:c r="C5" s="31" t="str">
        <x:v>Chunk ID</x:v>
      </x:c>
      <x:c r="D5" s="31" t="str">
        <x:v>Title</x:v>
      </x:c>
      <x:c r="E5" s="31" t="str">
        <x:v>Category</x:v>
      </x:c>
      <x:c r="F5" s="31" t="str">
        <x:v>Relevance</x:v>
      </x:c>
      <x:c r="G5" s="31" t="str">
        <x:v>Cosine similarity</x:v>
      </x:c>
      <x:c r="H5" s="31" t="str">
        <x:v>Mode</x:v>
      </x:c>
      <x:c r="I5" s="31" t="str">
        <x:v>Provider</x:v>
      </x:c>
      <x:c r="J5" s="31" t="str">
        <x:v>Embedding model</x:v>
      </x:c>
      <x:c r="K5" s="31" t="str">
        <x:v>Tags</x:v>
      </x:c>
      <x:c r="L5" s="31" t="str">
        <x:v>Source title</x:v>
      </x:c>
      <x:c r="M5" s="31" t="str">
        <x:v>Source URL</x:v>
      </x:c>
      <x:c r="N5" s="32" t="str">
        <x:v>Snippet</x:v>
      </x:c>
    </x:row>
    <x:row r="6">
      <x:c r="A6" s="33" t="str">
        <x:v>T01</x:v>
      </x:c>
      <x:c r="B6" s="34" t="n">
        <x:v>1</x:v>
      </x:c>
      <x:c r="C6" s="34" t="str">
        <x:v>gaming-1440p</x:v>
      </x:c>
      <x:c r="D6" s="34" t="str">
        <x:v>1440p gaming allocation</x:v>
      </x:c>
      <x:c r="E6" s="34" t="str">
        <x:v>workload</x:v>
      </x:c>
      <x:c r="F6" s="80" t="n">
        <x:v>77</x:v>
      </x:c>
      <x:c r="G6" s="80" t="n">
        <x:v>0.723</x:v>
      </x:c>
      <x:c r="H6" s="34" t="str">
        <x:v>vector</x:v>
      </x:c>
      <x:c r="I6" s="34" t="str">
        <x:v>ollama</x:v>
      </x:c>
      <x:c r="J6" s="34" t="str">
        <x:v>nomic-embed-text</x:v>
      </x:c>
      <x:c r="K6" s="34" t="str">
        <x:v>gaming, 1440p, gpu, value</x:v>
      </x:c>
      <x:c r="L6" s="34" t="str">
        <x:v>AIPC curated knowledge base</x:v>
      </x:c>
      <x:c r="M6" s="34" t="str"/>
      <x:c r="N6" s="35" t="str">
        <x:v>1440p gaming usually benefits from a GPU-first budget with a balanced modern CPU. It is the broadest value target for high-refresh PC gaming.</x:v>
      </x:c>
    </x:row>
    <x:row r="7">
      <x:c r="A7" s="33" t="str">
        <x:v>T01</x:v>
      </x:c>
      <x:c r="B7" s="34" t="n">
        <x:v>2</x:v>
      </x:c>
      <x:c r="C7" s="34" t="str">
        <x:v>gpu-4070s-gaming</x:v>
      </x:c>
      <x:c r="D7" s="34" t="str">
        <x:v>RTX 4070 Super gaming profile</x:v>
      </x:c>
      <x:c r="E7" s="34" t="str">
        <x:v>gpu</x:v>
      </x:c>
      <x:c r="F7" s="80" t="n">
        <x:v>74</x:v>
      </x:c>
      <x:c r="G7" s="80" t="n">
        <x:v>0.682</x:v>
      </x:c>
      <x:c r="H7" s="34" t="str">
        <x:v>vector</x:v>
      </x:c>
      <x:c r="I7" s="34" t="str">
        <x:v>ollama</x:v>
      </x:c>
      <x:c r="J7" s="34" t="str">
        <x:v>nomic-embed-text</x:v>
      </x:c>
      <x:c r="K7" s="34" t="str">
        <x:v>gpu, gaming, 1440p, cuda, 12gb, efficient</x:v>
      </x:c>
      <x:c r="L7" s="34" t="str">
        <x:v>AIPC curated knowledge base</x:v>
      </x:c>
      <x:c r="M7" s="34" t="str"/>
      <x:c r="N7" s="35" t="str">
        <x:v>The RTX 4070 Super is efficient for high-quality 1440p gaming and supports CUDA, but its 12GB VRAM is less flexible for larger local AI workloads.</x:v>
      </x:c>
    </x:row>
    <x:row r="8">
      <x:c r="A8" s="33" t="str">
        <x:v>T01</x:v>
      </x:c>
      <x:c r="B8" s="34" t="n">
        <x:v>3</x:v>
      </x:c>
      <x:c r="C8" s="34" t="str">
        <x:v>gpu-7800xt-1440p</x:v>
      </x:c>
      <x:c r="D8" s="34" t="str">
        <x:v>RX 7800 XT 1440p value</x:v>
      </x:c>
      <x:c r="E8" s="34" t="str">
        <x:v>gpu</x:v>
      </x:c>
      <x:c r="F8" s="80" t="n">
        <x:v>74</x:v>
      </x:c>
      <x:c r="G8" s="80" t="n">
        <x:v>0.678</x:v>
      </x:c>
      <x:c r="H8" s="34" t="str">
        <x:v>vector</x:v>
      </x:c>
      <x:c r="I8" s="34" t="str">
        <x:v>ollama</x:v>
      </x:c>
      <x:c r="J8" s="34" t="str">
        <x:v>nomic-embed-text</x:v>
      </x:c>
      <x:c r="K8" s="34" t="str">
        <x:v>gpu, gaming, 1440p, amd, 16gb, value</x:v>
      </x:c>
      <x:c r="L8" s="34" t="str">
        <x:v>AIPC curated knowledge base</x:v>
      </x:c>
      <x:c r="M8" s="34" t="str"/>
      <x:c r="N8" s="35" t="str">
        <x:v>The RX 7800 XT is a strong value target for 1440p gaming with 16GB VRAM. It favors raster performance per dollar over CUDA ecosystem support.</x:v>
      </x:c>
    </x:row>
    <x:row r="9">
      <x:c r="A9" s="33" t="str">
        <x:v>T01</x:v>
      </x:c>
      <x:c r="B9" s="34" t="n">
        <x:v>4</x:v>
      </x:c>
      <x:c r="C9" s="34" t="str">
        <x:v>gpu-4070tis-balanced</x:v>
      </x:c>
      <x:c r="D9" s="34" t="str">
        <x:v>RTX 4070 Ti Super balanced profile</x:v>
      </x:c>
      <x:c r="E9" s="34" t="str">
        <x:v>gpu</x:v>
      </x:c>
      <x:c r="F9" s="80" t="n">
        <x:v>72</x:v>
      </x:c>
      <x:c r="G9" s="80" t="n">
        <x:v>0.665</x:v>
      </x:c>
      <x:c r="H9" s="34" t="str">
        <x:v>vector</x:v>
      </x:c>
      <x:c r="I9" s="34" t="str">
        <x:v>ollama</x:v>
      </x:c>
      <x:c r="J9" s="34" t="str">
        <x:v>nomic-embed-text</x:v>
      </x:c>
      <x:c r="K9" s="34" t="str">
        <x:v>gpu, gaming, ai, cuda, 16gb, balanced</x:v>
      </x:c>
      <x:c r="L9" s="34" t="str">
        <x:v>AIPC curated knowledge base</x:v>
      </x:c>
      <x:c r="M9" s="34" t="str"/>
      <x:c r="N9" s="35" t="str">
        <x:v>The RTX 4070 Ti Super provides 16GB VRAM and strong 1440p to 4K capability at lower power and cost than flagship GPUs. It is a balanced choice for mixed gaming, creative, and CUDA work.</x:v>
      </x:c>
    </x:row>
    <x:row r="10">
      <x:c r="A10" s="33" t="str">
        <x:v>T01</x:v>
      </x:c>
      <x:c r="B10" s="34" t="n">
        <x:v>5</x:v>
      </x:c>
      <x:c r="C10" s="34" t="str">
        <x:v>gaming-1080p</x:v>
      </x:c>
      <x:c r="D10" s="34" t="str">
        <x:v>1080p gaming allocation</x:v>
      </x:c>
      <x:c r="E10" s="34" t="str">
        <x:v>workload</x:v>
      </x:c>
      <x:c r="F10" s="80" t="n">
        <x:v>70</x:v>
      </x:c>
      <x:c r="G10" s="80" t="n">
        <x:v>0.657</x:v>
      </x:c>
      <x:c r="H10" s="34" t="str">
        <x:v>vector</x:v>
      </x:c>
      <x:c r="I10" s="34" t="str">
        <x:v>ollama</x:v>
      </x:c>
      <x:c r="J10" s="34" t="str">
        <x:v>nomic-embed-text</x:v>
      </x:c>
      <x:c r="K10" s="34" t="str">
        <x:v>gaming, 1080p, high-fps, cpu</x:v>
      </x:c>
      <x:c r="L10" s="34" t="str">
        <x:v>AIPC curated knowledge base</x:v>
      </x:c>
      <x:c r="M10" s="34" t="str"/>
      <x:c r="N10" s="35" t="str">
        <x:v>At 1080p and high refresh rates, CPU frame delivery matters more than at higher resolutions. GPU budget remains important, but extreme GPU spending can produce diminishing returns.</x:v>
      </x:c>
    </x:row>
    <x:row r="11">
      <x:c r="A11" s="33" t="str">
        <x:v>T01</x:v>
      </x:c>
      <x:c r="B11" s="34" t="n">
        <x:v>6</x:v>
      </x:c>
      <x:c r="C11" s="34" t="str">
        <x:v>gpu-5070ti-blackwell</x:v>
      </x:c>
      <x:c r="D11" s="34" t="str">
        <x:v>RTX 5070 Ti balanced high-end profile</x:v>
      </x:c>
      <x:c r="E11" s="34" t="str">
        <x:v>gpu</x:v>
      </x:c>
      <x:c r="F11" s="80" t="n">
        <x:v>70</x:v>
      </x:c>
      <x:c r="G11" s="80" t="n">
        <x:v>0.652</x:v>
      </x:c>
      <x:c r="H11" s="34" t="str">
        <x:v>vector</x:v>
      </x:c>
      <x:c r="I11" s="34" t="str">
        <x:v>ollama</x:v>
      </x:c>
      <x:c r="J11" s="34" t="str">
        <x:v>nomic-embed-text</x:v>
      </x:c>
      <x:c r="K11" s="34" t="str">
        <x:v>gpu, nvidia, cuda, blackwell, 16gb, 1440p, 4k, balanced</x:v>
      </x:c>
      <x:c r="L11" s="34" t="str">
        <x:v>NVIDIA GeForce RTX 5070 family specifications</x:v>
      </x:c>
      <x:c r="M11" s="34" t="str">
        <x:v>https://www.nvidia.com/en-us/geforce/graphics-cards/50-series/rtx-5070-family/</x:v>
      </x:c>
      <x:c r="N11" s="35" t="str">
        <x:v>The GeForce RTX 5070 Ti provides 16GB GDDR7 and CUDA at a 300W reference power target. It is positioned for high-refresh 1440p, entry 4K, creator acceleration, and moderate local AI workloads without flagship cost.</x:v>
      </x:c>
    </x:row>
    <x:row r="12">
      <x:c r="A12" s="33" t="str">
        <x:v>T01</x:v>
      </x:c>
      <x:c r="B12" s="34" t="n">
        <x:v>7</x:v>
      </x:c>
      <x:c r="C12" s="34" t="str">
        <x:v>gpu-arc-b580-value</x:v>
      </x:c>
      <x:c r="D12" s="34" t="str">
        <x:v>Intel Arc B580 value profile</x:v>
      </x:c>
      <x:c r="E12" s="34" t="str">
        <x:v>gpu</x:v>
      </x:c>
      <x:c r="F12" s="80" t="n">
        <x:v>70</x:v>
      </x:c>
      <x:c r="G12" s="80" t="n">
        <x:v>0.659</x:v>
      </x:c>
      <x:c r="H12" s="34" t="str">
        <x:v>vector</x:v>
      </x:c>
      <x:c r="I12" s="34" t="str">
        <x:v>ollama</x:v>
      </x:c>
      <x:c r="J12" s="34" t="str">
        <x:v>nomic-embed-text</x:v>
      </x:c>
      <x:c r="K12" s="34" t="str">
        <x:v>gpu, intel, xe2, 12gb, value, 1440p, av1</x:v>
      </x:c>
      <x:c r="L12" s="34" t="str">
        <x:v>Intel Arc B580 product specifications and ordering</x:v>
      </x:c>
      <x:c r="M12" s="34" t="str">
        <x:v>https://www.intel.com/content/www/us/en/products/sku/241598/intel-arc-b580-graphics/ordering.html</x:v>
      </x:c>
      <x:c r="N12" s="35" t="str">
        <x:v>Intel Arc B580 Limited Edition provides 12GB VRAM, 190W total board power, AV1 media support, and a $249 recommended customer price. It is relevant to value 1080p/1440p builds, while application and game-specific driver behavior should be verified for specialized workloads.</x:v>
      </x:c>
    </x:row>
    <x:row r="13">
      <x:c r="A13" s="33" t="str">
        <x:v>T01</x:v>
      </x:c>
      <x:c r="B13" s="34" t="n">
        <x:v>8</x:v>
      </x:c>
      <x:c r="C13" s="34" t="str">
        <x:v>cpu-14700k-high-refresh</x:v>
      </x:c>
      <x:c r="D13" s="34" t="str">
        <x:v>Core i7-14700K high-refresh gaming profile</x:v>
      </x:c>
      <x:c r="E13" s="34" t="str">
        <x:v>cpu</x:v>
      </x:c>
      <x:c r="F13" s="80" t="n">
        <x:v>69</x:v>
      </x:c>
      <x:c r="G13" s="80" t="n">
        <x:v>0.649</x:v>
      </x:c>
      <x:c r="H13" s="34" t="str">
        <x:v>vector</x:v>
      </x:c>
      <x:c r="I13" s="34" t="str">
        <x:v>ollama</x:v>
      </x:c>
      <x:c r="J13" s="34" t="str">
        <x:v>nomic-embed-text</x:v>
      </x:c>
      <x:c r="K13" s="34" t="str">
        <x:v>cpu, intel, gaming, high-fps, lga1700, high-power</x:v>
      </x:c>
      <x:c r="L13" s="34" t="str">
        <x:v>AIPC curated knowledge base</x:v>
      </x:c>
      <x:c r="M13" s="34" t="str"/>
      <x:c r="N13" s="35" t="str">
        <x:v>The Core i7-14700K is an Intel LGA1700 option for high-refresh gaming and mixed productivity. Its high peak power requires substantial cooling, and the mature socket has less future CPU upgrade room than newer platforms.</x:v>
      </x:c>
    </x:row>
    <x:row r="14">
      <x:c r="A14" s="33" t="str">
        <x:v>T01</x:v>
      </x:c>
      <x:c r="B14" s="34" t="n">
        <x:v>9</x:v>
      </x:c>
      <x:c r="C14" s="34" t="str">
        <x:v>cpu-9800x3d-gaming</x:v>
      </x:c>
      <x:c r="D14" s="34" t="str">
        <x:v>Ryzen 7 9800X3D gaming focus</x:v>
      </x:c>
      <x:c r="E14" s="34" t="str">
        <x:v>cpu</x:v>
      </x:c>
      <x:c r="F14" s="80" t="n">
        <x:v>67</x:v>
      </x:c>
      <x:c r="G14" s="80" t="n">
        <x:v>0.626</x:v>
      </x:c>
      <x:c r="H14" s="34" t="str">
        <x:v>vector</x:v>
      </x:c>
      <x:c r="I14" s="34" t="str">
        <x:v>ollama</x:v>
      </x:c>
      <x:c r="J14" s="34" t="str">
        <x:v>nomic-embed-text</x:v>
      </x:c>
      <x:c r="K14" s="34" t="str">
        <x:v>cpu, gaming, high-fps, am5, enthusiast</x:v>
      </x:c>
      <x:c r="L14" s="34" t="str">
        <x:v>AIPC curated knowledge base</x:v>
      </x:c>
      <x:c r="M14" s="34" t="str"/>
      <x:c r="N14" s="35" t="str">
        <x:v>The Ryzen 7 9800X3D is an enthusiast gaming CPU. Its value is strongest in high-refresh gaming systems where the GPU is already well funded.</x:v>
      </x:c>
    </x:row>
    <x:row r="15">
      <x:c r="A15" s="33" t="str">
        <x:v>T01</x:v>
      </x:c>
      <x:c r="B15" s="34" t="n">
        <x:v>10</x:v>
      </x:c>
      <x:c r="C15" s="34" t="str">
        <x:v>gpu-rdna4-9070xt</x:v>
      </x:c>
      <x:c r="D15" s="34" t="str">
        <x:v>Radeon RX 9070 XT RDNA 4 profile</x:v>
      </x:c>
      <x:c r="E15" s="34" t="str">
        <x:v>gpu</x:v>
      </x:c>
      <x:c r="F15" s="80" t="n">
        <x:v>67</x:v>
      </x:c>
      <x:c r="G15" s="80" t="n">
        <x:v>0.641</x:v>
      </x:c>
      <x:c r="H15" s="34" t="str">
        <x:v>vector</x:v>
      </x:c>
      <x:c r="I15" s="34" t="str">
        <x:v>ollama</x:v>
      </x:c>
      <x:c r="J15" s="34" t="str">
        <x:v>nomic-embed-text</x:v>
      </x:c>
      <x:c r="K15" s="34" t="str">
        <x:v>gpu, amd, rdna4, 16gb, 4k, raster, fsr4</x:v>
      </x:c>
      <x:c r="L15" s="34" t="str">
        <x:v>AMD Radeon RX 9070 XT specifications</x:v>
      </x:c>
      <x:c r="M15" s="34" t="str">
        <x:v>https://www.amd.com/en/products/graphics/desktops/radeon/9000-series/amd-radeon-rx-9070xt.html</x:v>
      </x:c>
      <x:c r="N15" s="35" t="str">
        <x:v>The Radeon RX 9070 XT has 16GB GDDR6, a 304W typical board power rating, and a 750W minimum PSU recommendation from AMD. It is a strong raster and FSR-oriented 4K gaming option, but users requiring CUDA-first software should still prefer NVIDIA.</x:v>
      </x:c>
    </x:row>
    <x:row r="16">
      <x:c r="A16" s="33" t="str">
        <x:v>T01</x:v>
      </x:c>
      <x:c r="B16" s="34" t="n">
        <x:v>11</x:v>
      </x:c>
      <x:c r="C16" s="34" t="str">
        <x:v>case-clearance</x:v>
      </x:c>
      <x:c r="D16" s="34" t="str">
        <x:v>Case clearance constraints</x:v>
      </x:c>
      <x:c r="E16" s="34" t="str">
        <x:v>compatibility</x:v>
      </x:c>
      <x:c r="F16" s="80" t="n">
        <x:v>67</x:v>
      </x:c>
      <x:c r="G16" s="80" t="n">
        <x:v>0.653</x:v>
      </x:c>
      <x:c r="H16" s="34" t="str">
        <x:v>vector</x:v>
      </x:c>
      <x:c r="I16" s="34" t="str">
        <x:v>ollama</x:v>
      </x:c>
      <x:c r="J16" s="34" t="str">
        <x:v>nomic-embed-text</x:v>
      </x:c>
      <x:c r="K16" s="34" t="str">
        <x:v>case, clearance, gpu-length, cooler-height, form-factor</x:v>
      </x:c>
      <x:c r="L16" s="34" t="str">
        <x:v>AIPC curated knowledge base</x:v>
      </x:c>
      <x:c r="M16" s="34" t="str"/>
      <x:c r="N16" s="35" t="str">
        <x:v>GPU length, air-cooler height, motherboard form factor, and PSU form factor are hard physical constraints. These values must be checked deterministically before a case is accepted.</x:v>
      </x:c>
    </x:row>
    <x:row r="17">
      <x:c r="A17" s="33" t="str">
        <x:v>T01</x:v>
      </x:c>
      <x:c r="B17" s="34" t="n">
        <x:v>12</x:v>
      </x:c>
      <x:c r="C17" s="34" t="str">
        <x:v>cpu-7800x3d-gaming</x:v>
      </x:c>
      <x:c r="D17" s="34" t="str">
        <x:v>Ryzen 7 7800X3D gaming profile</x:v>
      </x:c>
      <x:c r="E17" s="34" t="str">
        <x:v>cpu</x:v>
      </x:c>
      <x:c r="F17" s="80" t="n">
        <x:v>66</x:v>
      </x:c>
      <x:c r="G17" s="80" t="n">
        <x:v>0.635</x:v>
      </x:c>
      <x:c r="H17" s="34" t="str">
        <x:v>vector</x:v>
      </x:c>
      <x:c r="I17" s="34" t="str">
        <x:v>ollama</x:v>
      </x:c>
      <x:c r="J17" s="34" t="str">
        <x:v>nomic-embed-text</x:v>
      </x:c>
      <x:c r="K17" s="34" t="str">
        <x:v>cpu, gaming, am5, efficient</x:v>
      </x:c>
      <x:c r="L17" s="34" t="str">
        <x:v>AIPC curated knowledge base</x:v>
      </x:c>
      <x:c r="M17" s="34" t="str"/>
      <x:c r="N17" s="35" t="str">
        <x:v>The Ryzen 7 7800X3D remains a focused gaming option with lower platform power than many high-core-count alternatives. It is less compelling for heavily threaded workstation tasks.</x:v>
      </x:c>
    </x:row>
    <x:row r="18">
      <x:c r="A18" s="33" t="str">
        <x:v>T01</x:v>
      </x:c>
      <x:c r="B18" s="34" t="n">
        <x:v>13</x:v>
      </x:c>
      <x:c r="C18" s="34" t="str">
        <x:v>gpu-7900xtx-raster</x:v>
      </x:c>
      <x:c r="D18" s="34" t="str">
        <x:v>RX 7900 XTX raster value</x:v>
      </x:c>
      <x:c r="E18" s="34" t="str">
        <x:v>gpu</x:v>
      </x:c>
      <x:c r="F18" s="80" t="n">
        <x:v>66</x:v>
      </x:c>
      <x:c r="G18" s="80" t="n">
        <x:v>0.631</x:v>
      </x:c>
      <x:c r="H18" s="34" t="str">
        <x:v>vector</x:v>
      </x:c>
      <x:c r="I18" s="34" t="str">
        <x:v>ollama</x:v>
      </x:c>
      <x:c r="J18" s="34" t="str">
        <x:v>nomic-embed-text</x:v>
      </x:c>
      <x:c r="K18" s="34" t="str">
        <x:v>gpu, gaming, 4k, amd, 24gb, value</x:v>
      </x:c>
      <x:c r="L18" s="34" t="str">
        <x:v>AIPC curated knowledge base</x:v>
      </x:c>
      <x:c r="M18" s="34" t="str"/>
      <x:c r="N18" s="35" t="str">
        <x:v>The RX 7900 XTX offers 24GB VRAM and excellent high-resolution raster performance. It is compelling for 4K gaming when CUDA compatibility is not required.</x:v>
      </x:c>
    </x:row>
    <x:row r="19">
      <x:c r="A19" s="33" t="str">
        <x:v>T01</x:v>
      </x:c>
      <x:c r="B19" s="34" t="n">
        <x:v>14</x:v>
      </x:c>
      <x:c r="C19" s="34" t="str">
        <x:v>cooler-pa120</x:v>
      </x:c>
      <x:c r="D19" s="34" t="str">
        <x:v>Peerless Assassin value cooling</x:v>
      </x:c>
      <x:c r="E19" s="34" t="str">
        <x:v>cooler</x:v>
      </x:c>
      <x:c r="F19" s="80" t="n">
        <x:v>66</x:v>
      </x:c>
      <x:c r="G19" s="80" t="n">
        <x:v>0.641</x:v>
      </x:c>
      <x:c r="H19" s="34" t="str">
        <x:v>vector</x:v>
      </x:c>
      <x:c r="I19" s="34" t="str">
        <x:v>ollama</x:v>
      </x:c>
      <x:c r="J19" s="34" t="str">
        <x:v>nomic-embed-text</x:v>
      </x:c>
      <x:c r="K19" s="34" t="str">
        <x:v>cooler, air, value, quiet</x:v>
      </x:c>
      <x:c r="L19" s="34" t="str">
        <x:v>AIPC curated knowledge base</x:v>
      </x:c>
      <x:c r="M19" s="34" t="str"/>
      <x:c r="N19" s="35" t="str">
        <x:v>The Peerless Assassin 120 SE offers high air-cooling capacity at low cost. It is well suited to mainstream and many high-tier CPUs when case height allows it.</x:v>
      </x:c>
    </x:row>
    <x:row r="20">
      <x:c r="A20" s="33" t="str">
        <x:v>T01</x:v>
      </x:c>
      <x:c r="B20" s="34" t="n">
        <x:v>15</x:v>
      </x:c>
      <x:c r="C20" s="34" t="str">
        <x:v>cpu-9950x3d-mixed</x:v>
      </x:c>
      <x:c r="D20" s="34" t="str">
        <x:v>Ryzen 9 9950X3D mixed gaming and creation profile</x:v>
      </x:c>
      <x:c r="E20" s="34" t="str">
        <x:v>cpu</x:v>
      </x:c>
      <x:c r="F20" s="80" t="n">
        <x:v>65</x:v>
      </x:c>
      <x:c r="G20" s="80" t="n">
        <x:v>0.621</x:v>
      </x:c>
      <x:c r="H20" s="34" t="str">
        <x:v>vector</x:v>
      </x:c>
      <x:c r="I20" s="34" t="str">
        <x:v>ollama</x:v>
      </x:c>
      <x:c r="J20" s="34" t="str">
        <x:v>nomic-embed-text</x:v>
      </x:c>
      <x:c r="K20" s="34" t="str">
        <x:v>cpu, amd, am5, zen5, 16-core, gaming, creator, enthusiast</x:v>
      </x:c>
      <x:c r="L20" s="34" t="str">
        <x:v>AMD Ryzen desktop processor specifications</x:v>
      </x:c>
      <x:c r="M20" s="34" t="str">
        <x:v>https://www.amd.com/en/products/processors/desktops/ryzen.html</x:v>
      </x:c>
      <x:c r="N20" s="35" t="str">
        <x:v>Ryzen 9 9950X3D combines 16 Zen 5 cores with second-generation 3D V-Cache on AM5. It fits premium systems that need strong gaming latency and high multicore throughput, but it should not displace cheaper eight-core X3D options in gaming-only budgets.</x:v>
      </x:c>
    </x:row>
    <x:row r="21">
      <x:c r="A21" s="33" t="str">
        <x:v>T01</x:v>
      </x:c>
      <x:c r="B21" s="34" t="n">
        <x:v>16</x:v>
      </x:c>
      <x:c r="C21" s="34" t="str">
        <x:v>gaming-4k</x:v>
      </x:c>
      <x:c r="D21" s="34" t="str">
        <x:v>4K gaming allocation</x:v>
      </x:c>
      <x:c r="E21" s="34" t="str">
        <x:v>workload</x:v>
      </x:c>
      <x:c r="F21" s="80" t="n">
        <x:v>65</x:v>
      </x:c>
      <x:c r="G21" s="80" t="n">
        <x:v>0.632</x:v>
      </x:c>
      <x:c r="H21" s="34" t="str">
        <x:v>vector</x:v>
      </x:c>
      <x:c r="I21" s="34" t="str">
        <x:v>ollama</x:v>
      </x:c>
      <x:c r="J21" s="34" t="str">
        <x:v>nomic-embed-text</x:v>
      </x:c>
      <x:c r="K21" s="34" t="str">
        <x:v>gaming, 4k, gpu, high-end</x:v>
      </x:c>
      <x:c r="L21" s="34" t="str">
        <x:v>AIPC curated knowledge base</x:v>
      </x:c>
      <x:c r="M21" s="34" t="str"/>
      <x:c r="N21" s="35" t="str">
        <x:v>At 4K the GPU is normally the primary performance constraint. Budget should favor the graphics card while retaining enough CPU, cooling, and PSU quality to avoid platform imbalance.</x:v>
      </x:c>
    </x:row>
    <x:row r="22">
      <x:c r="A22" s="33" t="str">
        <x:v>T01</x:v>
      </x:c>
      <x:c r="B22" s="34" t="n">
        <x:v>17</x:v>
      </x:c>
      <x:c r="C22" s="34" t="str">
        <x:v>storage-pcie5-thermal</x:v>
      </x:c>
      <x:c r="D22" s="34" t="str">
        <x:v>PCIe 5.0 SSD performance and thermal trade-off</x:v>
      </x:c>
      <x:c r="E22" s="34" t="str">
        <x:v>storage</x:v>
      </x:c>
      <x:c r="F22" s="80" t="n">
        <x:v>65</x:v>
      </x:c>
      <x:c r="G22" s="80" t="n">
        <x:v>0.622</x:v>
      </x:c>
      <x:c r="H22" s="34" t="str">
        <x:v>vector</x:v>
      </x:c>
      <x:c r="I22" s="34" t="str">
        <x:v>ollama</x:v>
      </x:c>
      <x:c r="J22" s="34" t="str">
        <x:v>nomic-embed-text</x:v>
      </x:c>
      <x:c r="K22" s="34" t="str">
        <x:v>storage, nvme, pcie5, thermal, creator, development, value</x:v>
      </x:c>
      <x:c r="L22" s="34" t="str">
        <x:v>Samsung 9100 Pro official specifications</x:v>
      </x:c>
      <x:c r="M22" s="34" t="str">
        <x:v>https://www.samsung.com/us/memory-storage/nvme-ssd/9100-pro-nvme-ssd-sku-mz-vap4t0b-am/</x:v>
      </x:c>
      <x:c r="N22"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23">
      <x:c r="A23" s="33" t="str">
        <x:v>T01</x:v>
      </x:c>
      <x:c r="B23" s="34" t="n">
        <x:v>18</x:v>
      </x:c>
      <x:c r="C23" s="34" t="str">
        <x:v>gaming-4k-240</x:v>
      </x:c>
      <x:c r="D23" s="34" t="str">
        <x:v>4K 240Hz target trade-off</x:v>
      </x:c>
      <x:c r="E23" s="34" t="str">
        <x:v>workload</x:v>
      </x:c>
      <x:c r="F23" s="80" t="n">
        <x:v>64</x:v>
      </x:c>
      <x:c r="G23" s="80" t="n">
        <x:v>0.605</x:v>
      </x:c>
      <x:c r="H23" s="34" t="str">
        <x:v>vector</x:v>
      </x:c>
      <x:c r="I23" s="34" t="str">
        <x:v>ollama</x:v>
      </x:c>
      <x:c r="J23" s="34" t="str">
        <x:v>nomic-embed-text</x:v>
      </x:c>
      <x:c r="K23" s="34" t="str">
        <x:v>gaming, 4k, 240fps, high-fps, gpu, trade-off</x:v>
      </x:c>
      <x:c r="L23" s="34" t="str">
        <x:v>AIPC curated knowledge base</x:v>
      </x:c>
      <x:c r="M23" s="34" t="str"/>
      <x:c r="N23" s="35" t="str">
        <x:v>A 4K 240Hz target is exceptionally demanding and depends heavily on the game, settings, and upscaling. The recommendation should maximize GPU headroom without claiming that every title will sustain 240 FPS.</x:v>
      </x:c>
    </x:row>
    <x:row r="24">
      <x:c r="A24" s="33" t="str">
        <x:v>T02</x:v>
      </x:c>
      <x:c r="B24" s="34" t="n">
        <x:v>1</x:v>
      </x:c>
      <x:c r="C24" s="34" t="str">
        <x:v>psu-headroom</x:v>
      </x:c>
      <x:c r="D24" s="34" t="str">
        <x:v>Power supply headroom rule</x:v>
      </x:c>
      <x:c r="E24" s="34" t="str">
        <x:v>compatibility</x:v>
      </x:c>
      <x:c r="F24" s="80" t="n">
        <x:v>74</x:v>
      </x:c>
      <x:c r="G24" s="80" t="n">
        <x:v>0.683</x:v>
      </x:c>
      <x:c r="H24" s="34" t="str">
        <x:v>vector</x:v>
      </x:c>
      <x:c r="I24" s="34" t="str">
        <x:v>ollama</x:v>
      </x:c>
      <x:c r="J24" s="34" t="str">
        <x:v>nomic-embed-text</x:v>
      </x:c>
      <x:c r="K24" s="34" t="str">
        <x:v>psu, power, headroom, quiet, upgradeability</x:v>
      </x:c>
      <x:c r="L24" s="34" t="str">
        <x:v>AIPC curated knowledge base</x:v>
      </x:c>
      <x:c r="M24" s="34" t="str"/>
      <x:c r="N24" s="35" t="str">
        <x:v>A power supply should exceed estimated sustained system draw by at least 35 percent. Additional headroom can reduce fan noise and preserve room for future GPU upgrades.</x:v>
      </x:c>
    </x:row>
    <x:row r="25">
      <x:c r="A25" s="33" t="str">
        <x:v>T02</x:v>
      </x:c>
      <x:c r="B25" s="34" t="n">
        <x:v>2</x:v>
      </x:c>
      <x:c r="C25" s="34" t="str">
        <x:v>gaming-4k</x:v>
      </x:c>
      <x:c r="D25" s="34" t="str">
        <x:v>4K gaming allocation</x:v>
      </x:c>
      <x:c r="E25" s="34" t="str">
        <x:v>workload</x:v>
      </x:c>
      <x:c r="F25" s="80" t="n">
        <x:v>71</x:v>
      </x:c>
      <x:c r="G25" s="80" t="n">
        <x:v>0.665</x:v>
      </x:c>
      <x:c r="H25" s="34" t="str">
        <x:v>vector</x:v>
      </x:c>
      <x:c r="I25" s="34" t="str">
        <x:v>ollama</x:v>
      </x:c>
      <x:c r="J25" s="34" t="str">
        <x:v>nomic-embed-text</x:v>
      </x:c>
      <x:c r="K25" s="34" t="str">
        <x:v>gaming, 4k, gpu, high-end</x:v>
      </x:c>
      <x:c r="L25" s="34" t="str">
        <x:v>AIPC curated knowledge base</x:v>
      </x:c>
      <x:c r="M25" s="34" t="str"/>
      <x:c r="N25" s="35" t="str">
        <x:v>At 4K the GPU is normally the primary performance constraint. Budget should favor the graphics card while retaining enough CPU, cooling, and PSU quality to avoid platform imbalance.</x:v>
      </x:c>
    </x:row>
    <x:row r="26">
      <x:c r="A26" s="33" t="str">
        <x:v>T02</x:v>
      </x:c>
      <x:c r="B26" s="34" t="n">
        <x:v>3</x:v>
      </x:c>
      <x:c r="C26" s="34" t="str">
        <x:v>gaming-4k-240</x:v>
      </x:c>
      <x:c r="D26" s="34" t="str">
        <x:v>4K 240Hz target trade-off</x:v>
      </x:c>
      <x:c r="E26" s="34" t="str">
        <x:v>workload</x:v>
      </x:c>
      <x:c r="F26" s="80" t="n">
        <x:v>71</x:v>
      </x:c>
      <x:c r="G26" s="80" t="n">
        <x:v>0.65</x:v>
      </x:c>
      <x:c r="H26" s="34" t="str">
        <x:v>vector</x:v>
      </x:c>
      <x:c r="I26" s="34" t="str">
        <x:v>ollama</x:v>
      </x:c>
      <x:c r="J26" s="34" t="str">
        <x:v>nomic-embed-text</x:v>
      </x:c>
      <x:c r="K26" s="34" t="str">
        <x:v>gaming, 4k, 240fps, high-fps, gpu, trade-off</x:v>
      </x:c>
      <x:c r="L26" s="34" t="str">
        <x:v>AIPC curated knowledge base</x:v>
      </x:c>
      <x:c r="M26" s="34" t="str"/>
      <x:c r="N26" s="35" t="str">
        <x:v>A 4K 240Hz target is exceptionally demanding and depends heavily on the game, settings, and upscaling. The recommendation should maximize GPU headroom without claiming that every title will sustain 240 FPS.</x:v>
      </x:c>
    </x:row>
    <x:row r="27">
      <x:c r="A27" s="33" t="str">
        <x:v>T02</x:v>
      </x:c>
      <x:c r="B27" s="34" t="n">
        <x:v>4</x:v>
      </x:c>
      <x:c r="C27" s="34" t="str">
        <x:v>case-north-airflow</x:v>
      </x:c>
      <x:c r="D27" s="34" t="str">
        <x:v>Fractal North balanced airflow</x:v>
      </x:c>
      <x:c r="E27" s="34" t="str">
        <x:v>case</x:v>
      </x:c>
      <x:c r="F27" s="80" t="n">
        <x:v>70</x:v>
      </x:c>
      <x:c r="G27" s="80" t="n">
        <x:v>0.659</x:v>
      </x:c>
      <x:c r="H27" s="34" t="str">
        <x:v>vector</x:v>
      </x:c>
      <x:c r="I27" s="34" t="str">
        <x:v>ollama</x:v>
      </x:c>
      <x:c r="J27" s="34" t="str">
        <x:v>nomic-embed-text</x:v>
      </x:c>
      <x:c r="K27" s="34" t="str">
        <x:v>case, atx, airflow, quiet, upgradeability</x:v>
      </x:c>
      <x:c r="L27" s="34" t="str">
        <x:v>AIPC curated knowledge base</x:v>
      </x:c>
      <x:c r="M27" s="34" t="str"/>
      <x:c r="N27" s="35" t="str">
        <x:v>The Fractal North supports full-size ATX components with 355mm GPU clearance and 170mm air-cooler clearance. It balances airflow, acoustics, and upgrade room.</x:v>
      </x:c>
    </x:row>
    <x:row r="28">
      <x:c r="A28" s="33" t="str">
        <x:v>T02</x:v>
      </x:c>
      <x:c r="B28" s="34" t="n">
        <x:v>5</x:v>
      </x:c>
      <x:c r="C28" s="34" t="str">
        <x:v>gpu-4070tis-balanced</x:v>
      </x:c>
      <x:c r="D28" s="34" t="str">
        <x:v>RTX 4070 Ti Super balanced profile</x:v>
      </x:c>
      <x:c r="E28" s="34" t="str">
        <x:v>gpu</x:v>
      </x:c>
      <x:c r="F28" s="80" t="n">
        <x:v>69</x:v>
      </x:c>
      <x:c r="G28" s="80" t="n">
        <x:v>0.644</x:v>
      </x:c>
      <x:c r="H28" s="34" t="str">
        <x:v>vector</x:v>
      </x:c>
      <x:c r="I28" s="34" t="str">
        <x:v>ollama</x:v>
      </x:c>
      <x:c r="J28" s="34" t="str">
        <x:v>nomic-embed-text</x:v>
      </x:c>
      <x:c r="K28" s="34" t="str">
        <x:v>gpu, gaming, ai, cuda, 16gb, balanced</x:v>
      </x:c>
      <x:c r="L28" s="34" t="str">
        <x:v>AIPC curated knowledge base</x:v>
      </x:c>
      <x:c r="M28" s="34" t="str"/>
      <x:c r="N28" s="35" t="str">
        <x:v>The RTX 4070 Ti Super provides 16GB VRAM and strong 1440p to 4K capability at lower power and cost than flagship GPUs. It is a balanced choice for mixed gaming, creative, and CUDA work.</x:v>
      </x:c>
    </x:row>
    <x:row r="29">
      <x:c r="A29" s="33" t="str">
        <x:v>T02</x:v>
      </x:c>
      <x:c r="B29" s="34" t="n">
        <x:v>6</x:v>
      </x:c>
      <x:c r="C29" s="34" t="str">
        <x:v>psu-850</x:v>
      </x:c>
      <x:c r="D29" s="34" t="str">
        <x:v>850W Gold mainstream high-end fit</x:v>
      </x:c>
      <x:c r="E29" s="34" t="str">
        <x:v>psu</x:v>
      </x:c>
      <x:c r="F29" s="80" t="n">
        <x:v>68</x:v>
      </x:c>
      <x:c r="G29" s="80" t="n">
        <x:v>0.653</x:v>
      </x:c>
      <x:c r="H29" s="34" t="str">
        <x:v>vector</x:v>
      </x:c>
      <x:c r="I29" s="34" t="str">
        <x:v>ollama</x:v>
      </x:c>
      <x:c r="J29" s="34" t="str">
        <x:v>nomic-embed-text</x:v>
      </x:c>
      <x:c r="K29" s="34" t="str">
        <x:v>psu, 850w, gold, upgradeability</x:v>
      </x:c>
      <x:c r="L29" s="34" t="str">
        <x:v>AIPC curated knowledge base</x:v>
      </x:c>
      <x:c r="M29" s="34" t="str"/>
      <x:c r="N29" s="35" t="str">
        <x:v>An 850W Gold PSU is a common fit for high-end single-GPU systems when it satisfies the 1.35x power rule. It offers more upgrade margin than 750W without flagship PSU cost.</x:v>
      </x:c>
    </x:row>
    <x:row r="30">
      <x:c r="A30" s="33" t="str">
        <x:v>T02</x:v>
      </x:c>
      <x:c r="B30" s="34" t="n">
        <x:v>7</x:v>
      </x:c>
      <x:c r="C30" s="34" t="str">
        <x:v>gpu-5070ti-blackwell</x:v>
      </x:c>
      <x:c r="D30" s="34" t="str">
        <x:v>RTX 5070 Ti balanced high-end profile</x:v>
      </x:c>
      <x:c r="E30" s="34" t="str">
        <x:v>gpu</x:v>
      </x:c>
      <x:c r="F30" s="80" t="n">
        <x:v>67</x:v>
      </x:c>
      <x:c r="G30" s="80" t="n">
        <x:v>0.628</x:v>
      </x:c>
      <x:c r="H30" s="34" t="str">
        <x:v>vector</x:v>
      </x:c>
      <x:c r="I30" s="34" t="str">
        <x:v>ollama</x:v>
      </x:c>
      <x:c r="J30" s="34" t="str">
        <x:v>nomic-embed-text</x:v>
      </x:c>
      <x:c r="K30" s="34" t="str">
        <x:v>gpu, nvidia, cuda, blackwell, 16gb, 1440p, 4k, balanced</x:v>
      </x:c>
      <x:c r="L30" s="34" t="str">
        <x:v>NVIDIA GeForce RTX 5070 family specifications</x:v>
      </x:c>
      <x:c r="M30" s="34" t="str">
        <x:v>https://www.nvidia.com/en-us/geforce/graphics-cards/50-series/rtx-5070-family/</x:v>
      </x:c>
      <x:c r="N30" s="35" t="str">
        <x:v>The GeForce RTX 5070 Ti provides 16GB GDDR7 and CUDA at a 300W reference power target. It is positioned for high-refresh 1440p, entry 4K, creator acceleration, and moderate local AI workloads without flagship cost.</x:v>
      </x:c>
    </x:row>
    <x:row r="31">
      <x:c r="A31" s="33" t="str">
        <x:v>T02</x:v>
      </x:c>
      <x:c r="B31" s="34" t="n">
        <x:v>8</x:v>
      </x:c>
      <x:c r="C31" s="34" t="str">
        <x:v>gpu-5080-blackwell</x:v>
      </x:c>
      <x:c r="D31" s="34" t="str">
        <x:v>RTX 5080 4K and creator profile</x:v>
      </x:c>
      <x:c r="E31" s="34" t="str">
        <x:v>gpu</x:v>
      </x:c>
      <x:c r="F31" s="80" t="n">
        <x:v>67</x:v>
      </x:c>
      <x:c r="G31" s="80" t="n">
        <x:v>0.628</x:v>
      </x:c>
      <x:c r="H31" s="34" t="str">
        <x:v>vector</x:v>
      </x:c>
      <x:c r="I31" s="34" t="str">
        <x:v>ollama</x:v>
      </x:c>
      <x:c r="J31" s="34" t="str">
        <x:v>nomic-embed-text</x:v>
      </x:c>
      <x:c r="K31" s="34" t="str">
        <x:v>gpu, nvidia, cuda, blackwell, 16gb, 4k, creator</x:v>
      </x:c>
      <x:c r="L31" s="34" t="str">
        <x:v>NVIDIA GeForce RTX 5080 specifications</x:v>
      </x:c>
      <x:c r="M31" s="34" t="str">
        <x:v>https://www.nvidia.com/en-us/geforce/graphics-cards/50-series/rtx-5080/</x:v>
      </x:c>
      <x:c r="N31" s="35" t="str">
        <x:v>The GeForce RTX 5080 reference design combines 16GB GDDR7, CUDA support, a 360W total graphics power rating, and Blackwell media/AI features. It is a high-end 4K and creator option below the RTX 5090, but 16GB VRAM is a meaningful limit for larger local AI models.</x:v>
      </x:c>
    </x:row>
    <x:row r="32">
      <x:c r="A32" s="33" t="str">
        <x:v>T02</x:v>
      </x:c>
      <x:c r="B32" s="34" t="n">
        <x:v>9</x:v>
      </x:c>
      <x:c r="C32" s="34" t="str">
        <x:v>gpu-5090-flagship</x:v>
      </x:c>
      <x:c r="D32" s="34" t="str">
        <x:v>RTX 5090 flagship profile</x:v>
      </x:c>
      <x:c r="E32" s="34" t="str">
        <x:v>gpu</x:v>
      </x:c>
      <x:c r="F32" s="80" t="n">
        <x:v>67</x:v>
      </x:c>
      <x:c r="G32" s="80" t="n">
        <x:v>0.622</x:v>
      </x:c>
      <x:c r="H32" s="34" t="str">
        <x:v>vector</x:v>
      </x:c>
      <x:c r="I32" s="34" t="str">
        <x:v>ollama</x:v>
      </x:c>
      <x:c r="J32" s="34" t="str">
        <x:v>nomic-embed-text</x:v>
      </x:c>
      <x:c r="K32" s="34" t="str">
        <x:v>gpu, gaming, 4k, ai, cuda, 32gb, enthusiast, blackwell</x:v>
      </x:c>
      <x:c r="L32" s="34" t="str">
        <x:v>AIPC curated knowledge base</x:v>
      </x:c>
      <x:c r="M32" s="34" t="str"/>
      <x:c r="N32" s="35" t="str">
        <x:v>The RTX 5090 combines 32GB GDDR7 with CUDA support and a 575W total graphics power rating. It requires an enthusiast budget, a compatible case, and at least a 1000W system power plan.</x:v>
      </x:c>
    </x:row>
    <x:row r="33">
      <x:c r="A33" s="33" t="str">
        <x:v>T02</x:v>
      </x:c>
      <x:c r="B33" s="34" t="n">
        <x:v>10</x:v>
      </x:c>
      <x:c r="C33" s="34" t="str">
        <x:v>cooler-pa120</x:v>
      </x:c>
      <x:c r="D33" s="34" t="str">
        <x:v>Peerless Assassin value cooling</x:v>
      </x:c>
      <x:c r="E33" s="34" t="str">
        <x:v>cooler</x:v>
      </x:c>
      <x:c r="F33" s="80" t="n">
        <x:v>67</x:v>
      </x:c>
      <x:c r="G33" s="80" t="n">
        <x:v>0.638</x:v>
      </x:c>
      <x:c r="H33" s="34" t="str">
        <x:v>vector</x:v>
      </x:c>
      <x:c r="I33" s="34" t="str">
        <x:v>ollama</x:v>
      </x:c>
      <x:c r="J33" s="34" t="str">
        <x:v>nomic-embed-text</x:v>
      </x:c>
      <x:c r="K33" s="34" t="str">
        <x:v>cooler, air, value, quiet</x:v>
      </x:c>
      <x:c r="L33" s="34" t="str">
        <x:v>AIPC curated knowledge base</x:v>
      </x:c>
      <x:c r="M33" s="34" t="str"/>
      <x:c r="N33" s="35" t="str">
        <x:v>The Peerless Assassin 120 SE offers high air-cooling capacity at low cost. It is well suited to mainstream and many high-tier CPUs when case height allows it.</x:v>
      </x:c>
    </x:row>
    <x:row r="34">
      <x:c r="A34" s="33" t="str">
        <x:v>T02</x:v>
      </x:c>
      <x:c r="B34" s="34" t="n">
        <x:v>11</x:v>
      </x:c>
      <x:c r="C34" s="34" t="str">
        <x:v>gaming-1080p</x:v>
      </x:c>
      <x:c r="D34" s="34" t="str">
        <x:v>1080p gaming allocation</x:v>
      </x:c>
      <x:c r="E34" s="34" t="str">
        <x:v>workload</x:v>
      </x:c>
      <x:c r="F34" s="80" t="n">
        <x:v>66</x:v>
      </x:c>
      <x:c r="G34" s="80" t="n">
        <x:v>0.628</x:v>
      </x:c>
      <x:c r="H34" s="34" t="str">
        <x:v>vector</x:v>
      </x:c>
      <x:c r="I34" s="34" t="str">
        <x:v>ollama</x:v>
      </x:c>
      <x:c r="J34" s="34" t="str">
        <x:v>nomic-embed-text</x:v>
      </x:c>
      <x:c r="K34" s="34" t="str">
        <x:v>gaming, 1080p, high-fps, cpu</x:v>
      </x:c>
      <x:c r="L34" s="34" t="str">
        <x:v>AIPC curated knowledge base</x:v>
      </x:c>
      <x:c r="M34" s="34" t="str"/>
      <x:c r="N34" s="35" t="str">
        <x:v>At 1080p and high refresh rates, CPU frame delivery matters more than at higher resolutions. GPU budget remains important, but extreme GPU spending can produce diminishing returns.</x:v>
      </x:c>
    </x:row>
    <x:row r="35">
      <x:c r="A35" s="33" t="str">
        <x:v>T02</x:v>
      </x:c>
      <x:c r="B35" s="34" t="n">
        <x:v>12</x:v>
      </x:c>
      <x:c r="C35" s="34" t="str">
        <x:v>cpu-7600-value</x:v>
      </x:c>
      <x:c r="D35" s="34" t="str">
        <x:v>Ryzen 5 7600 value profile</x:v>
      </x:c>
      <x:c r="E35" s="34" t="str">
        <x:v>cpu</x:v>
      </x:c>
      <x:c r="F35" s="80" t="n">
        <x:v>65</x:v>
      </x:c>
      <x:c r="G35" s="80" t="n">
        <x:v>0.607</x:v>
      </x:c>
      <x:c r="H35" s="34" t="str">
        <x:v>vector</x:v>
      </x:c>
      <x:c r="I35" s="34" t="str">
        <x:v>ollama</x:v>
      </x:c>
      <x:c r="J35" s="34" t="str">
        <x:v>nomic-embed-text</x:v>
      </x:c>
      <x:c r="K35" s="34" t="str">
        <x:v>cpu, gaming, value, am5, upgradeability</x:v>
      </x:c>
      <x:c r="L35" s="34" t="str">
        <x:v>AIPC curated knowledge base</x:v>
      </x:c>
      <x:c r="M35" s="34" t="str"/>
      <x:c r="N35" s="35" t="str">
        <x:v>The Ryzen 5 7600 preserves AM5 upgradeability while leaving more of a constrained gaming budget for the GPU.</x:v>
      </x:c>
    </x:row>
    <x:row r="36">
      <x:c r="A36" s="33" t="str">
        <x:v>T02</x:v>
      </x:c>
      <x:c r="B36" s="34" t="n">
        <x:v>13</x:v>
      </x:c>
      <x:c r="C36" s="34" t="str">
        <x:v>motherboard-x670e</x:v>
      </x:c>
      <x:c r="D36" s="34" t="str">
        <x:v>X670E workstation expansion</x:v>
      </x:c>
      <x:c r="E36" s="34" t="str">
        <x:v>motherboard</x:v>
      </x:c>
      <x:c r="F36" s="80" t="n">
        <x:v>65</x:v>
      </x:c>
      <x:c r="G36" s="80" t="n">
        <x:v>0.621</x:v>
      </x:c>
      <x:c r="H36" s="34" t="str">
        <x:v>vector</x:v>
      </x:c>
      <x:c r="I36" s="34" t="str">
        <x:v>ollama</x:v>
      </x:c>
      <x:c r="J36" s="34" t="str">
        <x:v>nomic-embed-text</x:v>
      </x:c>
      <x:c r="K36" s="34" t="str">
        <x:v>motherboard, am5, x670e, workstation, upgradeability</x:v>
      </x:c>
      <x:c r="L36" s="34" t="str">
        <x:v>AIPC curated knowledge base</x:v>
      </x:c>
      <x:c r="M36" s="34" t="str"/>
      <x:c r="N36" s="35" t="str">
        <x:v>X670E boards add expansion and connectivity for high-tier AM5 workstations. They should be selected for actual I/O or upgrade needs rather than prestige alone.</x:v>
      </x:c>
    </x:row>
    <x:row r="37">
      <x:c r="A37" s="33" t="str">
        <x:v>T02</x:v>
      </x:c>
      <x:c r="B37" s="34" t="n">
        <x:v>14</x:v>
      </x:c>
      <x:c r="C37" s="34" t="str">
        <x:v>storage-pcie5-thermal</x:v>
      </x:c>
      <x:c r="D37" s="34" t="str">
        <x:v>PCIe 5.0 SSD performance and thermal trade-off</x:v>
      </x:c>
      <x:c r="E37" s="34" t="str">
        <x:v>storage</x:v>
      </x:c>
      <x:c r="F37" s="80" t="n">
        <x:v>65</x:v>
      </x:c>
      <x:c r="G37" s="80" t="n">
        <x:v>0.616</x:v>
      </x:c>
      <x:c r="H37" s="34" t="str">
        <x:v>vector</x:v>
      </x:c>
      <x:c r="I37" s="34" t="str">
        <x:v>ollama</x:v>
      </x:c>
      <x:c r="J37" s="34" t="str">
        <x:v>nomic-embed-text</x:v>
      </x:c>
      <x:c r="K37" s="34" t="str">
        <x:v>storage, nvme, pcie5, thermal, creator, development, value</x:v>
      </x:c>
      <x:c r="L37" s="34" t="str">
        <x:v>Samsung 9100 Pro official specifications</x:v>
      </x:c>
      <x:c r="M37" s="34" t="str">
        <x:v>https://www.samsung.com/us/memory-storage/nvme-ssd/9100-pro-nvme-ssd-sku-mz-vap4t0b-am/</x:v>
      </x:c>
      <x:c r="N37"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38">
      <x:c r="A38" s="33" t="str">
        <x:v>T02</x:v>
      </x:c>
      <x:c r="B38" s="34" t="n">
        <x:v>15</x:v>
      </x:c>
      <x:c r="C38" s="34" t="str">
        <x:v>cpu-7800x3d-gaming</x:v>
      </x:c>
      <x:c r="D38" s="34" t="str">
        <x:v>Ryzen 7 7800X3D gaming profile</x:v>
      </x:c>
      <x:c r="E38" s="34" t="str">
        <x:v>cpu</x:v>
      </x:c>
      <x:c r="F38" s="80" t="n">
        <x:v>64</x:v>
      </x:c>
      <x:c r="G38" s="80" t="n">
        <x:v>0.608</x:v>
      </x:c>
      <x:c r="H38" s="34" t="str">
        <x:v>vector</x:v>
      </x:c>
      <x:c r="I38" s="34" t="str">
        <x:v>ollama</x:v>
      </x:c>
      <x:c r="J38" s="34" t="str">
        <x:v>nomic-embed-text</x:v>
      </x:c>
      <x:c r="K38" s="34" t="str">
        <x:v>cpu, gaming, am5, efficient</x:v>
      </x:c>
      <x:c r="L38" s="34" t="str">
        <x:v>AIPC curated knowledge base</x:v>
      </x:c>
      <x:c r="M38" s="34" t="str"/>
      <x:c r="N38" s="35" t="str">
        <x:v>The Ryzen 7 7800X3D remains a focused gaming option with lower platform power than many high-core-count alternatives. It is less compelling for heavily threaded workstation tasks.</x:v>
      </x:c>
    </x:row>
    <x:row r="39">
      <x:c r="A39" s="33" t="str">
        <x:v>T02</x:v>
      </x:c>
      <x:c r="B39" s="34" t="n">
        <x:v>16</x:v>
      </x:c>
      <x:c r="C39" s="34" t="str">
        <x:v>cpu-9950x3d-mixed</x:v>
      </x:c>
      <x:c r="D39" s="34" t="str">
        <x:v>Ryzen 9 9950X3D mixed gaming and creation profile</x:v>
      </x:c>
      <x:c r="E39" s="34" t="str">
        <x:v>cpu</x:v>
      </x:c>
      <x:c r="F39" s="80" t="n">
        <x:v>64</x:v>
      </x:c>
      <x:c r="G39" s="80" t="n">
        <x:v>0.591</x:v>
      </x:c>
      <x:c r="H39" s="34" t="str">
        <x:v>vector</x:v>
      </x:c>
      <x:c r="I39" s="34" t="str">
        <x:v>ollama</x:v>
      </x:c>
      <x:c r="J39" s="34" t="str">
        <x:v>nomic-embed-text</x:v>
      </x:c>
      <x:c r="K39" s="34" t="str">
        <x:v>cpu, amd, am5, zen5, 16-core, gaming, creator, enthusiast</x:v>
      </x:c>
      <x:c r="L39" s="34" t="str">
        <x:v>AMD Ryzen desktop processor specifications</x:v>
      </x:c>
      <x:c r="M39" s="34" t="str">
        <x:v>https://www.amd.com/en/products/processors/desktops/ryzen.html</x:v>
      </x:c>
      <x:c r="N39" s="35" t="str">
        <x:v>Ryzen 9 9950X3D combines 16 Zen 5 cores with second-generation 3D V-Cache on AM5. It fits premium systems that need strong gaming latency and high multicore throughput, but it should not displace cheaper eight-core X3D options in gaming-only budgets.</x:v>
      </x:c>
    </x:row>
    <x:row r="40">
      <x:c r="A40" s="33" t="str">
        <x:v>T02</x:v>
      </x:c>
      <x:c r="B40" s="34" t="n">
        <x:v>17</x:v>
      </x:c>
      <x:c r="C40" s="34" t="str">
        <x:v>upgrade-am5</x:v>
      </x:c>
      <x:c r="D40" s="34" t="str">
        <x:v>AM5 platform upgradeability</x:v>
      </x:c>
      <x:c r="E40" s="34" t="str">
        <x:v>planning</x:v>
      </x:c>
      <x:c r="F40" s="80" t="n">
        <x:v>64</x:v>
      </x:c>
      <x:c r="G40" s="80" t="n">
        <x:v>0.611</x:v>
      </x:c>
      <x:c r="H40" s="34" t="str">
        <x:v>vector</x:v>
      </x:c>
      <x:c r="I40" s="34" t="str">
        <x:v>ollama</x:v>
      </x:c>
      <x:c r="J40" s="34" t="str">
        <x:v>nomic-embed-text</x:v>
      </x:c>
      <x:c r="K40" s="34" t="str">
        <x:v>motherboard, am5, upgradeability, planning</x:v>
      </x:c>
      <x:c r="L40" s="34" t="str">
        <x:v>AIPC curated knowledge base</x:v>
      </x:c>
      <x:c r="M40" s="34" t="str"/>
      <x:c r="N40" s="35" t="str">
        <x:v>AM5 boards provide a clearer CPU upgrade path than mature end-of-cycle platforms. The value is highest when the user explicitly plans a future CPU upgrade.</x:v>
      </x:c>
    </x:row>
    <x:row r="41">
      <x:c r="A41" s="33" t="str">
        <x:v>T02</x:v>
      </x:c>
      <x:c r="B41" s="34" t="n">
        <x:v>18</x:v>
      </x:c>
      <x:c r="C41" s="34" t="str">
        <x:v>platform-am5-800-series</x:v>
      </x:c>
      <x:c r="D41" s="34" t="str">
        <x:v>AM5 B850 and X870 platform choice</x:v>
      </x:c>
      <x:c r="E41" s="34" t="str">
        <x:v>planning</x:v>
      </x:c>
      <x:c r="F41" s="80" t="n">
        <x:v>64</x:v>
      </x:c>
      <x:c r="G41" s="80" t="n">
        <x:v>0.607</x:v>
      </x:c>
      <x:c r="H41" s="34" t="str">
        <x:v>vector</x:v>
      </x:c>
      <x:c r="I41" s="34" t="str">
        <x:v>ollama</x:v>
      </x:c>
      <x:c r="J41" s="34" t="str">
        <x:v>nomic-embed-text</x:v>
      </x:c>
      <x:c r="K41" s="34" t="str">
        <x:v>motherboard, am5, b850, x870, usb4, pcie5, upgradeability</x:v>
      </x:c>
      <x:c r="L41" s="34" t="str">
        <x:v>AMD 800-series motherboard product specifications</x:v>
      </x:c>
      <x:c r="M41" s="34" t="str">
        <x:v>https://www.msi.com/Motherboard/MAG-X870-TOMAHAWK-WIFI/Specification</x:v>
      </x:c>
      <x:c r="N41" s="35" t="str">
        <x:v>B850 boards can provide PCIe 5.0 storage and mainstream connectivity, while X870 boards add mandatory USB4-class connectivity and often more high-speed I/O. Board selection should follow actual M.2, USB4, LAN, Wi-Fi, and expansion needs rather than chipset prestige.</x:v>
      </x:c>
    </x:row>
    <x:row r="42">
      <x:c r="A42" s="33" t="str">
        <x:v>T03</x:v>
      </x:c>
      <x:c r="B42" s="34" t="n">
        <x:v>1</x:v>
      </x:c>
      <x:c r="C42" s="34" t="str">
        <x:v>gpu-vram-ai</x:v>
      </x:c>
      <x:c r="D42" s="34" t="str">
        <x:v>VRAM is the primary local AI constraint</x:v>
      </x:c>
      <x:c r="E42" s="34" t="str">
        <x:v>workload</x:v>
      </x:c>
      <x:c r="F42" s="80" t="n">
        <x:v>73</x:v>
      </x:c>
      <x:c r="G42" s="80" t="n">
        <x:v>0.667</x:v>
      </x:c>
      <x:c r="H42" s="34" t="str">
        <x:v>vector</x:v>
      </x:c>
      <x:c r="I42" s="34" t="str">
        <x:v>ollama</x:v>
      </x:c>
      <x:c r="J42" s="34" t="str">
        <x:v>nomic-embed-text</x:v>
      </x:c>
      <x:c r="K42" s="34" t="str">
        <x:v>gpu, ai, vram, local-llm, diffusion</x:v>
      </x:c>
      <x:c r="L42" s="34" t="str">
        <x:v>AIPC curated knowledge base</x:v>
      </x:c>
      <x:c r="M42" s="34" t="str"/>
      <x:c r="N42" s="35" t="str">
        <x:v>Local LLM inference and diffusion workloads keep model weights and intermediate data in GPU memory. 12GB suits smaller experiments, 16GB is a strong hobbyist target, and 24GB materially expands the models and batch sizes that fit without CPU offload.</x:v>
      </x:c>
    </x:row>
    <x:row r="43">
      <x:c r="A43" s="33" t="str">
        <x:v>T03</x:v>
      </x:c>
      <x:c r="B43" s="34" t="n">
        <x:v>2</x:v>
      </x:c>
      <x:c r="C43" s="34" t="str">
        <x:v>gpu-4090-ai</x:v>
      </x:c>
      <x:c r="D43" s="34" t="str">
        <x:v>RTX 4090 local AI profile</x:v>
      </x:c>
      <x:c r="E43" s="34" t="str">
        <x:v>gpu</x:v>
      </x:c>
      <x:c r="F43" s="80" t="n">
        <x:v>73</x:v>
      </x:c>
      <x:c r="G43" s="80" t="n">
        <x:v>0.673</x:v>
      </x:c>
      <x:c r="H43" s="34" t="str">
        <x:v>vector</x:v>
      </x:c>
      <x:c r="I43" s="34" t="str">
        <x:v>ollama</x:v>
      </x:c>
      <x:c r="J43" s="34" t="str">
        <x:v>nomic-embed-text</x:v>
      </x:c>
      <x:c r="K43" s="34" t="str">
        <x:v>gpu, ai, cuda, 24gb, enthusiast</x:v>
      </x:c>
      <x:c r="L43" s="34" t="str">
        <x:v>AIPC curated knowledge base</x:v>
      </x:c>
      <x:c r="M43" s="34" t="str"/>
      <x:c r="N43" s="35" t="str">
        <x:v>The RTX 4090 combines 24GB VRAM with CUDA support. It is a high-cost option best considered when local AI capacity matters more than power draw or compact size.</x:v>
      </x:c>
    </x:row>
    <x:row r="44">
      <x:c r="A44" s="33" t="str">
        <x:v>T03</x:v>
      </x:c>
      <x:c r="B44" s="34" t="n">
        <x:v>3</x:v>
      </x:c>
      <x:c r="C44" s="34" t="str">
        <x:v>gpu-5080-blackwell</x:v>
      </x:c>
      <x:c r="D44" s="34" t="str">
        <x:v>RTX 5080 4K and creator profile</x:v>
      </x:c>
      <x:c r="E44" s="34" t="str">
        <x:v>gpu</x:v>
      </x:c>
      <x:c r="F44" s="80" t="n">
        <x:v>73</x:v>
      </x:c>
      <x:c r="G44" s="80" t="n">
        <x:v>0.647</x:v>
      </x:c>
      <x:c r="H44" s="34" t="str">
        <x:v>vector</x:v>
      </x:c>
      <x:c r="I44" s="34" t="str">
        <x:v>ollama</x:v>
      </x:c>
      <x:c r="J44" s="34" t="str">
        <x:v>nomic-embed-text</x:v>
      </x:c>
      <x:c r="K44" s="34" t="str">
        <x:v>gpu, nvidia, cuda, blackwell, 16gb, 4k, creator</x:v>
      </x:c>
      <x:c r="L44" s="34" t="str">
        <x:v>NVIDIA GeForce RTX 5080 specifications</x:v>
      </x:c>
      <x:c r="M44" s="34" t="str">
        <x:v>https://www.nvidia.com/en-us/geforce/graphics-cards/50-series/rtx-5080/</x:v>
      </x:c>
      <x:c r="N44" s="35" t="str">
        <x:v>The GeForce RTX 5080 reference design combines 16GB GDDR7, CUDA support, a 360W total graphics power rating, and Blackwell media/AI features. It is a high-end 4K and creator option below the RTX 5090, but 16GB VRAM is a meaningful limit for larger local AI models.</x:v>
      </x:c>
    </x:row>
    <x:row r="45">
      <x:c r="A45" s="33" t="str">
        <x:v>T03</x:v>
      </x:c>
      <x:c r="B45" s="34" t="n">
        <x:v>4</x:v>
      </x:c>
      <x:c r="C45" s="34" t="str">
        <x:v>gpu-5060ti16-ai-value</x:v>
      </x:c>
      <x:c r="D45" s="34" t="str">
        <x:v>RTX 5060 Ti 16GB capacity-value trade-off</x:v>
      </x:c>
      <x:c r="E45" s="34" t="str">
        <x:v>gpu</x:v>
      </x:c>
      <x:c r="F45" s="80" t="n">
        <x:v>72</x:v>
      </x:c>
      <x:c r="G45" s="80" t="n">
        <x:v>0.644</x:v>
      </x:c>
      <x:c r="H45" s="34" t="str">
        <x:v>vector</x:v>
      </x:c>
      <x:c r="I45" s="34" t="str">
        <x:v>ollama</x:v>
      </x:c>
      <x:c r="J45" s="34" t="str">
        <x:v>nomic-embed-text</x:v>
      </x:c>
      <x:c r="K45" s="34" t="str">
        <x:v>gpu, nvidia, cuda, blackwell, 16gb, ai, value, efficient</x:v>
      </x:c>
      <x:c r="L45" s="34" t="str">
        <x:v>NVIDIA GeForce RTX 5060 family specifications</x:v>
      </x:c>
      <x:c r="M45" s="34" t="str">
        <x:v>https://www.nvidia.com/en-us/geforce/graphics-cards/50-series/rtx-5060-family/</x:v>
      </x:c>
      <x:c r="N45" s="35" t="str">
        <x:v>The 16GB RTX 5060 Ti offers more model and texture capacity than 8GB cards while retaining CUDA support and a 180W reference power target. Its compute throughput is midrange, so capacity-sensitive hobby AI can fit even when raw generation or training speed is below higher-tier GPUs.</x:v>
      </x:c>
    </x:row>
    <x:row r="46">
      <x:c r="A46" s="33" t="str">
        <x:v>T03</x:v>
      </x:c>
      <x:c r="B46" s="34" t="n">
        <x:v>5</x:v>
      </x:c>
      <x:c r="C46" s="34" t="str">
        <x:v>gpu-5070ti-blackwell</x:v>
      </x:c>
      <x:c r="D46" s="34" t="str">
        <x:v>RTX 5070 Ti balanced high-end profile</x:v>
      </x:c>
      <x:c r="E46" s="34" t="str">
        <x:v>gpu</x:v>
      </x:c>
      <x:c r="F46" s="80" t="n">
        <x:v>72</x:v>
      </x:c>
      <x:c r="G46" s="80" t="n">
        <x:v>0.643</x:v>
      </x:c>
      <x:c r="H46" s="34" t="str">
        <x:v>vector</x:v>
      </x:c>
      <x:c r="I46" s="34" t="str">
        <x:v>ollama</x:v>
      </x:c>
      <x:c r="J46" s="34" t="str">
        <x:v>nomic-embed-text</x:v>
      </x:c>
      <x:c r="K46" s="34" t="str">
        <x:v>gpu, nvidia, cuda, blackwell, 16gb, 1440p, 4k, balanced</x:v>
      </x:c>
      <x:c r="L46" s="34" t="str">
        <x:v>NVIDIA GeForce RTX 5070 family specifications</x:v>
      </x:c>
      <x:c r="M46" s="34" t="str">
        <x:v>https://www.nvidia.com/en-us/geforce/graphics-cards/50-series/rtx-5070-family/</x:v>
      </x:c>
      <x:c r="N46" s="35" t="str">
        <x:v>The GeForce RTX 5070 Ti provides 16GB GDDR7 and CUDA at a 300W reference power target. It is positioned for high-refresh 1440p, entry 4K, creator acceleration, and moderate local AI workloads without flagship cost.</x:v>
      </x:c>
    </x:row>
    <x:row r="47">
      <x:c r="A47" s="33" t="str">
        <x:v>T03</x:v>
      </x:c>
      <x:c r="B47" s="34" t="n">
        <x:v>6</x:v>
      </x:c>
      <x:c r="C47" s="34" t="str">
        <x:v>gpu-cuda-ai</x:v>
      </x:c>
      <x:c r="D47" s="34" t="str">
        <x:v>CUDA ecosystem preference</x:v>
      </x:c>
      <x:c r="E47" s="34" t="str">
        <x:v>workload</x:v>
      </x:c>
      <x:c r="F47" s="80" t="n">
        <x:v>71</x:v>
      </x:c>
      <x:c r="G47" s="80" t="n">
        <x:v>0.65</x:v>
      </x:c>
      <x:c r="H47" s="34" t="str">
        <x:v>vector</x:v>
      </x:c>
      <x:c r="I47" s="34" t="str">
        <x:v>ollama</x:v>
      </x:c>
      <x:c r="J47" s="34" t="str">
        <x:v>nomic-embed-text</x:v>
      </x:c>
      <x:c r="K47" s="34" t="str">
        <x:v>gpu, ai, cuda, nvidia, compatibility</x:v>
      </x:c>
      <x:c r="L47" s="34" t="str">
        <x:v>AIPC curated knowledge base</x:v>
      </x:c>
      <x:c r="M47" s="34" t="str"/>
      <x:c r="N47" s="35" t="str">
        <x:v>Many common AI tools are optimized first for NVIDIA CUDA. AMD cards can offer strong raster value, but users who need broad framework compatibility should prioritize CUDA unless they have verified their exact stack.</x:v>
      </x:c>
    </x:row>
    <x:row r="48">
      <x:c r="A48" s="33" t="str">
        <x:v>T03</x:v>
      </x:c>
      <x:c r="B48" s="34" t="n">
        <x:v>7</x:v>
      </x:c>
      <x:c r="C48" s="34" t="str">
        <x:v>gpu-4070tis-balanced</x:v>
      </x:c>
      <x:c r="D48" s="34" t="str">
        <x:v>RTX 4070 Ti Super balanced profile</x:v>
      </x:c>
      <x:c r="E48" s="34" t="str">
        <x:v>gpu</x:v>
      </x:c>
      <x:c r="F48" s="80" t="n">
        <x:v>70</x:v>
      </x:c>
      <x:c r="G48" s="80" t="n">
        <x:v>0.629</x:v>
      </x:c>
      <x:c r="H48" s="34" t="str">
        <x:v>vector</x:v>
      </x:c>
      <x:c r="I48" s="34" t="str">
        <x:v>ollama</x:v>
      </x:c>
      <x:c r="J48" s="34" t="str">
        <x:v>nomic-embed-text</x:v>
      </x:c>
      <x:c r="K48" s="34" t="str">
        <x:v>gpu, gaming, ai, cuda, 16gb, balanced</x:v>
      </x:c>
      <x:c r="L48" s="34" t="str">
        <x:v>AIPC curated knowledge base</x:v>
      </x:c>
      <x:c r="M48" s="34" t="str"/>
      <x:c r="N48" s="35" t="str">
        <x:v>The RTX 4070 Ti Super provides 16GB VRAM and strong 1440p to 4K capability at lower power and cost than flagship GPUs. It is a balanced choice for mixed gaming, creative, and CUDA work.</x:v>
      </x:c>
    </x:row>
    <x:row r="49">
      <x:c r="A49" s="33" t="str">
        <x:v>T03</x:v>
      </x:c>
      <x:c r="B49" s="34" t="n">
        <x:v>8</x:v>
      </x:c>
      <x:c r="C49" s="34" t="str">
        <x:v>gpu-4070s-gaming</x:v>
      </x:c>
      <x:c r="D49" s="34" t="str">
        <x:v>RTX 4070 Super gaming profile</x:v>
      </x:c>
      <x:c r="E49" s="34" t="str">
        <x:v>gpu</x:v>
      </x:c>
      <x:c r="F49" s="80" t="n">
        <x:v>68</x:v>
      </x:c>
      <x:c r="G49" s="80" t="n">
        <x:v>0.62</x:v>
      </x:c>
      <x:c r="H49" s="34" t="str">
        <x:v>vector</x:v>
      </x:c>
      <x:c r="I49" s="34" t="str">
        <x:v>ollama</x:v>
      </x:c>
      <x:c r="J49" s="34" t="str">
        <x:v>nomic-embed-text</x:v>
      </x:c>
      <x:c r="K49" s="34" t="str">
        <x:v>gpu, gaming, 1440p, cuda, 12gb, efficient</x:v>
      </x:c>
      <x:c r="L49" s="34" t="str">
        <x:v>AIPC curated knowledge base</x:v>
      </x:c>
      <x:c r="M49" s="34" t="str"/>
      <x:c r="N49" s="35" t="str">
        <x:v>The RTX 4070 Super is efficient for high-quality 1440p gaming and supports CUDA, but its 12GB VRAM is less flexible for larger local AI workloads.</x:v>
      </x:c>
    </x:row>
    <x:row r="50">
      <x:c r="A50" s="33" t="str">
        <x:v>T03</x:v>
      </x:c>
      <x:c r="B50" s="34" t="n">
        <x:v>9</x:v>
      </x:c>
      <x:c r="C50" s="34" t="str">
        <x:v>case-north-airflow</x:v>
      </x:c>
      <x:c r="D50" s="34" t="str">
        <x:v>Fractal North balanced airflow</x:v>
      </x:c>
      <x:c r="E50" s="34" t="str">
        <x:v>case</x:v>
      </x:c>
      <x:c r="F50" s="80" t="n">
        <x:v>62</x:v>
      </x:c>
      <x:c r="G50" s="80" t="n">
        <x:v>0.562</x:v>
      </x:c>
      <x:c r="H50" s="34" t="str">
        <x:v>vector</x:v>
      </x:c>
      <x:c r="I50" s="34" t="str">
        <x:v>ollama</x:v>
      </x:c>
      <x:c r="J50" s="34" t="str">
        <x:v>nomic-embed-text</x:v>
      </x:c>
      <x:c r="K50" s="34" t="str">
        <x:v>case, atx, airflow, quiet, upgradeability</x:v>
      </x:c>
      <x:c r="L50" s="34" t="str">
        <x:v>AIPC curated knowledge base</x:v>
      </x:c>
      <x:c r="M50" s="34" t="str"/>
      <x:c r="N50" s="35" t="str">
        <x:v>The Fractal North supports full-size ATX components with 355mm GPU clearance and 170mm air-cooler clearance. It balances airflow, acoustics, and upgrade room.</x:v>
      </x:c>
    </x:row>
    <x:row r="51">
      <x:c r="A51" s="33" t="str">
        <x:v>T03</x:v>
      </x:c>
      <x:c r="B51" s="34" t="n">
        <x:v>10</x:v>
      </x:c>
      <x:c r="C51" s="34" t="str">
        <x:v>ram-capacity-ai</x:v>
      </x:c>
      <x:c r="D51" s="34" t="str">
        <x:v>System RAM for local AI</x:v>
      </x:c>
      <x:c r="E51" s="34" t="str">
        <x:v>workload</x:v>
      </x:c>
      <x:c r="F51" s="80" t="n">
        <x:v>60</x:v>
      </x:c>
      <x:c r="G51" s="80" t="n">
        <x:v>0.567</x:v>
      </x:c>
      <x:c r="H51" s="34" t="str">
        <x:v>vector</x:v>
      </x:c>
      <x:c r="I51" s="34" t="str">
        <x:v>ollama</x:v>
      </x:c>
      <x:c r="J51" s="34" t="str">
        <x:v>nomic-embed-text</x:v>
      </x:c>
      <x:c r="K51" s="34" t="str">
        <x:v>ram, ai, local-llm, 64gb, 96gb</x:v>
      </x:c>
      <x:c r="L51" s="34" t="str">
        <x:v>AIPC curated knowledge base</x:v>
      </x:c>
      <x:c r="M51" s="34" t="str"/>
      <x:c r="N51" s="35" t="str">
        <x:v>System RAM does not replace VRAM, but 64GB or more helps with model loading, CPU offload, data preparation, and running supporting services beside a local model.</x:v>
      </x:c>
    </x:row>
    <x:row r="52">
      <x:c r="A52" s="33" t="str">
        <x:v>T03</x:v>
      </x:c>
      <x:c r="B52" s="34" t="n">
        <x:v>11</x:v>
      </x:c>
      <x:c r="C52" s="34" t="str">
        <x:v>gaming-4k-240</x:v>
      </x:c>
      <x:c r="D52" s="34" t="str">
        <x:v>4K 240Hz target trade-off</x:v>
      </x:c>
      <x:c r="E52" s="34" t="str">
        <x:v>workload</x:v>
      </x:c>
      <x:c r="F52" s="80" t="n">
        <x:v>59</x:v>
      </x:c>
      <x:c r="G52" s="80" t="n">
        <x:v>0.543</x:v>
      </x:c>
      <x:c r="H52" s="34" t="str">
        <x:v>vector</x:v>
      </x:c>
      <x:c r="I52" s="34" t="str">
        <x:v>ollama</x:v>
      </x:c>
      <x:c r="J52" s="34" t="str">
        <x:v>nomic-embed-text</x:v>
      </x:c>
      <x:c r="K52" s="34" t="str">
        <x:v>gaming, 4k, 240fps, high-fps, gpu, trade-off</x:v>
      </x:c>
      <x:c r="L52" s="34" t="str">
        <x:v>AIPC curated knowledge base</x:v>
      </x:c>
      <x:c r="M52" s="34" t="str"/>
      <x:c r="N52" s="35" t="str">
        <x:v>A 4K 240Hz target is exceptionally demanding and depends heavily on the game, settings, and upscaling. The recommendation should maximize GPU headroom without claiming that every title will sustain 240 FPS.</x:v>
      </x:c>
    </x:row>
    <x:row r="53">
      <x:c r="A53" s="33" t="str">
        <x:v>T03</x:v>
      </x:c>
      <x:c r="B53" s="34" t="n">
        <x:v>12</x:v>
      </x:c>
      <x:c r="C53" s="34" t="str">
        <x:v>gaming-4k</x:v>
      </x:c>
      <x:c r="D53" s="34" t="str">
        <x:v>4K gaming allocation</x:v>
      </x:c>
      <x:c r="E53" s="34" t="str">
        <x:v>workload</x:v>
      </x:c>
      <x:c r="F53" s="80" t="n">
        <x:v>59</x:v>
      </x:c>
      <x:c r="G53" s="80" t="n">
        <x:v>0.541</x:v>
      </x:c>
      <x:c r="H53" s="34" t="str">
        <x:v>vector</x:v>
      </x:c>
      <x:c r="I53" s="34" t="str">
        <x:v>ollama</x:v>
      </x:c>
      <x:c r="J53" s="34" t="str">
        <x:v>nomic-embed-text</x:v>
      </x:c>
      <x:c r="K53" s="34" t="str">
        <x:v>gaming, 4k, gpu, high-end</x:v>
      </x:c>
      <x:c r="L53" s="34" t="str">
        <x:v>AIPC curated knowledge base</x:v>
      </x:c>
      <x:c r="M53" s="34" t="str"/>
      <x:c r="N53" s="35" t="str">
        <x:v>At 4K the GPU is normally the primary performance constraint. Budget should favor the graphics card while retaining enough CPU, cooling, and PSU quality to avoid platform imbalance.</x:v>
      </x:c>
    </x:row>
    <x:row r="54">
      <x:c r="A54" s="33" t="str">
        <x:v>T03</x:v>
      </x:c>
      <x:c r="B54" s="34" t="n">
        <x:v>13</x:v>
      </x:c>
      <x:c r="C54" s="34" t="str">
        <x:v>cpu-14700k-high-refresh</x:v>
      </x:c>
      <x:c r="D54" s="34" t="str">
        <x:v>Core i7-14700K high-refresh gaming profile</x:v>
      </x:c>
      <x:c r="E54" s="34" t="str">
        <x:v>cpu</x:v>
      </x:c>
      <x:c r="F54" s="80" t="n">
        <x:v>57</x:v>
      </x:c>
      <x:c r="G54" s="80" t="n">
        <x:v>0.54</x:v>
      </x:c>
      <x:c r="H54" s="34" t="str">
        <x:v>vector</x:v>
      </x:c>
      <x:c r="I54" s="34" t="str">
        <x:v>ollama</x:v>
      </x:c>
      <x:c r="J54" s="34" t="str">
        <x:v>nomic-embed-text</x:v>
      </x:c>
      <x:c r="K54" s="34" t="str">
        <x:v>cpu, intel, gaming, high-fps, lga1700, high-power</x:v>
      </x:c>
      <x:c r="L54" s="34" t="str">
        <x:v>AIPC curated knowledge base</x:v>
      </x:c>
      <x:c r="M54" s="34" t="str"/>
      <x:c r="N54" s="35" t="str">
        <x:v>The Core i7-14700K is an Intel LGA1700 option for high-refresh gaming and mixed productivity. Its high peak power requires substantial cooling, and the mature socket has less future CPU upgrade room than newer platforms.</x:v>
      </x:c>
    </x:row>
    <x:row r="55">
      <x:c r="A55" s="33" t="str">
        <x:v>T03</x:v>
      </x:c>
      <x:c r="B55" s="34" t="n">
        <x:v>14</x:v>
      </x:c>
      <x:c r="C55" s="34" t="str">
        <x:v>cooler-pa120</x:v>
      </x:c>
      <x:c r="D55" s="34" t="str">
        <x:v>Peerless Assassin value cooling</x:v>
      </x:c>
      <x:c r="E55" s="34" t="str">
        <x:v>cooler</x:v>
      </x:c>
      <x:c r="F55" s="80" t="n">
        <x:v>57</x:v>
      </x:c>
      <x:c r="G55" s="80" t="n">
        <x:v>0.527</x:v>
      </x:c>
      <x:c r="H55" s="34" t="str">
        <x:v>vector</x:v>
      </x:c>
      <x:c r="I55" s="34" t="str">
        <x:v>ollama</x:v>
      </x:c>
      <x:c r="J55" s="34" t="str">
        <x:v>nomic-embed-text</x:v>
      </x:c>
      <x:c r="K55" s="34" t="str">
        <x:v>cooler, air, value, quiet</x:v>
      </x:c>
      <x:c r="L55" s="34" t="str">
        <x:v>AIPC curated knowledge base</x:v>
      </x:c>
      <x:c r="M55" s="34" t="str"/>
      <x:c r="N55" s="35" t="str">
        <x:v>The Peerless Assassin 120 SE offers high air-cooling capacity at low cost. It is well suited to mainstream and many high-tier CPUs when case height allows it.</x:v>
      </x:c>
    </x:row>
    <x:row r="56">
      <x:c r="A56" s="33" t="str">
        <x:v>T03</x:v>
      </x:c>
      <x:c r="B56" s="34" t="n">
        <x:v>15</x:v>
      </x:c>
      <x:c r="C56" s="34" t="str">
        <x:v>gpu-5090-flagship</x:v>
      </x:c>
      <x:c r="D56" s="34" t="str">
        <x:v>RTX 5090 flagship profile</x:v>
      </x:c>
      <x:c r="E56" s="34" t="str">
        <x:v>gpu</x:v>
      </x:c>
      <x:c r="F56" s="80" t="n">
        <x:v>57</x:v>
      </x:c>
      <x:c r="G56" s="80" t="n">
        <x:v>0.53</x:v>
      </x:c>
      <x:c r="H56" s="34" t="str">
        <x:v>vector</x:v>
      </x:c>
      <x:c r="I56" s="34" t="str">
        <x:v>ollama</x:v>
      </x:c>
      <x:c r="J56" s="34" t="str">
        <x:v>nomic-embed-text</x:v>
      </x:c>
      <x:c r="K56" s="34" t="str">
        <x:v>gpu, gaming, 4k, ai, cuda, 32gb, enthusiast, blackwell</x:v>
      </x:c>
      <x:c r="L56" s="34" t="str">
        <x:v>AIPC curated knowledge base</x:v>
      </x:c>
      <x:c r="M56" s="34" t="str"/>
      <x:c r="N56" s="35" t="str">
        <x:v>The RTX 5090 combines 32GB GDDR7 with CUDA support and a 575W total graphics power rating. It requires an enthusiast budget, a compatible case, and at least a 1000W system power plan.</x:v>
      </x:c>
    </x:row>
    <x:row r="57">
      <x:c r="A57" s="33" t="str">
        <x:v>T04</x:v>
      </x:c>
      <x:c r="B57" s="34" t="n">
        <x:v>1</x:v>
      </x:c>
      <x:c r="C57" s="34" t="str">
        <x:v>gpu-5070ti-blackwell</x:v>
      </x:c>
      <x:c r="D57" s="34" t="str">
        <x:v>RTX 5070 Ti balanced high-end profile</x:v>
      </x:c>
      <x:c r="E57" s="34" t="str">
        <x:v>gpu</x:v>
      </x:c>
      <x:c r="F57" s="80" t="n">
        <x:v>74</x:v>
      </x:c>
      <x:c r="G57" s="80" t="n">
        <x:v>0.68</x:v>
      </x:c>
      <x:c r="H57" s="34" t="str">
        <x:v>vector</x:v>
      </x:c>
      <x:c r="I57" s="34" t="str">
        <x:v>ollama</x:v>
      </x:c>
      <x:c r="J57" s="34" t="str">
        <x:v>nomic-embed-text</x:v>
      </x:c>
      <x:c r="K57" s="34" t="str">
        <x:v>gpu, nvidia, cuda, blackwell, 16gb, 1440p, 4k, balanced</x:v>
      </x:c>
      <x:c r="L57" s="34" t="str">
        <x:v>NVIDIA GeForce RTX 5070 family specifications</x:v>
      </x:c>
      <x:c r="M57" s="34" t="str">
        <x:v>https://www.nvidia.com/en-us/geforce/graphics-cards/50-series/rtx-5070-family/</x:v>
      </x:c>
      <x:c r="N57" s="35" t="str">
        <x:v>The GeForce RTX 5070 Ti provides 16GB GDDR7 and CUDA at a 300W reference power target. It is positioned for high-refresh 1440p, entry 4K, creator acceleration, and moderate local AI workloads without flagship cost.</x:v>
      </x:c>
    </x:row>
    <x:row r="58">
      <x:c r="A58" s="33" t="str">
        <x:v>T04</x:v>
      </x:c>
      <x:c r="B58" s="34" t="n">
        <x:v>2</x:v>
      </x:c>
      <x:c r="C58" s="34" t="str">
        <x:v>gpu-4070tis-balanced</x:v>
      </x:c>
      <x:c r="D58" s="34" t="str">
        <x:v>RTX 4070 Ti Super balanced profile</x:v>
      </x:c>
      <x:c r="E58" s="34" t="str">
        <x:v>gpu</x:v>
      </x:c>
      <x:c r="F58" s="80" t="n">
        <x:v>71</x:v>
      </x:c>
      <x:c r="G58" s="80" t="n">
        <x:v>0.67</x:v>
      </x:c>
      <x:c r="H58" s="34" t="str">
        <x:v>vector</x:v>
      </x:c>
      <x:c r="I58" s="34" t="str">
        <x:v>ollama</x:v>
      </x:c>
      <x:c r="J58" s="34" t="str">
        <x:v>nomic-embed-text</x:v>
      </x:c>
      <x:c r="K58" s="34" t="str">
        <x:v>gpu, gaming, ai, cuda, 16gb, balanced</x:v>
      </x:c>
      <x:c r="L58" s="34" t="str">
        <x:v>AIPC curated knowledge base</x:v>
      </x:c>
      <x:c r="M58" s="34" t="str"/>
      <x:c r="N58" s="35" t="str">
        <x:v>The RTX 4070 Ti Super provides 16GB VRAM and strong 1440p to 4K capability at lower power and cost than flagship GPUs. It is a balanced choice for mixed gaming, creative, and CUDA work.</x:v>
      </x:c>
    </x:row>
    <x:row r="59">
      <x:c r="A59" s="33" t="str">
        <x:v>T04</x:v>
      </x:c>
      <x:c r="B59" s="34" t="n">
        <x:v>3</x:v>
      </x:c>
      <x:c r="C59" s="34" t="str">
        <x:v>gpu-5060ti16-ai-value</x:v>
      </x:c>
      <x:c r="D59" s="34" t="str">
        <x:v>RTX 5060 Ti 16GB capacity-value trade-off</x:v>
      </x:c>
      <x:c r="E59" s="34" t="str">
        <x:v>gpu</x:v>
      </x:c>
      <x:c r="F59" s="80" t="n">
        <x:v>67</x:v>
      </x:c>
      <x:c r="G59" s="80" t="n">
        <x:v>0.629</x:v>
      </x:c>
      <x:c r="H59" s="34" t="str">
        <x:v>vector</x:v>
      </x:c>
      <x:c r="I59" s="34" t="str">
        <x:v>ollama</x:v>
      </x:c>
      <x:c r="J59" s="34" t="str">
        <x:v>nomic-embed-text</x:v>
      </x:c>
      <x:c r="K59" s="34" t="str">
        <x:v>gpu, nvidia, cuda, blackwell, 16gb, ai, value, efficient</x:v>
      </x:c>
      <x:c r="L59" s="34" t="str">
        <x:v>NVIDIA GeForce RTX 5060 family specifications</x:v>
      </x:c>
      <x:c r="M59" s="34" t="str">
        <x:v>https://www.nvidia.com/en-us/geforce/graphics-cards/50-series/rtx-5060-family/</x:v>
      </x:c>
      <x:c r="N59" s="35" t="str">
        <x:v>The 16GB RTX 5060 Ti offers more model and texture capacity than 8GB cards while retaining CUDA support and a 180W reference power target. Its compute throughput is midrange, so capacity-sensitive hobby AI can fit even when raw generation or training speed is below higher-tier GPUs.</x:v>
      </x:c>
    </x:row>
    <x:row r="60">
      <x:c r="A60" s="33" t="str">
        <x:v>T04</x:v>
      </x:c>
      <x:c r="B60" s="34" t="n">
        <x:v>4</x:v>
      </x:c>
      <x:c r="C60" s="34" t="str">
        <x:v>gpu-5080-blackwell</x:v>
      </x:c>
      <x:c r="D60" s="34" t="str">
        <x:v>RTX 5080 4K and creator profile</x:v>
      </x:c>
      <x:c r="E60" s="34" t="str">
        <x:v>gpu</x:v>
      </x:c>
      <x:c r="F60" s="80" t="n">
        <x:v>66</x:v>
      </x:c>
      <x:c r="G60" s="80" t="n">
        <x:v>0.616</x:v>
      </x:c>
      <x:c r="H60" s="34" t="str">
        <x:v>vector</x:v>
      </x:c>
      <x:c r="I60" s="34" t="str">
        <x:v>ollama</x:v>
      </x:c>
      <x:c r="J60" s="34" t="str">
        <x:v>nomic-embed-text</x:v>
      </x:c>
      <x:c r="K60" s="34" t="str">
        <x:v>gpu, nvidia, cuda, blackwell, 16gb, 4k, creator</x:v>
      </x:c>
      <x:c r="L60" s="34" t="str">
        <x:v>NVIDIA GeForce RTX 5080 specifications</x:v>
      </x:c>
      <x:c r="M60" s="34" t="str">
        <x:v>https://www.nvidia.com/en-us/geforce/graphics-cards/50-series/rtx-5080/</x:v>
      </x:c>
      <x:c r="N60" s="35" t="str">
        <x:v>The GeForce RTX 5080 reference design combines 16GB GDDR7, CUDA support, a 360W total graphics power rating, and Blackwell media/AI features. It is a high-end 4K and creator option below the RTX 5090, but 16GB VRAM is a meaningful limit for larger local AI models.</x:v>
      </x:c>
    </x:row>
    <x:row r="61">
      <x:c r="A61" s="33" t="str">
        <x:v>T04</x:v>
      </x:c>
      <x:c r="B61" s="34" t="n">
        <x:v>5</x:v>
      </x:c>
      <x:c r="C61" s="34" t="str">
        <x:v>gaming-1440p</x:v>
      </x:c>
      <x:c r="D61" s="34" t="str">
        <x:v>1440p gaming allocation</x:v>
      </x:c>
      <x:c r="E61" s="34" t="str">
        <x:v>workload</x:v>
      </x:c>
      <x:c r="F61" s="80" t="n">
        <x:v>65</x:v>
      </x:c>
      <x:c r="G61" s="80" t="n">
        <x:v>0.606</x:v>
      </x:c>
      <x:c r="H61" s="34" t="str">
        <x:v>vector</x:v>
      </x:c>
      <x:c r="I61" s="34" t="str">
        <x:v>ollama</x:v>
      </x:c>
      <x:c r="J61" s="34" t="str">
        <x:v>nomic-embed-text</x:v>
      </x:c>
      <x:c r="K61" s="34" t="str">
        <x:v>gaming, 1440p, gpu, value</x:v>
      </x:c>
      <x:c r="L61" s="34" t="str">
        <x:v>AIPC curated knowledge base</x:v>
      </x:c>
      <x:c r="M61" s="34" t="str"/>
      <x:c r="N61" s="35" t="str">
        <x:v>1440p gaming usually benefits from a GPU-first budget with a balanced modern CPU. It is the broadest value target for high-refresh PC gaming.</x:v>
      </x:c>
    </x:row>
    <x:row r="62">
      <x:c r="A62" s="33" t="str">
        <x:v>T04</x:v>
      </x:c>
      <x:c r="B62" s="34" t="n">
        <x:v>6</x:v>
      </x:c>
      <x:c r="C62" s="34" t="str">
        <x:v>gpu-4090-ai</x:v>
      </x:c>
      <x:c r="D62" s="34" t="str">
        <x:v>RTX 4090 local AI profile</x:v>
      </x:c>
      <x:c r="E62" s="34" t="str">
        <x:v>gpu</x:v>
      </x:c>
      <x:c r="F62" s="80" t="n">
        <x:v>64</x:v>
      </x:c>
      <x:c r="G62" s="80" t="n">
        <x:v>0.626</x:v>
      </x:c>
      <x:c r="H62" s="34" t="str">
        <x:v>vector</x:v>
      </x:c>
      <x:c r="I62" s="34" t="str">
        <x:v>ollama</x:v>
      </x:c>
      <x:c r="J62" s="34" t="str">
        <x:v>nomic-embed-text</x:v>
      </x:c>
      <x:c r="K62" s="34" t="str">
        <x:v>gpu, ai, cuda, 24gb, enthusiast</x:v>
      </x:c>
      <x:c r="L62" s="34" t="str">
        <x:v>AIPC curated knowledge base</x:v>
      </x:c>
      <x:c r="M62" s="34" t="str"/>
      <x:c r="N62" s="35" t="str">
        <x:v>The RTX 4090 combines 24GB VRAM with CUDA support. It is a high-cost option best considered when local AI capacity matters more than power draw or compact size.</x:v>
      </x:c>
    </x:row>
    <x:row r="63">
      <x:c r="A63" s="33" t="str">
        <x:v>T04</x:v>
      </x:c>
      <x:c r="B63" s="34" t="n">
        <x:v>7</x:v>
      </x:c>
      <x:c r="C63" s="34" t="str">
        <x:v>gpu-4070s-gaming</x:v>
      </x:c>
      <x:c r="D63" s="34" t="str">
        <x:v>RTX 4070 Super gaming profile</x:v>
      </x:c>
      <x:c r="E63" s="34" t="str">
        <x:v>gpu</x:v>
      </x:c>
      <x:c r="F63" s="80" t="n">
        <x:v>64</x:v>
      </x:c>
      <x:c r="G63" s="80" t="n">
        <x:v>0.612</x:v>
      </x:c>
      <x:c r="H63" s="34" t="str">
        <x:v>vector</x:v>
      </x:c>
      <x:c r="I63" s="34" t="str">
        <x:v>ollama</x:v>
      </x:c>
      <x:c r="J63" s="34" t="str">
        <x:v>nomic-embed-text</x:v>
      </x:c>
      <x:c r="K63" s="34" t="str">
        <x:v>gpu, gaming, 1440p, cuda, 12gb, efficient</x:v>
      </x:c>
      <x:c r="L63" s="34" t="str">
        <x:v>AIPC curated knowledge base</x:v>
      </x:c>
      <x:c r="M63" s="34" t="str"/>
      <x:c r="N63" s="35" t="str">
        <x:v>The RTX 4070 Super is efficient for high-quality 1440p gaming and supports CUDA, but its 12GB VRAM is less flexible for larger local AI workloads.</x:v>
      </x:c>
    </x:row>
    <x:row r="64">
      <x:c r="A64" s="33" t="str">
        <x:v>T04</x:v>
      </x:c>
      <x:c r="B64" s="34" t="n">
        <x:v>8</x:v>
      </x:c>
      <x:c r="C64" s="34" t="str">
        <x:v>storage-pcie5-thermal</x:v>
      </x:c>
      <x:c r="D64" s="34" t="str">
        <x:v>PCIe 5.0 SSD performance and thermal trade-off</x:v>
      </x:c>
      <x:c r="E64" s="34" t="str">
        <x:v>storage</x:v>
      </x:c>
      <x:c r="F64" s="80" t="n">
        <x:v>62</x:v>
      </x:c>
      <x:c r="G64" s="80" t="n">
        <x:v>0.604</x:v>
      </x:c>
      <x:c r="H64" s="34" t="str">
        <x:v>vector</x:v>
      </x:c>
      <x:c r="I64" s="34" t="str">
        <x:v>ollama</x:v>
      </x:c>
      <x:c r="J64" s="34" t="str">
        <x:v>nomic-embed-text</x:v>
      </x:c>
      <x:c r="K64" s="34" t="str">
        <x:v>storage, nvme, pcie5, thermal, creator, development, value</x:v>
      </x:c>
      <x:c r="L64" s="34" t="str">
        <x:v>Samsung 9100 Pro official specifications</x:v>
      </x:c>
      <x:c r="M64" s="34" t="str">
        <x:v>https://www.samsung.com/us/memory-storage/nvme-ssd/9100-pro-nvme-ssd-sku-mz-vap4t0b-am/</x:v>
      </x:c>
      <x:c r="N64"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65">
      <x:c r="A65" s="33" t="str">
        <x:v>T04</x:v>
      </x:c>
      <x:c r="B65" s="34" t="n">
        <x:v>9</x:v>
      </x:c>
      <x:c r="C65" s="34" t="str">
        <x:v>cpu-7700-balanced</x:v>
      </x:c>
      <x:c r="D65" s="34" t="str">
        <x:v>Ryzen 7 7700 balanced profile</x:v>
      </x:c>
      <x:c r="E65" s="34" t="str">
        <x:v>cpu</x:v>
      </x:c>
      <x:c r="F65" s="80" t="n">
        <x:v>59</x:v>
      </x:c>
      <x:c r="G65" s="80" t="n">
        <x:v>0.561</x:v>
      </x:c>
      <x:c r="H65" s="34" t="str">
        <x:v>vector</x:v>
      </x:c>
      <x:c r="I65" s="34" t="str">
        <x:v>ollama</x:v>
      </x:c>
      <x:c r="J65" s="34" t="str">
        <x:v>nomic-embed-text</x:v>
      </x:c>
      <x:c r="K65" s="34" t="str">
        <x:v>cpu, development, balanced, quiet, efficient, am5</x:v>
      </x:c>
      <x:c r="L65" s="34" t="str">
        <x:v>AIPC curated knowledge base</x:v>
      </x:c>
      <x:c r="M65" s="34" t="str"/>
      <x:c r="N65" s="35" t="str">
        <x:v>The Ryzen 7 7700 combines eight cores with a 65W rating. It is a quiet, efficient foundation for development and balanced builds with a useful AM5 upgrade path.</x:v>
      </x:c>
    </x:row>
    <x:row r="66">
      <x:c r="A66" s="33" t="str">
        <x:v>T04</x:v>
      </x:c>
      <x:c r="B66" s="34" t="n">
        <x:v>10</x:v>
      </x:c>
      <x:c r="C66" s="34" t="str">
        <x:v>storage-workstation</x:v>
      </x:c>
      <x:c r="D66" s="34" t="str">
        <x:v>NVMe capacity for workstation use</x:v>
      </x:c>
      <x:c r="E66" s="34" t="str">
        <x:v>workload</x:v>
      </x:c>
      <x:c r="F66" s="80" t="n">
        <x:v>59</x:v>
      </x:c>
      <x:c r="G66" s="80" t="n">
        <x:v>0.578</x:v>
      </x:c>
      <x:c r="H66" s="34" t="str">
        <x:v>vector</x:v>
      </x:c>
      <x:c r="I66" s="34" t="str">
        <x:v>ollama</x:v>
      </x:c>
      <x:c r="J66" s="34" t="str">
        <x:v>nomic-embed-text</x:v>
      </x:c>
      <x:c r="K66" s="34" t="str">
        <x:v>storage, nvme, development, video, 2tb</x:v>
      </x:c>
      <x:c r="L66" s="34" t="str">
        <x:v>AIPC curated knowledge base</x:v>
      </x:c>
      <x:c r="M66" s="34" t="str"/>
      <x:c r="N66" s="35" t="str">
        <x:v>Development and editing systems benefit from 2TB or more of fast NVMe storage for repositories, containers, caches, footage, and active projects.</x:v>
      </x:c>
    </x:row>
    <x:row r="67">
      <x:c r="A67" s="33" t="str">
        <x:v>T04</x:v>
      </x:c>
      <x:c r="B67" s="34" t="n">
        <x:v>11</x:v>
      </x:c>
      <x:c r="C67" s="34" t="str">
        <x:v>gaming-1080p</x:v>
      </x:c>
      <x:c r="D67" s="34" t="str">
        <x:v>1080p gaming allocation</x:v>
      </x:c>
      <x:c r="E67" s="34" t="str">
        <x:v>workload</x:v>
      </x:c>
      <x:c r="F67" s="80" t="n">
        <x:v>58</x:v>
      </x:c>
      <x:c r="G67" s="80" t="n">
        <x:v>0.552</x:v>
      </x:c>
      <x:c r="H67" s="34" t="str">
        <x:v>vector</x:v>
      </x:c>
      <x:c r="I67" s="34" t="str">
        <x:v>ollama</x:v>
      </x:c>
      <x:c r="J67" s="34" t="str">
        <x:v>nomic-embed-text</x:v>
      </x:c>
      <x:c r="K67" s="34" t="str">
        <x:v>gaming, 1080p, high-fps, cpu</x:v>
      </x:c>
      <x:c r="L67" s="34" t="str">
        <x:v>AIPC curated knowledge base</x:v>
      </x:c>
      <x:c r="M67" s="34" t="str"/>
      <x:c r="N67" s="35" t="str">
        <x:v>At 1080p and high refresh rates, CPU frame delivery matters more than at higher resolutions. GPU budget remains important, but extreme GPU spending can produce diminishing returns.</x:v>
      </x:c>
    </x:row>
    <x:row r="68">
      <x:c r="A68" s="33" t="str">
        <x:v>T04</x:v>
      </x:c>
      <x:c r="B68" s="34" t="n">
        <x:v>12</x:v>
      </x:c>
      <x:c r="C68" s="34" t="str">
        <x:v>cpu-9950x3d-mixed</x:v>
      </x:c>
      <x:c r="D68" s="34" t="str">
        <x:v>Ryzen 9 9950X3D mixed gaming and creation profile</x:v>
      </x:c>
      <x:c r="E68" s="34" t="str">
        <x:v>cpu</x:v>
      </x:c>
      <x:c r="F68" s="80" t="n">
        <x:v>57</x:v>
      </x:c>
      <x:c r="G68" s="80" t="n">
        <x:v>0.552</x:v>
      </x:c>
      <x:c r="H68" s="34" t="str">
        <x:v>vector</x:v>
      </x:c>
      <x:c r="I68" s="34" t="str">
        <x:v>ollama</x:v>
      </x:c>
      <x:c r="J68" s="34" t="str">
        <x:v>nomic-embed-text</x:v>
      </x:c>
      <x:c r="K68" s="34" t="str">
        <x:v>cpu, amd, am5, zen5, 16-core, gaming, creator, enthusiast</x:v>
      </x:c>
      <x:c r="L68" s="34" t="str">
        <x:v>AMD Ryzen desktop processor specifications</x:v>
      </x:c>
      <x:c r="M68" s="34" t="str">
        <x:v>https://www.amd.com/en/products/processors/desktops/ryzen.html</x:v>
      </x:c>
      <x:c r="N68" s="35" t="str">
        <x:v>Ryzen 9 9950X3D combines 16 Zen 5 cores with second-generation 3D V-Cache on AM5. It fits premium systems that need strong gaming latency and high multicore throughput, but it should not displace cheaper eight-core X3D options in gaming-only budgets.</x:v>
      </x:c>
    </x:row>
    <x:row r="69">
      <x:c r="A69" s="33" t="str">
        <x:v>T04</x:v>
      </x:c>
      <x:c r="B69" s="34" t="n">
        <x:v>13</x:v>
      </x:c>
      <x:c r="C69" s="34" t="str">
        <x:v>cpu-14700k-high-refresh</x:v>
      </x:c>
      <x:c r="D69" s="34" t="str">
        <x:v>Core i7-14700K high-refresh gaming profile</x:v>
      </x:c>
      <x:c r="E69" s="34" t="str">
        <x:v>cpu</x:v>
      </x:c>
      <x:c r="F69" s="80" t="n">
        <x:v>57</x:v>
      </x:c>
      <x:c r="G69" s="80" t="n">
        <x:v>0.54</x:v>
      </x:c>
      <x:c r="H69" s="34" t="str">
        <x:v>vector</x:v>
      </x:c>
      <x:c r="I69" s="34" t="str">
        <x:v>ollama</x:v>
      </x:c>
      <x:c r="J69" s="34" t="str">
        <x:v>nomic-embed-text</x:v>
      </x:c>
      <x:c r="K69" s="34" t="str">
        <x:v>cpu, intel, gaming, high-fps, lga1700, high-power</x:v>
      </x:c>
      <x:c r="L69" s="34" t="str">
        <x:v>AIPC curated knowledge base</x:v>
      </x:c>
      <x:c r="M69" s="34" t="str"/>
      <x:c r="N69" s="35" t="str">
        <x:v>The Core i7-14700K is an Intel LGA1700 option for high-refresh gaming and mixed productivity. Its high peak power requires substantial cooling, and the mature socket has less future CPU upgrade room than newer platforms.</x:v>
      </x:c>
    </x:row>
    <x:row r="70">
      <x:c r="A70" s="33" t="str">
        <x:v>T04</x:v>
      </x:c>
      <x:c r="B70" s="34" t="n">
        <x:v>14</x:v>
      </x:c>
      <x:c r="C70" s="34" t="str">
        <x:v>cooler-pa120</x:v>
      </x:c>
      <x:c r="D70" s="34" t="str">
        <x:v>Peerless Assassin value cooling</x:v>
      </x:c>
      <x:c r="E70" s="34" t="str">
        <x:v>cooler</x:v>
      </x:c>
      <x:c r="F70" s="80" t="n">
        <x:v>57</x:v>
      </x:c>
      <x:c r="G70" s="80" t="n">
        <x:v>0.557</x:v>
      </x:c>
      <x:c r="H70" s="34" t="str">
        <x:v>vector</x:v>
      </x:c>
      <x:c r="I70" s="34" t="str">
        <x:v>ollama</x:v>
      </x:c>
      <x:c r="J70" s="34" t="str">
        <x:v>nomic-embed-text</x:v>
      </x:c>
      <x:c r="K70" s="34" t="str">
        <x:v>cooler, air, value, quiet</x:v>
      </x:c>
      <x:c r="L70" s="34" t="str">
        <x:v>AIPC curated knowledge base</x:v>
      </x:c>
      <x:c r="M70" s="34" t="str"/>
      <x:c r="N70" s="35" t="str">
        <x:v>The Peerless Assassin 120 SE offers high air-cooling capacity at low cost. It is well suited to mainstream and many high-tier CPUs when case height allows it.</x:v>
      </x:c>
    </x:row>
    <x:row r="71">
      <x:c r="A71" s="33" t="str">
        <x:v>T04</x:v>
      </x:c>
      <x:c r="B71" s="34" t="n">
        <x:v>15</x:v>
      </x:c>
      <x:c r="C71" s="34" t="str">
        <x:v>cpu-14700k-productivity</x:v>
      </x:c>
      <x:c r="D71" s="34" t="str">
        <x:v>Core i7-14700K productivity profile</x:v>
      </x:c>
      <x:c r="E71" s="34" t="str">
        <x:v>cpu</x:v>
      </x:c>
      <x:c r="F71" s="80" t="n">
        <x:v>56</x:v>
      </x:c>
      <x:c r="G71" s="80" t="n">
        <x:v>0.547</x:v>
      </x:c>
      <x:c r="H71" s="34" t="str">
        <x:v>vector</x:v>
      </x:c>
      <x:c r="I71" s="34" t="str">
        <x:v>ollama</x:v>
      </x:c>
      <x:c r="J71" s="34" t="str">
        <x:v>nomic-embed-text</x:v>
      </x:c>
      <x:c r="K71" s="34" t="str">
        <x:v>cpu, development, video, productivity, lga1700, high-power</x:v>
      </x:c>
      <x:c r="L71" s="34" t="str">
        <x:v>AIPC curated knowledge base</x:v>
      </x:c>
      <x:c r="M71" s="34" t="str"/>
      <x:c r="N71" s="35" t="str">
        <x:v>The Core i7-14700K offers high multithreaded throughput for editing and compilation, but its peak power and cooling requirements are substantial.</x:v>
      </x:c>
    </x:row>
    <x:row r="72">
      <x:c r="A72" s="33" t="str">
        <x:v>T04</x:v>
      </x:c>
      <x:c r="B72" s="34" t="n">
        <x:v>16</x:v>
      </x:c>
      <x:c r="C72" s="34" t="str">
        <x:v>motherboard-x670e</x:v>
      </x:c>
      <x:c r="D72" s="34" t="str">
        <x:v>X670E workstation expansion</x:v>
      </x:c>
      <x:c r="E72" s="34" t="str">
        <x:v>motherboard</x:v>
      </x:c>
      <x:c r="F72" s="80" t="n">
        <x:v>56</x:v>
      </x:c>
      <x:c r="G72" s="80" t="n">
        <x:v>0.542</x:v>
      </x:c>
      <x:c r="H72" s="34" t="str">
        <x:v>vector</x:v>
      </x:c>
      <x:c r="I72" s="34" t="str">
        <x:v>ollama</x:v>
      </x:c>
      <x:c r="J72" s="34" t="str">
        <x:v>nomic-embed-text</x:v>
      </x:c>
      <x:c r="K72" s="34" t="str">
        <x:v>motherboard, am5, x670e, workstation, upgradeability</x:v>
      </x:c>
      <x:c r="L72" s="34" t="str">
        <x:v>AIPC curated knowledge base</x:v>
      </x:c>
      <x:c r="M72" s="34" t="str"/>
      <x:c r="N72" s="35" t="str">
        <x:v>X670E boards add expansion and connectivity for high-tier AM5 workstations. They should be selected for actual I/O or upgrade needs rather than prestige alone.</x:v>
      </x:c>
    </x:row>
    <x:row r="73">
      <x:c r="A73" s="33" t="str">
        <x:v>T04</x:v>
      </x:c>
      <x:c r="B73" s="34" t="n">
        <x:v>17</x:v>
      </x:c>
      <x:c r="C73" s="34" t="str">
        <x:v>motherboard-b650</x:v>
      </x:c>
      <x:c r="D73" s="34" t="str">
        <x:v>B650 platform fit</x:v>
      </x:c>
      <x:c r="E73" s="34" t="str">
        <x:v>motherboard</x:v>
      </x:c>
      <x:c r="F73" s="80" t="n">
        <x:v>56</x:v>
      </x:c>
      <x:c r="G73" s="80" t="n">
        <x:v>0.54</x:v>
      </x:c>
      <x:c r="H73" s="34" t="str">
        <x:v>vector</x:v>
      </x:c>
      <x:c r="I73" s="34" t="str">
        <x:v>ollama</x:v>
      </x:c>
      <x:c r="J73" s="34" t="str">
        <x:v>nomic-embed-text</x:v>
      </x:c>
      <x:c r="K73" s="34" t="str">
        <x:v>motherboard, am5, b650, ddr5, value</x:v>
      </x:c>
      <x:c r="L73" s="34" t="str">
        <x:v>AIPC curated knowledge base</x:v>
      </x:c>
      <x:c r="M73" s="34" t="str"/>
      <x:c r="N73" s="35" t="str">
        <x:v>A well-equipped B650 motherboard is a sensible mainstream AM5 choice with DDR5 and multiple NVMe slots. Enthusiast CPUs may justify stronger power delivery or an X670E board.</x:v>
      </x:c>
    </x:row>
    <x:row r="74">
      <x:c r="A74" s="33" t="str">
        <x:v>T04</x:v>
      </x:c>
      <x:c r="B74" s="34" t="n">
        <x:v>18</x:v>
      </x:c>
      <x:c r="C74" s="34" t="str">
        <x:v>psu-850</x:v>
      </x:c>
      <x:c r="D74" s="34" t="str">
        <x:v>850W Gold mainstream high-end fit</x:v>
      </x:c>
      <x:c r="E74" s="34" t="str">
        <x:v>psu</x:v>
      </x:c>
      <x:c r="F74" s="80" t="n">
        <x:v>56</x:v>
      </x:c>
      <x:c r="G74" s="80" t="n">
        <x:v>0.543</x:v>
      </x:c>
      <x:c r="H74" s="34" t="str">
        <x:v>vector</x:v>
      </x:c>
      <x:c r="I74" s="34" t="str">
        <x:v>ollama</x:v>
      </x:c>
      <x:c r="J74" s="34" t="str">
        <x:v>nomic-embed-text</x:v>
      </x:c>
      <x:c r="K74" s="34" t="str">
        <x:v>psu, 850w, gold, upgradeability</x:v>
      </x:c>
      <x:c r="L74" s="34" t="str">
        <x:v>AIPC curated knowledge base</x:v>
      </x:c>
      <x:c r="M74" s="34" t="str"/>
      <x:c r="N74" s="35" t="str">
        <x:v>An 850W Gold PSU is a common fit for high-end single-GPU systems when it satisfies the 1.35x power rule. It offers more upgrade margin than 750W without flagship PSU cost.</x:v>
      </x:c>
    </x:row>
    <x:row r="75">
      <x:c r="A75" s="33" t="str">
        <x:v>T05</x:v>
      </x:c>
      <x:c r="B75" s="34" t="n">
        <x:v>1</x:v>
      </x:c>
      <x:c r="C75" s="34" t="str">
        <x:v>cpu-14700k-productivity</x:v>
      </x:c>
      <x:c r="D75" s="34" t="str">
        <x:v>Core i7-14700K productivity profile</x:v>
      </x:c>
      <x:c r="E75" s="34" t="str">
        <x:v>cpu</x:v>
      </x:c>
      <x:c r="F75" s="80" t="n">
        <x:v>71</x:v>
      </x:c>
      <x:c r="G75" s="80" t="n">
        <x:v>0.635</x:v>
      </x:c>
      <x:c r="H75" s="34" t="str">
        <x:v>vector</x:v>
      </x:c>
      <x:c r="I75" s="34" t="str">
        <x:v>ollama</x:v>
      </x:c>
      <x:c r="J75" s="34" t="str">
        <x:v>nomic-embed-text</x:v>
      </x:c>
      <x:c r="K75" s="34" t="str">
        <x:v>cpu, development, video, productivity, lga1700, high-power</x:v>
      </x:c>
      <x:c r="L75" s="34" t="str">
        <x:v>AIPC curated knowledge base</x:v>
      </x:c>
      <x:c r="M75" s="34" t="str"/>
      <x:c r="N75" s="35" t="str">
        <x:v>The Core i7-14700K offers high multithreaded throughput for editing and compilation, but its peak power and cooling requirements are substantial.</x:v>
      </x:c>
    </x:row>
    <x:row r="76">
      <x:c r="A76" s="33" t="str">
        <x:v>T05</x:v>
      </x:c>
      <x:c r="B76" s="34" t="n">
        <x:v>2</x:v>
      </x:c>
      <x:c r="C76" s="34" t="str">
        <x:v>ram-capacity-dev</x:v>
      </x:c>
      <x:c r="D76" s="34" t="str">
        <x:v>Memory capacity for development</x:v>
      </x:c>
      <x:c r="E76" s="34" t="str">
        <x:v>workload</x:v>
      </x:c>
      <x:c r="F76" s="80" t="n">
        <x:v>71</x:v>
      </x:c>
      <x:c r="G76" s="80" t="n">
        <x:v>0.653</x:v>
      </x:c>
      <x:c r="H76" s="34" t="str">
        <x:v>vector</x:v>
      </x:c>
      <x:c r="I76" s="34" t="str">
        <x:v>ollama</x:v>
      </x:c>
      <x:c r="J76" s="34" t="str">
        <x:v>nomic-embed-text</x:v>
      </x:c>
      <x:c r="K76" s="34" t="str">
        <x:v>ram, development, docker, containers, 64gb</x:v>
      </x:c>
      <x:c r="L76" s="34" t="str">
        <x:v>AIPC curated knowledge base</x:v>
      </x:c>
      <x:c r="M76" s="34" t="str"/>
      <x:c r="N76" s="35" t="str">
        <x:v>Docker, local databases, IDEs, browsers, and emulators compete for memory. 32GB is a practical baseline; 64GB provides meaningful headroom for heavier container and mobile build workflows.</x:v>
      </x:c>
    </x:row>
    <x:row r="77">
      <x:c r="A77" s="33" t="str">
        <x:v>T05</x:v>
      </x:c>
      <x:c r="B77" s="34" t="n">
        <x:v>3</x:v>
      </x:c>
      <x:c r="C77" s="34" t="str">
        <x:v>case-north-airflow</x:v>
      </x:c>
      <x:c r="D77" s="34" t="str">
        <x:v>Fractal North balanced airflow</x:v>
      </x:c>
      <x:c r="E77" s="34" t="str">
        <x:v>case</x:v>
      </x:c>
      <x:c r="F77" s="80" t="n">
        <x:v>69</x:v>
      </x:c>
      <x:c r="G77" s="80" t="n">
        <x:v>0.642</x:v>
      </x:c>
      <x:c r="H77" s="34" t="str">
        <x:v>vector</x:v>
      </x:c>
      <x:c r="I77" s="34" t="str">
        <x:v>ollama</x:v>
      </x:c>
      <x:c r="J77" s="34" t="str">
        <x:v>nomic-embed-text</x:v>
      </x:c>
      <x:c r="K77" s="34" t="str">
        <x:v>case, atx, airflow, quiet, upgradeability</x:v>
      </x:c>
      <x:c r="L77" s="34" t="str">
        <x:v>AIPC curated knowledge base</x:v>
      </x:c>
      <x:c r="M77" s="34" t="str"/>
      <x:c r="N77" s="35" t="str">
        <x:v>The Fractal North supports full-size ATX components with 355mm GPU clearance and 170mm air-cooler clearance. It balances airflow, acoustics, and upgrade room.</x:v>
      </x:c>
    </x:row>
    <x:row r="78">
      <x:c r="A78" s="33" t="str">
        <x:v>T05</x:v>
      </x:c>
      <x:c r="B78" s="34" t="n">
        <x:v>4</x:v>
      </x:c>
      <x:c r="C78" s="34" t="str">
        <x:v>cpu-14700k-high-refresh</x:v>
      </x:c>
      <x:c r="D78" s="34" t="str">
        <x:v>Core i7-14700K high-refresh gaming profile</x:v>
      </x:c>
      <x:c r="E78" s="34" t="str">
        <x:v>cpu</x:v>
      </x:c>
      <x:c r="F78" s="80" t="n">
        <x:v>67</x:v>
      </x:c>
      <x:c r="G78" s="80" t="n">
        <x:v>0.606</x:v>
      </x:c>
      <x:c r="H78" s="34" t="str">
        <x:v>vector</x:v>
      </x:c>
      <x:c r="I78" s="34" t="str">
        <x:v>ollama</x:v>
      </x:c>
      <x:c r="J78" s="34" t="str">
        <x:v>nomic-embed-text</x:v>
      </x:c>
      <x:c r="K78" s="34" t="str">
        <x:v>cpu, intel, gaming, high-fps, lga1700, high-power</x:v>
      </x:c>
      <x:c r="L78" s="34" t="str">
        <x:v>AIPC curated knowledge base</x:v>
      </x:c>
      <x:c r="M78" s="34" t="str"/>
      <x:c r="N78" s="35" t="str">
        <x:v>The Core i7-14700K is an Intel LGA1700 option for high-refresh gaming and mixed productivity. Its high peak power requires substantial cooling, and the mature socket has less future CPU upgrade room than newer platforms.</x:v>
      </x:c>
    </x:row>
    <x:row r="79">
      <x:c r="A79" s="33" t="str">
        <x:v>T05</x:v>
      </x:c>
      <x:c r="B79" s="34" t="n">
        <x:v>5</x:v>
      </x:c>
      <x:c r="C79" s="34" t="str">
        <x:v>cpu-ultra265k-platform</x:v>
      </x:c>
      <x:c r="D79" s="34" t="str">
        <x:v>Core Ultra 7 265K LGA1851 profile</x:v>
      </x:c>
      <x:c r="E79" s="34" t="str">
        <x:v>cpu</x:v>
      </x:c>
      <x:c r="F79" s="80" t="n">
        <x:v>66</x:v>
      </x:c>
      <x:c r="G79" s="80" t="n">
        <x:v>0.613</x:v>
      </x:c>
      <x:c r="H79" s="34" t="str">
        <x:v>vector</x:v>
      </x:c>
      <x:c r="I79" s="34" t="str">
        <x:v>ollama</x:v>
      </x:c>
      <x:c r="J79" s="34" t="str">
        <x:v>nomic-embed-text</x:v>
      </x:c>
      <x:c r="K79" s="34" t="str">
        <x:v>cpu, intel, lga1851, arrow-lake, productivity, high-power</x:v>
      </x:c>
      <x:c r="L79" s="34" t="str">
        <x:v>Intel Core Ultra 7 265K specifications</x:v>
      </x:c>
      <x:c r="M79" s="34" t="str">
        <x:v>https://www.intel.com/content/www/us/en/products/sku/241063/intel-core-ultra-7-processor-265k-30m-cache-up-to-5-50-ghz/specifications.html</x:v>
      </x:c>
      <x:c r="N79" s="35" t="str">
        <x:v>Core Ultra 7 265K has 20 cores and 20 threads, up to 5.5GHz turbo, 125W base power, and 250W maximum turbo power on LGA1851. It is suited to Intel-preference mixed productivity builds but requires a Z890-class motherboard and strong cooling at unrestricted power.</x:v>
      </x:c>
    </x:row>
    <x:row r="80">
      <x:c r="A80" s="33" t="str">
        <x:v>T05</x:v>
      </x:c>
      <x:c r="B80" s="34" t="n">
        <x:v>6</x:v>
      </x:c>
      <x:c r="C80" s="34" t="str">
        <x:v>gpu-4090-ai</x:v>
      </x:c>
      <x:c r="D80" s="34" t="str">
        <x:v>RTX 4090 local AI profile</x:v>
      </x:c>
      <x:c r="E80" s="34" t="str">
        <x:v>gpu</x:v>
      </x:c>
      <x:c r="F80" s="80" t="n">
        <x:v>66</x:v>
      </x:c>
      <x:c r="G80" s="80" t="n">
        <x:v>0.615</x:v>
      </x:c>
      <x:c r="H80" s="34" t="str">
        <x:v>vector</x:v>
      </x:c>
      <x:c r="I80" s="34" t="str">
        <x:v>ollama</x:v>
      </x:c>
      <x:c r="J80" s="34" t="str">
        <x:v>nomic-embed-text</x:v>
      </x:c>
      <x:c r="K80" s="34" t="str">
        <x:v>gpu, ai, cuda, 24gb, enthusiast</x:v>
      </x:c>
      <x:c r="L80" s="34" t="str">
        <x:v>AIPC curated knowledge base</x:v>
      </x:c>
      <x:c r="M80" s="34" t="str"/>
      <x:c r="N80" s="35" t="str">
        <x:v>The RTX 4090 combines 24GB VRAM with CUDA support. It is a high-cost option best considered when local AI capacity matters more than power draw or compact size.</x:v>
      </x:c>
    </x:row>
    <x:row r="81">
      <x:c r="A81" s="33" t="str">
        <x:v>T05</x:v>
      </x:c>
      <x:c r="B81" s="34" t="n">
        <x:v>7</x:v>
      </x:c>
      <x:c r="C81" s="34" t="str">
        <x:v>gpu-5060ti16-ai-value</x:v>
      </x:c>
      <x:c r="D81" s="34" t="str">
        <x:v>RTX 5060 Ti 16GB capacity-value trade-off</x:v>
      </x:c>
      <x:c r="E81" s="34" t="str">
        <x:v>gpu</x:v>
      </x:c>
      <x:c r="F81" s="80" t="n">
        <x:v>66</x:v>
      </x:c>
      <x:c r="G81" s="80" t="n">
        <x:v>0.58</x:v>
      </x:c>
      <x:c r="H81" s="34" t="str">
        <x:v>vector</x:v>
      </x:c>
      <x:c r="I81" s="34" t="str">
        <x:v>ollama</x:v>
      </x:c>
      <x:c r="J81" s="34" t="str">
        <x:v>nomic-embed-text</x:v>
      </x:c>
      <x:c r="K81" s="34" t="str">
        <x:v>gpu, nvidia, cuda, blackwell, 16gb, ai, value, efficient</x:v>
      </x:c>
      <x:c r="L81" s="34" t="str">
        <x:v>NVIDIA GeForce RTX 5060 family specifications</x:v>
      </x:c>
      <x:c r="M81" s="34" t="str">
        <x:v>https://www.nvidia.com/en-us/geforce/graphics-cards/50-series/rtx-5060-family/</x:v>
      </x:c>
      <x:c r="N81" s="35" t="str">
        <x:v>The 16GB RTX 5060 Ti offers more model and texture capacity than 8GB cards while retaining CUDA support and a 180W reference power target. Its compute throughput is midrange, so capacity-sensitive hobby AI can fit even when raw generation or training speed is below higher-tier GPUs.</x:v>
      </x:c>
    </x:row>
    <x:row r="82">
      <x:c r="A82" s="33" t="str">
        <x:v>T05</x:v>
      </x:c>
      <x:c r="B82" s="34" t="n">
        <x:v>8</x:v>
      </x:c>
      <x:c r="C82" s="34" t="str">
        <x:v>gaming-1080p</x:v>
      </x:c>
      <x:c r="D82" s="34" t="str">
        <x:v>1080p gaming allocation</x:v>
      </x:c>
      <x:c r="E82" s="34" t="str">
        <x:v>workload</x:v>
      </x:c>
      <x:c r="F82" s="80" t="n">
        <x:v>65</x:v>
      </x:c>
      <x:c r="G82" s="80" t="n">
        <x:v>0.603</x:v>
      </x:c>
      <x:c r="H82" s="34" t="str">
        <x:v>vector</x:v>
      </x:c>
      <x:c r="I82" s="34" t="str">
        <x:v>ollama</x:v>
      </x:c>
      <x:c r="J82" s="34" t="str">
        <x:v>nomic-embed-text</x:v>
      </x:c>
      <x:c r="K82" s="34" t="str">
        <x:v>gaming, 1080p, high-fps, cpu</x:v>
      </x:c>
      <x:c r="L82" s="34" t="str">
        <x:v>AIPC curated knowledge base</x:v>
      </x:c>
      <x:c r="M82" s="34" t="str"/>
      <x:c r="N82" s="35" t="str">
        <x:v>At 1080p and high refresh rates, CPU frame delivery matters more than at higher resolutions. GPU budget remains important, but extreme GPU spending can produce diminishing returns.</x:v>
      </x:c>
    </x:row>
    <x:row r="83">
      <x:c r="A83" s="33" t="str">
        <x:v>T05</x:v>
      </x:c>
      <x:c r="B83" s="34" t="n">
        <x:v>9</x:v>
      </x:c>
      <x:c r="C83" s="34" t="str">
        <x:v>gpu-4070s-gaming</x:v>
      </x:c>
      <x:c r="D83" s="34" t="str">
        <x:v>RTX 4070 Super gaming profile</x:v>
      </x:c>
      <x:c r="E83" s="34" t="str">
        <x:v>gpu</x:v>
      </x:c>
      <x:c r="F83" s="80" t="n">
        <x:v>65</x:v>
      </x:c>
      <x:c r="G83" s="80" t="n">
        <x:v>0.592</x:v>
      </x:c>
      <x:c r="H83" s="34" t="str">
        <x:v>vector</x:v>
      </x:c>
      <x:c r="I83" s="34" t="str">
        <x:v>ollama</x:v>
      </x:c>
      <x:c r="J83" s="34" t="str">
        <x:v>nomic-embed-text</x:v>
      </x:c>
      <x:c r="K83" s="34" t="str">
        <x:v>gpu, gaming, 1440p, cuda, 12gb, efficient</x:v>
      </x:c>
      <x:c r="L83" s="34" t="str">
        <x:v>AIPC curated knowledge base</x:v>
      </x:c>
      <x:c r="M83" s="34" t="str"/>
      <x:c r="N83" s="35" t="str">
        <x:v>The RTX 4070 Super is efficient for high-quality 1440p gaming and supports CUDA, but its 12GB VRAM is less flexible for larger local AI workloads.</x:v>
      </x:c>
    </x:row>
    <x:row r="84">
      <x:c r="A84" s="33" t="str">
        <x:v>T05</x:v>
      </x:c>
      <x:c r="B84" s="34" t="n">
        <x:v>10</x:v>
      </x:c>
      <x:c r="C84" s="34" t="str">
        <x:v>storage-pcie5-thermal</x:v>
      </x:c>
      <x:c r="D84" s="34" t="str">
        <x:v>PCIe 5.0 SSD performance and thermal trade-off</x:v>
      </x:c>
      <x:c r="E84" s="34" t="str">
        <x:v>storage</x:v>
      </x:c>
      <x:c r="F84" s="80" t="n">
        <x:v>65</x:v>
      </x:c>
      <x:c r="G84" s="80" t="n">
        <x:v>0.586</x:v>
      </x:c>
      <x:c r="H84" s="34" t="str">
        <x:v>vector</x:v>
      </x:c>
      <x:c r="I84" s="34" t="str">
        <x:v>ollama</x:v>
      </x:c>
      <x:c r="J84" s="34" t="str">
        <x:v>nomic-embed-text</x:v>
      </x:c>
      <x:c r="K84" s="34" t="str">
        <x:v>storage, nvme, pcie5, thermal, creator, development, value</x:v>
      </x:c>
      <x:c r="L84" s="34" t="str">
        <x:v>Samsung 9100 Pro official specifications</x:v>
      </x:c>
      <x:c r="M84" s="34" t="str">
        <x:v>https://www.samsung.com/us/memory-storage/nvme-ssd/9100-pro-nvme-ssd-sku-mz-vap4t0b-am/</x:v>
      </x:c>
      <x:c r="N84"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85">
      <x:c r="A85" s="33" t="str">
        <x:v>T05</x:v>
      </x:c>
      <x:c r="B85" s="34" t="n">
        <x:v>11</x:v>
      </x:c>
      <x:c r="C85" s="34" t="str">
        <x:v>motherboard-x670e</x:v>
      </x:c>
      <x:c r="D85" s="34" t="str">
        <x:v>X670E workstation expansion</x:v>
      </x:c>
      <x:c r="E85" s="34" t="str">
        <x:v>motherboard</x:v>
      </x:c>
      <x:c r="F85" s="80" t="n">
        <x:v>65</x:v>
      </x:c>
      <x:c r="G85" s="80" t="n">
        <x:v>0.619</x:v>
      </x:c>
      <x:c r="H85" s="34" t="str">
        <x:v>vector</x:v>
      </x:c>
      <x:c r="I85" s="34" t="str">
        <x:v>ollama</x:v>
      </x:c>
      <x:c r="J85" s="34" t="str">
        <x:v>nomic-embed-text</x:v>
      </x:c>
      <x:c r="K85" s="34" t="str">
        <x:v>motherboard, am5, x670e, workstation, upgradeability</x:v>
      </x:c>
      <x:c r="L85" s="34" t="str">
        <x:v>AIPC curated knowledge base</x:v>
      </x:c>
      <x:c r="M85" s="34" t="str"/>
      <x:c r="N85" s="35" t="str">
        <x:v>X670E boards add expansion and connectivity for high-tier AM5 workstations. They should be selected for actual I/O or upgrade needs rather than prestige alone.</x:v>
      </x:c>
    </x:row>
    <x:row r="86">
      <x:c r="A86" s="33" t="str">
        <x:v>T05</x:v>
      </x:c>
      <x:c r="B86" s="34" t="n">
        <x:v>12</x:v>
      </x:c>
      <x:c r="C86" s="34" t="str">
        <x:v>psu-headroom</x:v>
      </x:c>
      <x:c r="D86" s="34" t="str">
        <x:v>Power supply headroom rule</x:v>
      </x:c>
      <x:c r="E86" s="34" t="str">
        <x:v>compatibility</x:v>
      </x:c>
      <x:c r="F86" s="80" t="n">
        <x:v>65</x:v>
      </x:c>
      <x:c r="G86" s="80" t="n">
        <x:v>0.586</x:v>
      </x:c>
      <x:c r="H86" s="34" t="str">
        <x:v>vector</x:v>
      </x:c>
      <x:c r="I86" s="34" t="str">
        <x:v>ollama</x:v>
      </x:c>
      <x:c r="J86" s="34" t="str">
        <x:v>nomic-embed-text</x:v>
      </x:c>
      <x:c r="K86" s="34" t="str">
        <x:v>psu, power, headroom, quiet, upgradeability</x:v>
      </x:c>
      <x:c r="L86" s="34" t="str">
        <x:v>AIPC curated knowledge base</x:v>
      </x:c>
      <x:c r="M86" s="34" t="str"/>
      <x:c r="N86" s="35" t="str">
        <x:v>A power supply should exceed estimated sustained system draw by at least 35 percent. Additional headroom can reduce fan noise and preserve room for future GPU upgrades.</x:v>
      </x:c>
    </x:row>
    <x:row r="87">
      <x:c r="A87" s="33" t="str">
        <x:v>T05</x:v>
      </x:c>
      <x:c r="B87" s="34" t="n">
        <x:v>13</x:v>
      </x:c>
      <x:c r="C87" s="34" t="str">
        <x:v>storage-workstation</x:v>
      </x:c>
      <x:c r="D87" s="34" t="str">
        <x:v>NVMe capacity for workstation use</x:v>
      </x:c>
      <x:c r="E87" s="34" t="str">
        <x:v>workload</x:v>
      </x:c>
      <x:c r="F87" s="80" t="n">
        <x:v>64</x:v>
      </x:c>
      <x:c r="G87" s="80" t="n">
        <x:v>0.609</x:v>
      </x:c>
      <x:c r="H87" s="34" t="str">
        <x:v>vector</x:v>
      </x:c>
      <x:c r="I87" s="34" t="str">
        <x:v>ollama</x:v>
      </x:c>
      <x:c r="J87" s="34" t="str">
        <x:v>nomic-embed-text</x:v>
      </x:c>
      <x:c r="K87" s="34" t="str">
        <x:v>storage, nvme, development, video, 2tb</x:v>
      </x:c>
      <x:c r="L87" s="34" t="str">
        <x:v>AIPC curated knowledge base</x:v>
      </x:c>
      <x:c r="M87" s="34" t="str"/>
      <x:c r="N87" s="35" t="str">
        <x:v>Development and editing systems benefit from 2TB or more of fast NVMe storage for repositories, containers, caches, footage, and active projects.</x:v>
      </x:c>
    </x:row>
    <x:row r="88">
      <x:c r="A88" s="33" t="str">
        <x:v>T05</x:v>
      </x:c>
      <x:c r="B88" s="34" t="n">
        <x:v>14</x:v>
      </x:c>
      <x:c r="C88" s="34" t="str">
        <x:v>ram-capacity-ai</x:v>
      </x:c>
      <x:c r="D88" s="34" t="str">
        <x:v>System RAM for local AI</x:v>
      </x:c>
      <x:c r="E88" s="34" t="str">
        <x:v>workload</x:v>
      </x:c>
      <x:c r="F88" s="80" t="n">
        <x:v>62</x:v>
      </x:c>
      <x:c r="G88" s="80" t="n">
        <x:v>0.572</x:v>
      </x:c>
      <x:c r="H88" s="34" t="str">
        <x:v>vector</x:v>
      </x:c>
      <x:c r="I88" s="34" t="str">
        <x:v>ollama</x:v>
      </x:c>
      <x:c r="J88" s="34" t="str">
        <x:v>nomic-embed-text</x:v>
      </x:c>
      <x:c r="K88" s="34" t="str">
        <x:v>ram, ai, local-llm, 64gb, 96gb</x:v>
      </x:c>
      <x:c r="L88" s="34" t="str">
        <x:v>AIPC curated knowledge base</x:v>
      </x:c>
      <x:c r="M88" s="34" t="str"/>
      <x:c r="N88" s="35" t="str">
        <x:v>System RAM does not replace VRAM, but 64GB or more helps with model loading, CPU offload, data preparation, and running supporting services beside a local model.</x:v>
      </x:c>
    </x:row>
    <x:row r="89">
      <x:c r="A89" s="33" t="str">
        <x:v>T05</x:v>
      </x:c>
      <x:c r="B89" s="34" t="n">
        <x:v>15</x:v>
      </x:c>
      <x:c r="C89" s="34" t="str">
        <x:v>upgrade-am5</x:v>
      </x:c>
      <x:c r="D89" s="34" t="str">
        <x:v>AM5 platform upgradeability</x:v>
      </x:c>
      <x:c r="E89" s="34" t="str">
        <x:v>planning</x:v>
      </x:c>
      <x:c r="F89" s="80" t="n">
        <x:v>61</x:v>
      </x:c>
      <x:c r="G89" s="80" t="n">
        <x:v>0.584</x:v>
      </x:c>
      <x:c r="H89" s="34" t="str">
        <x:v>vector</x:v>
      </x:c>
      <x:c r="I89" s="34" t="str">
        <x:v>ollama</x:v>
      </x:c>
      <x:c r="J89" s="34" t="str">
        <x:v>nomic-embed-text</x:v>
      </x:c>
      <x:c r="K89" s="34" t="str">
        <x:v>motherboard, am5, upgradeability, planning</x:v>
      </x:c>
      <x:c r="L89" s="34" t="str">
        <x:v>AIPC curated knowledge base</x:v>
      </x:c>
      <x:c r="M89" s="34" t="str"/>
      <x:c r="N89" s="35" t="str">
        <x:v>AM5 boards provide a clearer CPU upgrade path than mature end-of-cycle platforms. The value is highest when the user explicitly plans a future CPU upgrade.</x:v>
      </x:c>
    </x:row>
    <x:row r="90">
      <x:c r="A90" s="33" t="str">
        <x:v>T05</x:v>
      </x:c>
      <x:c r="B90" s="34" t="n">
        <x:v>16</x:v>
      </x:c>
      <x:c r="C90" s="34" t="str">
        <x:v>psu-850</x:v>
      </x:c>
      <x:c r="D90" s="34" t="str">
        <x:v>850W Gold mainstream high-end fit</x:v>
      </x:c>
      <x:c r="E90" s="34" t="str">
        <x:v>psu</x:v>
      </x:c>
      <x:c r="F90" s="80" t="n">
        <x:v>61</x:v>
      </x:c>
      <x:c r="G90" s="80" t="n">
        <x:v>0.577</x:v>
      </x:c>
      <x:c r="H90" s="34" t="str">
        <x:v>vector</x:v>
      </x:c>
      <x:c r="I90" s="34" t="str">
        <x:v>ollama</x:v>
      </x:c>
      <x:c r="J90" s="34" t="str">
        <x:v>nomic-embed-text</x:v>
      </x:c>
      <x:c r="K90" s="34" t="str">
        <x:v>psu, 850w, gold, upgradeability</x:v>
      </x:c>
      <x:c r="L90" s="34" t="str">
        <x:v>AIPC curated knowledge base</x:v>
      </x:c>
      <x:c r="M90" s="34" t="str"/>
      <x:c r="N90" s="35" t="str">
        <x:v>An 850W Gold PSU is a common fit for high-end single-GPU systems when it satisfies the 1.35x power rule. It offers more upgrade margin than 750W without flagship PSU cost.</x:v>
      </x:c>
    </x:row>
    <x:row r="91">
      <x:c r="A91" s="33" t="str">
        <x:v>T05</x:v>
      </x:c>
      <x:c r="B91" s="34" t="n">
        <x:v>17</x:v>
      </x:c>
      <x:c r="C91" s="34" t="str">
        <x:v>case-dual-chamber-white</x:v>
      </x:c>
      <x:c r="D91" s="34" t="str">
        <x:v>White dual-chamber showcase case planning</x:v>
      </x:c>
      <x:c r="E91" s="34" t="str">
        <x:v>case</x:v>
      </x:c>
      <x:c r="F91" s="80" t="n">
        <x:v>61</x:v>
      </x:c>
      <x:c r="G91" s="80" t="n">
        <x:v>0.577</x:v>
      </x:c>
      <x:c r="H91" s="34" t="str">
        <x:v>vector</x:v>
      </x:c>
      <x:c r="I91" s="34" t="str">
        <x:v>ollama</x:v>
      </x:c>
      <x:c r="J91" s="34" t="str">
        <x:v>nomic-embed-text</x:v>
      </x:c>
      <x:c r="K91" s="34" t="str">
        <x:v>case, white, rgb, panoramic, dual-chamber, clearance, planning</x:v>
      </x:c>
      <x:c r="L91" s="34" t="str">
        <x:v>NZXT H9 Flow RGB official product specifications</x:v>
      </x:c>
      <x:c r="M91" s="34" t="str">
        <x:v>https://nzxt.com/products/h9-flow-rgb?variant=40595201032264</x:v>
      </x:c>
      <x:c r="N91" s="35" t="str">
        <x:v>A white dual-chamber case can provide panoramic presentation, cable separation, and extensive radiator support, but it is physically larger than a conventional mid-tower. Visible-component color matching should remain a preference layer after GPU length, cooler/radiator, motherboard, and PSU compatibility checks.</x:v>
      </x:c>
    </x:row>
    <x:row r="92">
      <x:c r="A92" s="33" t="str">
        <x:v>T05</x:v>
      </x:c>
      <x:c r="B92" s="34" t="n">
        <x:v>18</x:v>
      </x:c>
      <x:c r="C92" s="34" t="str">
        <x:v>case-nr200-sff</x:v>
      </x:c>
      <x:c r="D92" s="34" t="str">
        <x:v>NR200P small-form-factor constraints</x:v>
      </x:c>
      <x:c r="E92" s="34" t="str">
        <x:v>case</x:v>
      </x:c>
      <x:c r="F92" s="80" t="n">
        <x:v>60</x:v>
      </x:c>
      <x:c r="G92" s="80" t="n">
        <x:v>0.587</x:v>
      </x:c>
      <x:c r="H92" s="34" t="str">
        <x:v>vector</x:v>
      </x:c>
      <x:c r="I92" s="34" t="str">
        <x:v>ollama</x:v>
      </x:c>
      <x:c r="J92" s="34" t="str">
        <x:v>nomic-embed-text</x:v>
      </x:c>
      <x:c r="K92" s="34" t="str">
        <x:v>case, sff, mini-itx, sfx, compact</x:v>
      </x:c>
      <x:c r="L92" s="34" t="str">
        <x:v>AIPC curated knowledge base</x:v>
      </x:c>
      <x:c r="M92" s="34" t="str"/>
      <x:c r="N92" s="35" t="str">
        <x:v>The NR200P is a Mini-ITX enclosure that requires an SFX power supply and limits tower cooler height. Compact builds require stricter part filtering and usually carry a price premium.</x:v>
      </x:c>
    </x:row>
    <x:row r="93">
      <x:c r="A93" s="33" t="str">
        <x:v>T06</x:v>
      </x:c>
      <x:c r="B93" s="34" t="n">
        <x:v>1</x:v>
      </x:c>
      <x:c r="C93" s="34" t="str">
        <x:v>gpu-5080-blackwell</x:v>
      </x:c>
      <x:c r="D93" s="34" t="str">
        <x:v>RTX 5080 4K and creator profile</x:v>
      </x:c>
      <x:c r="E93" s="34" t="str">
        <x:v>gpu</x:v>
      </x:c>
      <x:c r="F93" s="80" t="n">
        <x:v>70</x:v>
      </x:c>
      <x:c r="G93" s="80" t="n">
        <x:v>0.639</x:v>
      </x:c>
      <x:c r="H93" s="34" t="str">
        <x:v>vector</x:v>
      </x:c>
      <x:c r="I93" s="34" t="str">
        <x:v>ollama</x:v>
      </x:c>
      <x:c r="J93" s="34" t="str">
        <x:v>nomic-embed-text</x:v>
      </x:c>
      <x:c r="K93" s="34" t="str">
        <x:v>gpu, nvidia, cuda, blackwell, 16gb, 4k, creator</x:v>
      </x:c>
      <x:c r="L93" s="34" t="str">
        <x:v>NVIDIA GeForce RTX 5080 specifications</x:v>
      </x:c>
      <x:c r="M93" s="34" t="str">
        <x:v>https://www.nvidia.com/en-us/geforce/graphics-cards/50-series/rtx-5080/</x:v>
      </x:c>
      <x:c r="N93" s="35" t="str">
        <x:v>The GeForce RTX 5080 reference design combines 16GB GDDR7, CUDA support, a 360W total graphics power rating, and Blackwell media/AI features. It is a high-end 4K and creator option below the RTX 5090, but 16GB VRAM is a meaningful limit for larger local AI models.</x:v>
      </x:c>
    </x:row>
    <x:row r="94">
      <x:c r="A94" s="33" t="str">
        <x:v>T06</x:v>
      </x:c>
      <x:c r="B94" s="34" t="n">
        <x:v>2</x:v>
      </x:c>
      <x:c r="C94" s="34" t="str">
        <x:v>case-dual-chamber-white</x:v>
      </x:c>
      <x:c r="D94" s="34" t="str">
        <x:v>White dual-chamber showcase case planning</x:v>
      </x:c>
      <x:c r="E94" s="34" t="str">
        <x:v>case</x:v>
      </x:c>
      <x:c r="F94" s="80" t="n">
        <x:v>69</x:v>
      </x:c>
      <x:c r="G94" s="80" t="n">
        <x:v>0.627</x:v>
      </x:c>
      <x:c r="H94" s="34" t="str">
        <x:v>vector</x:v>
      </x:c>
      <x:c r="I94" s="34" t="str">
        <x:v>ollama</x:v>
      </x:c>
      <x:c r="J94" s="34" t="str">
        <x:v>nomic-embed-text</x:v>
      </x:c>
      <x:c r="K94" s="34" t="str">
        <x:v>case, white, rgb, panoramic, dual-chamber, clearance, planning</x:v>
      </x:c>
      <x:c r="L94" s="34" t="str">
        <x:v>NZXT H9 Flow RGB official product specifications</x:v>
      </x:c>
      <x:c r="M94" s="34" t="str">
        <x:v>https://nzxt.com/products/h9-flow-rgb?variant=40595201032264</x:v>
      </x:c>
      <x:c r="N94" s="35" t="str">
        <x:v>A white dual-chamber case can provide panoramic presentation, cable separation, and extensive radiator support, but it is physically larger than a conventional mid-tower. Visible-component color matching should remain a preference layer after GPU length, cooler/radiator, motherboard, and PSU compatibility checks.</x:v>
      </x:c>
    </x:row>
    <x:row r="95">
      <x:c r="A95" s="33" t="str">
        <x:v>T06</x:v>
      </x:c>
      <x:c r="B95" s="34" t="n">
        <x:v>3</x:v>
      </x:c>
      <x:c r="C95" s="34" t="str">
        <x:v>gaming-4k-240</x:v>
      </x:c>
      <x:c r="D95" s="34" t="str">
        <x:v>4K 240Hz target trade-off</x:v>
      </x:c>
      <x:c r="E95" s="34" t="str">
        <x:v>workload</x:v>
      </x:c>
      <x:c r="F95" s="80" t="n">
        <x:v>67</x:v>
      </x:c>
      <x:c r="G95" s="80" t="n">
        <x:v>0.622</x:v>
      </x:c>
      <x:c r="H95" s="34" t="str">
        <x:v>vector</x:v>
      </x:c>
      <x:c r="I95" s="34" t="str">
        <x:v>ollama</x:v>
      </x:c>
      <x:c r="J95" s="34" t="str">
        <x:v>nomic-embed-text</x:v>
      </x:c>
      <x:c r="K95" s="34" t="str">
        <x:v>gaming, 4k, 240fps, high-fps, gpu, trade-off</x:v>
      </x:c>
      <x:c r="L95" s="34" t="str">
        <x:v>AIPC curated knowledge base</x:v>
      </x:c>
      <x:c r="M95" s="34" t="str"/>
      <x:c r="N95" s="35" t="str">
        <x:v>A 4K 240Hz target is exceptionally demanding and depends heavily on the game, settings, and upscaling. The recommendation should maximize GPU headroom without claiming that every title will sustain 240 FPS.</x:v>
      </x:c>
    </x:row>
    <x:row r="96">
      <x:c r="A96" s="33" t="str">
        <x:v>T06</x:v>
      </x:c>
      <x:c r="B96" s="34" t="n">
        <x:v>4</x:v>
      </x:c>
      <x:c r="C96" s="34" t="str">
        <x:v>gpu-5070ti-blackwell</x:v>
      </x:c>
      <x:c r="D96" s="34" t="str">
        <x:v>RTX 5070 Ti balanced high-end profile</x:v>
      </x:c>
      <x:c r="E96" s="34" t="str">
        <x:v>gpu</x:v>
      </x:c>
      <x:c r="F96" s="80" t="n">
        <x:v>66</x:v>
      </x:c>
      <x:c r="G96" s="80" t="n">
        <x:v>0.611</x:v>
      </x:c>
      <x:c r="H96" s="34" t="str">
        <x:v>vector</x:v>
      </x:c>
      <x:c r="I96" s="34" t="str">
        <x:v>ollama</x:v>
      </x:c>
      <x:c r="J96" s="34" t="str">
        <x:v>nomic-embed-text</x:v>
      </x:c>
      <x:c r="K96" s="34" t="str">
        <x:v>gpu, nvidia, cuda, blackwell, 16gb, 1440p, 4k, balanced</x:v>
      </x:c>
      <x:c r="L96" s="34" t="str">
        <x:v>NVIDIA GeForce RTX 5070 family specifications</x:v>
      </x:c>
      <x:c r="M96" s="34" t="str">
        <x:v>https://www.nvidia.com/en-us/geforce/graphics-cards/50-series/rtx-5070-family/</x:v>
      </x:c>
      <x:c r="N96" s="35" t="str">
        <x:v>The GeForce RTX 5070 Ti provides 16GB GDDR7 and CUDA at a 300W reference power target. It is positioned for high-refresh 1440p, entry 4K, creator acceleration, and moderate local AI workloads without flagship cost.</x:v>
      </x:c>
    </x:row>
    <x:row r="97">
      <x:c r="A97" s="33" t="str">
        <x:v>T06</x:v>
      </x:c>
      <x:c r="B97" s="34" t="n">
        <x:v>5</x:v>
      </x:c>
      <x:c r="C97" s="34" t="str">
        <x:v>gaming-4k</x:v>
      </x:c>
      <x:c r="D97" s="34" t="str">
        <x:v>4K gaming allocation</x:v>
      </x:c>
      <x:c r="E97" s="34" t="str">
        <x:v>workload</x:v>
      </x:c>
      <x:c r="F97" s="80" t="n">
        <x:v>65</x:v>
      </x:c>
      <x:c r="G97" s="80" t="n">
        <x:v>0.623</x:v>
      </x:c>
      <x:c r="H97" s="34" t="str">
        <x:v>vector</x:v>
      </x:c>
      <x:c r="I97" s="34" t="str">
        <x:v>ollama</x:v>
      </x:c>
      <x:c r="J97" s="34" t="str">
        <x:v>nomic-embed-text</x:v>
      </x:c>
      <x:c r="K97" s="34" t="str">
        <x:v>gaming, 4k, gpu, high-end</x:v>
      </x:c>
      <x:c r="L97" s="34" t="str">
        <x:v>AIPC curated knowledge base</x:v>
      </x:c>
      <x:c r="M97" s="34" t="str"/>
      <x:c r="N97" s="35" t="str">
        <x:v>At 4K the GPU is normally the primary performance constraint. Budget should favor the graphics card while retaining enough CPU, cooling, and PSU quality to avoid platform imbalance.</x:v>
      </x:c>
    </x:row>
    <x:row r="98">
      <x:c r="A98" s="33" t="str">
        <x:v>T06</x:v>
      </x:c>
      <x:c r="B98" s="34" t="n">
        <x:v>6</x:v>
      </x:c>
      <x:c r="C98" s="34" t="str">
        <x:v>cooler-aio360</x:v>
      </x:c>
      <x:c r="D98" s="34" t="str">
        <x:v>360mm AIO high-power cooling</x:v>
      </x:c>
      <x:c r="E98" s="34" t="str">
        <x:v>cooler</x:v>
      </x:c>
      <x:c r="F98" s="80" t="n">
        <x:v>64</x:v>
      </x:c>
      <x:c r="G98" s="80" t="n">
        <x:v>0.595</x:v>
      </x:c>
      <x:c r="H98" s="34" t="str">
        <x:v>vector</x:v>
      </x:c>
      <x:c r="I98" s="34" t="str">
        <x:v>ollama</x:v>
      </x:c>
      <x:c r="J98" s="34" t="str">
        <x:v>nomic-embed-text</x:v>
      </x:c>
      <x:c r="K98" s="34" t="str">
        <x:v>cooler, aio, 360mm, high-power</x:v>
      </x:c>
      <x:c r="L98" s="34" t="str">
        <x:v>AIPC curated knowledge base</x:v>
      </x:c>
      <x:c r="M98" s="34" t="str"/>
      <x:c r="N98" s="35" t="str">
        <x:v>A 360mm AIO provides additional thermal capacity for high-power workstation CPUs, but costs more and requires a compatible radiator mount.</x:v>
      </x:c>
    </x:row>
    <x:row r="99">
      <x:c r="A99" s="33" t="str">
        <x:v>T06</x:v>
      </x:c>
      <x:c r="B99" s="34" t="n">
        <x:v>7</x:v>
      </x:c>
      <x:c r="C99" s="34" t="str">
        <x:v>gpu-4090-ai</x:v>
      </x:c>
      <x:c r="D99" s="34" t="str">
        <x:v>RTX 4090 local AI profile</x:v>
      </x:c>
      <x:c r="E99" s="34" t="str">
        <x:v>gpu</x:v>
      </x:c>
      <x:c r="F99" s="80" t="n">
        <x:v>63</x:v>
      </x:c>
      <x:c r="G99" s="80" t="n">
        <x:v>0.612</x:v>
      </x:c>
      <x:c r="H99" s="34" t="str">
        <x:v>vector</x:v>
      </x:c>
      <x:c r="I99" s="34" t="str">
        <x:v>ollama</x:v>
      </x:c>
      <x:c r="J99" s="34" t="str">
        <x:v>nomic-embed-text</x:v>
      </x:c>
      <x:c r="K99" s="34" t="str">
        <x:v>gpu, ai, cuda, 24gb, enthusiast</x:v>
      </x:c>
      <x:c r="L99" s="34" t="str">
        <x:v>AIPC curated knowledge base</x:v>
      </x:c>
      <x:c r="M99" s="34" t="str"/>
      <x:c r="N99" s="35" t="str">
        <x:v>The RTX 4090 combines 24GB VRAM with CUDA support. It is a high-cost option best considered when local AI capacity matters more than power draw or compact size.</x:v>
      </x:c>
    </x:row>
    <x:row r="100">
      <x:c r="A100" s="33" t="str">
        <x:v>T06</x:v>
      </x:c>
      <x:c r="B100" s="34" t="n">
        <x:v>8</x:v>
      </x:c>
      <x:c r="C100" s="34" t="str">
        <x:v>gpu-5090-flagship</x:v>
      </x:c>
      <x:c r="D100" s="34" t="str">
        <x:v>RTX 5090 flagship profile</x:v>
      </x:c>
      <x:c r="E100" s="34" t="str">
        <x:v>gpu</x:v>
      </x:c>
      <x:c r="F100" s="80" t="n">
        <x:v>63</x:v>
      </x:c>
      <x:c r="G100" s="80" t="n">
        <x:v>0.599</x:v>
      </x:c>
      <x:c r="H100" s="34" t="str">
        <x:v>vector</x:v>
      </x:c>
      <x:c r="I100" s="34" t="str">
        <x:v>ollama</x:v>
      </x:c>
      <x:c r="J100" s="34" t="str">
        <x:v>nomic-embed-text</x:v>
      </x:c>
      <x:c r="K100" s="34" t="str">
        <x:v>gpu, gaming, 4k, ai, cuda, 32gb, enthusiast, blackwell</x:v>
      </x:c>
      <x:c r="L100" s="34" t="str">
        <x:v>AIPC curated knowledge base</x:v>
      </x:c>
      <x:c r="M100" s="34" t="str"/>
      <x:c r="N100" s="35" t="str">
        <x:v>The RTX 5090 combines 32GB GDDR7 with CUDA support and a 575W total graphics power rating. It requires an enthusiast budget, a compatible case, and at least a 1000W system power plan.</x:v>
      </x:c>
    </x:row>
    <x:row r="101">
      <x:c r="A101" s="33" t="str">
        <x:v>T06</x:v>
      </x:c>
      <x:c r="B101" s="34" t="n">
        <x:v>9</x:v>
      </x:c>
      <x:c r="C101" s="34" t="str">
        <x:v>appearance-white-rgb</x:v>
      </x:c>
      <x:c r="D101" s="34" t="str">
        <x:v>Planning a white RGB build</x:v>
      </x:c>
      <x:c r="E101" s="34" t="str">
        <x:v>planning</x:v>
      </x:c>
      <x:c r="F101" s="80" t="n">
        <x:v>63</x:v>
      </x:c>
      <x:c r="G101" s="80" t="n">
        <x:v>0.584</x:v>
      </x:c>
      <x:c r="H101" s="34" t="str">
        <x:v>vector</x:v>
      </x:c>
      <x:c r="I101" s="34" t="str">
        <x:v>ollama</x:v>
      </x:c>
      <x:c r="J101" s="34" t="str">
        <x:v>nomic-embed-text</x:v>
      </x:c>
      <x:c r="K101" s="34" t="str">
        <x:v>planning, white, rgb, case, gpu, motherboard, ram, cooler</x:v>
      </x:c>
      <x:c r="L101" s="34" t="str">
        <x:v>AIPC curated knowledge base</x:v>
      </x:c>
      <x:c r="M101" s="34" t="str"/>
      <x:c r="N101" s="35" t="str">
        <x:v>A coherent white build should prioritize visible components such as the case, graphics card, motherboard heatsinks, memory, and cooler. RGB is an appearance preference and must never override socket, clearance, cooling, or PSU safety rules.</x:v>
      </x:c>
    </x:row>
    <x:row r="102">
      <x:c r="A102" s="33" t="str">
        <x:v>T06</x:v>
      </x:c>
      <x:c r="B102" s="34" t="n">
        <x:v>10</x:v>
      </x:c>
      <x:c r="C102" s="34" t="str">
        <x:v>storage-workstation</x:v>
      </x:c>
      <x:c r="D102" s="34" t="str">
        <x:v>NVMe capacity for workstation use</x:v>
      </x:c>
      <x:c r="E102" s="34" t="str">
        <x:v>workload</x:v>
      </x:c>
      <x:c r="F102" s="80" t="n">
        <x:v>62</x:v>
      </x:c>
      <x:c r="G102" s="80" t="n">
        <x:v>0.59</x:v>
      </x:c>
      <x:c r="H102" s="34" t="str">
        <x:v>vector</x:v>
      </x:c>
      <x:c r="I102" s="34" t="str">
        <x:v>ollama</x:v>
      </x:c>
      <x:c r="J102" s="34" t="str">
        <x:v>nomic-embed-text</x:v>
      </x:c>
      <x:c r="K102" s="34" t="str">
        <x:v>storage, nvme, development, video, 2tb</x:v>
      </x:c>
      <x:c r="L102" s="34" t="str">
        <x:v>AIPC curated knowledge base</x:v>
      </x:c>
      <x:c r="M102" s="34" t="str"/>
      <x:c r="N102" s="35" t="str">
        <x:v>Development and editing systems benefit from 2TB or more of fast NVMe storage for repositories, containers, caches, footage, and active projects.</x:v>
      </x:c>
    </x:row>
    <x:row r="103">
      <x:c r="A103" s="33" t="str">
        <x:v>T06</x:v>
      </x:c>
      <x:c r="B103" s="34" t="n">
        <x:v>11</x:v>
      </x:c>
      <x:c r="C103" s="34" t="str">
        <x:v>motherboard-z790-white</x:v>
      </x:c>
      <x:c r="D103" s="34" t="str">
        <x:v>White Z790 platform pairing</x:v>
      </x:c>
      <x:c r="E103" s="34" t="str">
        <x:v>motherboard</x:v>
      </x:c>
      <x:c r="F103" s="80" t="n">
        <x:v>61</x:v>
      </x:c>
      <x:c r="G103" s="80" t="n">
        <x:v>0.584</x:v>
      </x:c>
      <x:c r="H103" s="34" t="str">
        <x:v>vector</x:v>
      </x:c>
      <x:c r="I103" s="34" t="str">
        <x:v>ollama</x:v>
      </x:c>
      <x:c r="J103" s="34" t="str">
        <x:v>nomic-embed-text</x:v>
      </x:c>
      <x:c r="K103" s="34" t="str">
        <x:v>motherboard, intel, lga1700, z790, white, rgb</x:v>
      </x:c>
      <x:c r="L103" s="34" t="str">
        <x:v>AIPC curated knowledge base</x:v>
      </x:c>
      <x:c r="M103" s="34" t="str"/>
      <x:c r="N103" s="35" t="str">
        <x:v>A Z790 DDR5 motherboard is the appropriate enthusiast chipset pairing for an unlocked Intel LGA1700 CPU. White or silver heatsink variants can satisfy a light-color build without changing socket or memory compatibility.</x:v>
      </x:c>
    </x:row>
    <x:row r="104">
      <x:c r="A104" s="33" t="str">
        <x:v>T06</x:v>
      </x:c>
      <x:c r="B104" s="34" t="n">
        <x:v>12</x:v>
      </x:c>
      <x:c r="C104" s="34" t="str">
        <x:v>ram-64</x:v>
      </x:c>
      <x:c r="D104" s="34" t="str">
        <x:v>64GB DDR5 workload fit</x:v>
      </x:c>
      <x:c r="E104" s="34" t="str">
        <x:v>ram</x:v>
      </x:c>
      <x:c r="F104" s="80" t="n">
        <x:v>60</x:v>
      </x:c>
      <x:c r="G104" s="80" t="n">
        <x:v>0.566</x:v>
      </x:c>
      <x:c r="H104" s="34" t="str">
        <x:v>vector</x:v>
      </x:c>
      <x:c r="I104" s="34" t="str">
        <x:v>ollama</x:v>
      </x:c>
      <x:c r="J104" s="34" t="str">
        <x:v>nomic-embed-text</x:v>
      </x:c>
      <x:c r="K104" s="34" t="str">
        <x:v>ram, 64gb, ddr5, workstation</x:v>
      </x:c>
      <x:c r="L104" s="34" t="str">
        <x:v>AIPC curated knowledge base</x:v>
      </x:c>
      <x:c r="M104" s="34" t="str"/>
      <x:c r="N104" s="35" t="str">
        <x:v>A 64GB DDR5 kit is the default workstation capacity for local AI, development, and video editing when the budget allows.</x:v>
      </x:c>
    </x:row>
    <x:row r="105">
      <x:c r="A105" s="33" t="str">
        <x:v>T06</x:v>
      </x:c>
      <x:c r="B105" s="34" t="n">
        <x:v>13</x:v>
      </x:c>
      <x:c r="C105" s="34" t="str">
        <x:v>storage-pcie5-thermal</x:v>
      </x:c>
      <x:c r="D105" s="34" t="str">
        <x:v>PCIe 5.0 SSD performance and thermal trade-off</x:v>
      </x:c>
      <x:c r="E105" s="34" t="str">
        <x:v>storage</x:v>
      </x:c>
      <x:c r="F105" s="80" t="n">
        <x:v>59</x:v>
      </x:c>
      <x:c r="G105" s="80" t="n">
        <x:v>0.577</x:v>
      </x:c>
      <x:c r="H105" s="34" t="str">
        <x:v>vector</x:v>
      </x:c>
      <x:c r="I105" s="34" t="str">
        <x:v>ollama</x:v>
      </x:c>
      <x:c r="J105" s="34" t="str">
        <x:v>nomic-embed-text</x:v>
      </x:c>
      <x:c r="K105" s="34" t="str">
        <x:v>storage, nvme, pcie5, thermal, creator, development, value</x:v>
      </x:c>
      <x:c r="L105" s="34" t="str">
        <x:v>Samsung 9100 Pro official specifications</x:v>
      </x:c>
      <x:c r="M105" s="34" t="str">
        <x:v>https://www.samsung.com/us/memory-storage/nvme-ssd/9100-pro-nvme-ssd-sku-mz-vap4t0b-am/</x:v>
      </x:c>
      <x:c r="N105"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106">
      <x:c r="A106" s="33" t="str">
        <x:v>T06</x:v>
      </x:c>
      <x:c r="B106" s="34" t="n">
        <x:v>14</x:v>
      </x:c>
      <x:c r="C106" s="34" t="str">
        <x:v>cooler-pa120</x:v>
      </x:c>
      <x:c r="D106" s="34" t="str">
        <x:v>Peerless Assassin value cooling</x:v>
      </x:c>
      <x:c r="E106" s="34" t="str">
        <x:v>cooler</x:v>
      </x:c>
      <x:c r="F106" s="80" t="n">
        <x:v>58</x:v>
      </x:c>
      <x:c r="G106" s="80" t="n">
        <x:v>0.569</x:v>
      </x:c>
      <x:c r="H106" s="34" t="str">
        <x:v>vector</x:v>
      </x:c>
      <x:c r="I106" s="34" t="str">
        <x:v>ollama</x:v>
      </x:c>
      <x:c r="J106" s="34" t="str">
        <x:v>nomic-embed-text</x:v>
      </x:c>
      <x:c r="K106" s="34" t="str">
        <x:v>cooler, air, value, quiet</x:v>
      </x:c>
      <x:c r="L106" s="34" t="str">
        <x:v>AIPC curated knowledge base</x:v>
      </x:c>
      <x:c r="M106" s="34" t="str"/>
      <x:c r="N106" s="35" t="str">
        <x:v>The Peerless Assassin 120 SE offers high air-cooling capacity at low cost. It is well suited to mainstream and many high-tier CPUs when case height allows it.</x:v>
      </x:c>
    </x:row>
    <x:row r="107">
      <x:c r="A107" s="33" t="str">
        <x:v>T06</x:v>
      </x:c>
      <x:c r="B107" s="34" t="n">
        <x:v>15</x:v>
      </x:c>
      <x:c r="C107" s="34" t="str">
        <x:v>psu-850</x:v>
      </x:c>
      <x:c r="D107" s="34" t="str">
        <x:v>850W Gold mainstream high-end fit</x:v>
      </x:c>
      <x:c r="E107" s="34" t="str">
        <x:v>psu</x:v>
      </x:c>
      <x:c r="F107" s="80" t="n">
        <x:v>58</x:v>
      </x:c>
      <x:c r="G107" s="80" t="n">
        <x:v>0.563</x:v>
      </x:c>
      <x:c r="H107" s="34" t="str">
        <x:v>vector</x:v>
      </x:c>
      <x:c r="I107" s="34" t="str">
        <x:v>ollama</x:v>
      </x:c>
      <x:c r="J107" s="34" t="str">
        <x:v>nomic-embed-text</x:v>
      </x:c>
      <x:c r="K107" s="34" t="str">
        <x:v>psu, 850w, gold, upgradeability</x:v>
      </x:c>
      <x:c r="L107" s="34" t="str">
        <x:v>AIPC curated knowledge base</x:v>
      </x:c>
      <x:c r="M107" s="34" t="str"/>
      <x:c r="N107" s="35" t="str">
        <x:v>An 850W Gold PSU is a common fit for high-end single-GPU systems when it satisfies the 1.35x power rule. It offers more upgrade margin than 750W without flagship PSU cost.</x:v>
      </x:c>
    </x:row>
    <x:row r="108">
      <x:c r="A108" s="33" t="str">
        <x:v>T06</x:v>
      </x:c>
      <x:c r="B108" s="34" t="n">
        <x:v>16</x:v>
      </x:c>
      <x:c r="C108" s="34" t="str">
        <x:v>psu-atx31-modern-gpu</x:v>
      </x:c>
      <x:c r="D108" s="34" t="str">
        <x:v>ATX 3.1 and modern GPU power planning</x:v>
      </x:c>
      <x:c r="E108" s="34" t="str">
        <x:v>compatibility</x:v>
      </x:c>
      <x:c r="F108" s="80" t="n">
        <x:v>57</x:v>
      </x:c>
      <x:c r="G108" s="80" t="n">
        <x:v>0.555</x:v>
      </x:c>
      <x:c r="H108" s="34" t="str">
        <x:v>vector</x:v>
      </x:c>
      <x:c r="I108" s="34" t="str">
        <x:v>ollama</x:v>
      </x:c>
      <x:c r="J108" s="34" t="str">
        <x:v>nomic-embed-text</x:v>
      </x:c>
      <x:c r="K108" s="34" t="str">
        <x:v>psu, atx3.1, 12v-2x6, power, headroom, compatibility</x:v>
      </x:c>
      <x:c r="L108" s="34" t="str">
        <x:v>Corsair RM1200x SHIFT ATX 3.1 specifications</x:v>
      </x:c>
      <x:c r="M108" s="34" t="str">
        <x:v>https://www.corsair.com/us/en/p/psu/cp-9020276-na/rm1200x-shift-80-plus-gold-fully-modular-atx-power-supply-white-na-cp-9020276-na</x:v>
      </x:c>
      <x:c r="N108" s="35" t="str">
        <x:v>For high-draw current GPUs, an ATX 3.1 supply with a native 12V-2x6 cable simplifies cabling and is designed around modern transient requirements. Wattage still must satisfy deterministic sustained-load headroom; the connector standard does not make an undersized PSU acceptable.</x:v>
      </x:c>
    </x:row>
    <x:row r="109">
      <x:c r="A109" s="33" t="str">
        <x:v>T06</x:v>
      </x:c>
      <x:c r="B109" s="34" t="n">
        <x:v>17</x:v>
      </x:c>
      <x:c r="C109" s="34" t="str">
        <x:v>cpu-7900x-workstation</x:v>
      </x:c>
      <x:c r="D109" s="34" t="str">
        <x:v>Ryzen 9 7900X workstation profile</x:v>
      </x:c>
      <x:c r="E109" s="34" t="str">
        <x:v>cpu</x:v>
      </x:c>
      <x:c r="F109" s="80" t="n">
        <x:v>56</x:v>
      </x:c>
      <x:c r="G109" s="80" t="n">
        <x:v>0.525</x:v>
      </x:c>
      <x:c r="H109" s="34" t="str">
        <x:v>vector</x:v>
      </x:c>
      <x:c r="I109" s="34" t="str">
        <x:v>ollama</x:v>
      </x:c>
      <x:c r="J109" s="34" t="str">
        <x:v>nomic-embed-text</x:v>
      </x:c>
      <x:c r="K109" s="34" t="str">
        <x:v>cpu, development, video, productivity, am5, 12-core</x:v>
      </x:c>
      <x:c r="L109" s="34" t="str">
        <x:v>AIPC curated knowledge base</x:v>
      </x:c>
      <x:c r="M109" s="34" t="str"/>
      <x:c r="N109" s="35" t="str">
        <x:v>Twelve cores and strong productivity performance make the Ryzen 9 7900X suitable for compilation, rendering, containers, and mixed workstation use. It requires stronger cooling than 65W parts.</x:v>
      </x:c>
    </x:row>
    <x:row r="110">
      <x:c r="A110" s="33" t="str">
        <x:v>T06</x:v>
      </x:c>
      <x:c r="B110" s="34" t="n">
        <x:v>18</x:v>
      </x:c>
      <x:c r="C110" s="34" t="str">
        <x:v>cpu-14700k-productivity</x:v>
      </x:c>
      <x:c r="D110" s="34" t="str">
        <x:v>Core i7-14700K productivity profile</x:v>
      </x:c>
      <x:c r="E110" s="34" t="str">
        <x:v>cpu</x:v>
      </x:c>
      <x:c r="F110" s="80" t="n">
        <x:v>56</x:v>
      </x:c>
      <x:c r="G110" s="80" t="n">
        <x:v>0.542</x:v>
      </x:c>
      <x:c r="H110" s="34" t="str">
        <x:v>vector</x:v>
      </x:c>
      <x:c r="I110" s="34" t="str">
        <x:v>ollama</x:v>
      </x:c>
      <x:c r="J110" s="34" t="str">
        <x:v>nomic-embed-text</x:v>
      </x:c>
      <x:c r="K110" s="34" t="str">
        <x:v>cpu, development, video, productivity, lga1700, high-power</x:v>
      </x:c>
      <x:c r="L110" s="34" t="str">
        <x:v>AIPC curated knowledge base</x:v>
      </x:c>
      <x:c r="M110" s="34" t="str"/>
      <x:c r="N110" s="35" t="str">
        <x:v>The Core i7-14700K offers high multithreaded throughput for editing and compilation, but its peak power and cooling requirements are substantial.</x:v>
      </x:c>
    </x:row>
    <x:row r="111">
      <x:c r="A111" s="33" t="str">
        <x:v>T07</x:v>
      </x:c>
      <x:c r="B111" s="34" t="n">
        <x:v>1</x:v>
      </x:c>
      <x:c r="C111" s="34" t="str">
        <x:v>gaming-1440p</x:v>
      </x:c>
      <x:c r="D111" s="34" t="str">
        <x:v>1440p gaming allocation</x:v>
      </x:c>
      <x:c r="E111" s="34" t="str">
        <x:v>workload</x:v>
      </x:c>
      <x:c r="F111" s="80" t="n">
        <x:v>79</x:v>
      </x:c>
      <x:c r="G111" s="80" t="n">
        <x:v>0.725</x:v>
      </x:c>
      <x:c r="H111" s="34" t="str">
        <x:v>vector</x:v>
      </x:c>
      <x:c r="I111" s="34" t="str">
        <x:v>ollama</x:v>
      </x:c>
      <x:c r="J111" s="34" t="str">
        <x:v>nomic-embed-text</x:v>
      </x:c>
      <x:c r="K111" s="34" t="str">
        <x:v>gaming, 1440p, gpu, value</x:v>
      </x:c>
      <x:c r="L111" s="34" t="str">
        <x:v>AIPC curated knowledge base</x:v>
      </x:c>
      <x:c r="M111" s="34" t="str"/>
      <x:c r="N111" s="35" t="str">
        <x:v>1440p gaming usually benefits from a GPU-first budget with a balanced modern CPU. It is the broadest value target for high-refresh PC gaming.</x:v>
      </x:c>
    </x:row>
    <x:row r="112">
      <x:c r="A112" s="33" t="str">
        <x:v>T07</x:v>
      </x:c>
      <x:c r="B112" s="34" t="n">
        <x:v>2</x:v>
      </x:c>
      <x:c r="C112" s="34" t="str">
        <x:v>gpu-4070s-gaming</x:v>
      </x:c>
      <x:c r="D112" s="34" t="str">
        <x:v>RTX 4070 Super gaming profile</x:v>
      </x:c>
      <x:c r="E112" s="34" t="str">
        <x:v>gpu</x:v>
      </x:c>
      <x:c r="F112" s="80" t="n">
        <x:v>77</x:v>
      </x:c>
      <x:c r="G112" s="80" t="n">
        <x:v>0.711</x:v>
      </x:c>
      <x:c r="H112" s="34" t="str">
        <x:v>vector</x:v>
      </x:c>
      <x:c r="I112" s="34" t="str">
        <x:v>ollama</x:v>
      </x:c>
      <x:c r="J112" s="34" t="str">
        <x:v>nomic-embed-text</x:v>
      </x:c>
      <x:c r="K112" s="34" t="str">
        <x:v>gpu, gaming, 1440p, cuda, 12gb, efficient</x:v>
      </x:c>
      <x:c r="L112" s="34" t="str">
        <x:v>AIPC curated knowledge base</x:v>
      </x:c>
      <x:c r="M112" s="34" t="str"/>
      <x:c r="N112" s="35" t="str">
        <x:v>The RTX 4070 Super is efficient for high-quality 1440p gaming and supports CUDA, but its 12GB VRAM is less flexible for larger local AI workloads.</x:v>
      </x:c>
    </x:row>
    <x:row r="113">
      <x:c r="A113" s="33" t="str">
        <x:v>T07</x:v>
      </x:c>
      <x:c r="B113" s="34" t="n">
        <x:v>3</x:v>
      </x:c>
      <x:c r="C113" s="34" t="str">
        <x:v>gpu-4070tis-balanced</x:v>
      </x:c>
      <x:c r="D113" s="34" t="str">
        <x:v>RTX 4070 Ti Super balanced profile</x:v>
      </x:c>
      <x:c r="E113" s="34" t="str">
        <x:v>gpu</x:v>
      </x:c>
      <x:c r="F113" s="80" t="n">
        <x:v>74</x:v>
      </x:c>
      <x:c r="G113" s="80" t="n">
        <x:v>0.681</x:v>
      </x:c>
      <x:c r="H113" s="34" t="str">
        <x:v>vector</x:v>
      </x:c>
      <x:c r="I113" s="34" t="str">
        <x:v>ollama</x:v>
      </x:c>
      <x:c r="J113" s="34" t="str">
        <x:v>nomic-embed-text</x:v>
      </x:c>
      <x:c r="K113" s="34" t="str">
        <x:v>gpu, gaming, ai, cuda, 16gb, balanced</x:v>
      </x:c>
      <x:c r="L113" s="34" t="str">
        <x:v>AIPC curated knowledge base</x:v>
      </x:c>
      <x:c r="M113" s="34" t="str"/>
      <x:c r="N113" s="35" t="str">
        <x:v>The RTX 4070 Ti Super provides 16GB VRAM and strong 1440p to 4K capability at lower power and cost than flagship GPUs. It is a balanced choice for mixed gaming, creative, and CUDA work.</x:v>
      </x:c>
    </x:row>
    <x:row r="114">
      <x:c r="A114" s="33" t="str">
        <x:v>T07</x:v>
      </x:c>
      <x:c r="B114" s="34" t="n">
        <x:v>4</x:v>
      </x:c>
      <x:c r="C114" s="34" t="str">
        <x:v>case-nr200-sff</x:v>
      </x:c>
      <x:c r="D114" s="34" t="str">
        <x:v>NR200P small-form-factor constraints</x:v>
      </x:c>
      <x:c r="E114" s="34" t="str">
        <x:v>case</x:v>
      </x:c>
      <x:c r="F114" s="80" t="n">
        <x:v>74</x:v>
      </x:c>
      <x:c r="G114" s="80" t="n">
        <x:v>0.683</x:v>
      </x:c>
      <x:c r="H114" s="34" t="str">
        <x:v>vector</x:v>
      </x:c>
      <x:c r="I114" s="34" t="str">
        <x:v>ollama</x:v>
      </x:c>
      <x:c r="J114" s="34" t="str">
        <x:v>nomic-embed-text</x:v>
      </x:c>
      <x:c r="K114" s="34" t="str">
        <x:v>case, sff, mini-itx, sfx, compact</x:v>
      </x:c>
      <x:c r="L114" s="34" t="str">
        <x:v>AIPC curated knowledge base</x:v>
      </x:c>
      <x:c r="M114" s="34" t="str"/>
      <x:c r="N114" s="35" t="str">
        <x:v>The NR200P is a Mini-ITX enclosure that requires an SFX power supply and limits tower cooler height. Compact builds require stricter part filtering and usually carry a price premium.</x:v>
      </x:c>
    </x:row>
    <x:row r="115">
      <x:c r="A115" s="33" t="str">
        <x:v>T07</x:v>
      </x:c>
      <x:c r="B115" s="34" t="n">
        <x:v>5</x:v>
      </x:c>
      <x:c r="C115" s="34" t="str">
        <x:v>gpu-5070ti-blackwell</x:v>
      </x:c>
      <x:c r="D115" s="34" t="str">
        <x:v>RTX 5070 Ti balanced high-end profile</x:v>
      </x:c>
      <x:c r="E115" s="34" t="str">
        <x:v>gpu</x:v>
      </x:c>
      <x:c r="F115" s="80" t="n">
        <x:v>73</x:v>
      </x:c>
      <x:c r="G115" s="80" t="n">
        <x:v>0.674</x:v>
      </x:c>
      <x:c r="H115" s="34" t="str">
        <x:v>vector</x:v>
      </x:c>
      <x:c r="I115" s="34" t="str">
        <x:v>ollama</x:v>
      </x:c>
      <x:c r="J115" s="34" t="str">
        <x:v>nomic-embed-text</x:v>
      </x:c>
      <x:c r="K115" s="34" t="str">
        <x:v>gpu, nvidia, cuda, blackwell, 16gb, 1440p, 4k, balanced</x:v>
      </x:c>
      <x:c r="L115" s="34" t="str">
        <x:v>NVIDIA GeForce RTX 5070 family specifications</x:v>
      </x:c>
      <x:c r="M115" s="34" t="str">
        <x:v>https://www.nvidia.com/en-us/geforce/graphics-cards/50-series/rtx-5070-family/</x:v>
      </x:c>
      <x:c r="N115" s="35" t="str">
        <x:v>The GeForce RTX 5070 Ti provides 16GB GDDR7 and CUDA at a 300W reference power target. It is positioned for high-refresh 1440p, entry 4K, creator acceleration, and moderate local AI workloads without flagship cost.</x:v>
      </x:c>
    </x:row>
    <x:row r="116">
      <x:c r="A116" s="33" t="str">
        <x:v>T07</x:v>
      </x:c>
      <x:c r="B116" s="34" t="n">
        <x:v>6</x:v>
      </x:c>
      <x:c r="C116" s="34" t="str">
        <x:v>gaming-1080p</x:v>
      </x:c>
      <x:c r="D116" s="34" t="str">
        <x:v>1080p gaming allocation</x:v>
      </x:c>
      <x:c r="E116" s="34" t="str">
        <x:v>workload</x:v>
      </x:c>
      <x:c r="F116" s="80" t="n">
        <x:v>72</x:v>
      </x:c>
      <x:c r="G116" s="80" t="n">
        <x:v>0.672</x:v>
      </x:c>
      <x:c r="H116" s="34" t="str">
        <x:v>vector</x:v>
      </x:c>
      <x:c r="I116" s="34" t="str">
        <x:v>ollama</x:v>
      </x:c>
      <x:c r="J116" s="34" t="str">
        <x:v>nomic-embed-text</x:v>
      </x:c>
      <x:c r="K116" s="34" t="str">
        <x:v>gaming, 1080p, high-fps, cpu</x:v>
      </x:c>
      <x:c r="L116" s="34" t="str">
        <x:v>AIPC curated knowledge base</x:v>
      </x:c>
      <x:c r="M116" s="34" t="str"/>
      <x:c r="N116" s="35" t="str">
        <x:v>At 1080p and high refresh rates, CPU frame delivery matters more than at higher resolutions. GPU budget remains important, but extreme GPU spending can produce diminishing returns.</x:v>
      </x:c>
    </x:row>
    <x:row r="117">
      <x:c r="A117" s="33" t="str">
        <x:v>T07</x:v>
      </x:c>
      <x:c r="B117" s="34" t="n">
        <x:v>7</x:v>
      </x:c>
      <x:c r="C117" s="34" t="str">
        <x:v>cooler-pa120</x:v>
      </x:c>
      <x:c r="D117" s="34" t="str">
        <x:v>Peerless Assassin value cooling</x:v>
      </x:c>
      <x:c r="E117" s="34" t="str">
        <x:v>cooler</x:v>
      </x:c>
      <x:c r="F117" s="80" t="n">
        <x:v>72</x:v>
      </x:c>
      <x:c r="G117" s="80" t="n">
        <x:v>0.672</x:v>
      </x:c>
      <x:c r="H117" s="34" t="str">
        <x:v>vector</x:v>
      </x:c>
      <x:c r="I117" s="34" t="str">
        <x:v>ollama</x:v>
      </x:c>
      <x:c r="J117" s="34" t="str">
        <x:v>nomic-embed-text</x:v>
      </x:c>
      <x:c r="K117" s="34" t="str">
        <x:v>cooler, air, value, quiet</x:v>
      </x:c>
      <x:c r="L117" s="34" t="str">
        <x:v>AIPC curated knowledge base</x:v>
      </x:c>
      <x:c r="M117" s="34" t="str"/>
      <x:c r="N117" s="35" t="str">
        <x:v>The Peerless Assassin 120 SE offers high air-cooling capacity at low cost. It is well suited to mainstream and many high-tier CPUs when case height allows it.</x:v>
      </x:c>
    </x:row>
    <x:row r="118">
      <x:c r="A118" s="33" t="str">
        <x:v>T07</x:v>
      </x:c>
      <x:c r="B118" s="34" t="n">
        <x:v>8</x:v>
      </x:c>
      <x:c r="C118" s="34" t="str">
        <x:v>case-north-airflow</x:v>
      </x:c>
      <x:c r="D118" s="34" t="str">
        <x:v>Fractal North balanced airflow</x:v>
      </x:c>
      <x:c r="E118" s="34" t="str">
        <x:v>case</x:v>
      </x:c>
      <x:c r="F118" s="80" t="n">
        <x:v>72</x:v>
      </x:c>
      <x:c r="G118" s="80" t="n">
        <x:v>0.679</x:v>
      </x:c>
      <x:c r="H118" s="34" t="str">
        <x:v>vector</x:v>
      </x:c>
      <x:c r="I118" s="34" t="str">
        <x:v>ollama</x:v>
      </x:c>
      <x:c r="J118" s="34" t="str">
        <x:v>nomic-embed-text</x:v>
      </x:c>
      <x:c r="K118" s="34" t="str">
        <x:v>case, atx, airflow, quiet, upgradeability</x:v>
      </x:c>
      <x:c r="L118" s="34" t="str">
        <x:v>AIPC curated knowledge base</x:v>
      </x:c>
      <x:c r="M118" s="34" t="str"/>
      <x:c r="N118" s="35" t="str">
        <x:v>The Fractal North supports full-size ATX components with 355mm GPU clearance and 170mm air-cooler clearance. It balances airflow, acoustics, and upgrade room.</x:v>
      </x:c>
    </x:row>
    <x:row r="119">
      <x:c r="A119" s="33" t="str">
        <x:v>T07</x:v>
      </x:c>
      <x:c r="B119" s="34" t="n">
        <x:v>9</x:v>
      </x:c>
      <x:c r="C119" s="34" t="str">
        <x:v>case-sff-cooling-budget</x:v>
      </x:c>
      <x:c r="D119" s="34" t="str">
        <x:v>Small-form-factor cost and cooling trade-off</x:v>
      </x:c>
      <x:c r="E119" s="34" t="str">
        <x:v>planning</x:v>
      </x:c>
      <x:c r="F119" s="80" t="n">
        <x:v>72</x:v>
      </x:c>
      <x:c r="G119" s="80" t="n">
        <x:v>0.664</x:v>
      </x:c>
      <x:c r="H119" s="34" t="str">
        <x:v>vector</x:v>
      </x:c>
      <x:c r="I119" s="34" t="str">
        <x:v>ollama</x:v>
      </x:c>
      <x:c r="J119" s="34" t="str">
        <x:v>nomic-embed-text</x:v>
      </x:c>
      <x:c r="K119" s="34" t="str">
        <x:v>case, sff, mini-itx, sfx, cooling, clearance, trade-off</x:v>
      </x:c>
      <x:c r="L119" s="34" t="str">
        <x:v>Fractal Design Terra official specifications</x:v>
      </x:c>
      <x:c r="M119" s="34" t="str">
        <x:v>https://www.fractal-design.com/products/cases/terra/terra/</x:v>
      </x:c>
      <x:c r="N119" s="35" t="str">
        <x:v>Mini-ITX systems typically require a Mini-ITX motherboard and SFX power supply and may sharply limit air-cooler height and GPU dimensions. A compact request should trigger hard form-factor filtering and should expect higher component cost or reduced thermal headroom.</x:v>
      </x:c>
    </x:row>
    <x:row r="120">
      <x:c r="A120" s="33" t="str">
        <x:v>T07</x:v>
      </x:c>
      <x:c r="B120" s="34" t="n">
        <x:v>10</x:v>
      </x:c>
      <x:c r="C120" s="34" t="str">
        <x:v>cpu-9950x3d-mixed</x:v>
      </x:c>
      <x:c r="D120" s="34" t="str">
        <x:v>Ryzen 9 9950X3D mixed gaming and creation profile</x:v>
      </x:c>
      <x:c r="E120" s="34" t="str">
        <x:v>cpu</x:v>
      </x:c>
      <x:c r="F120" s="80" t="n">
        <x:v>70</x:v>
      </x:c>
      <x:c r="G120" s="80" t="n">
        <x:v>0.653</x:v>
      </x:c>
      <x:c r="H120" s="34" t="str">
        <x:v>vector</x:v>
      </x:c>
      <x:c r="I120" s="34" t="str">
        <x:v>ollama</x:v>
      </x:c>
      <x:c r="J120" s="34" t="str">
        <x:v>nomic-embed-text</x:v>
      </x:c>
      <x:c r="K120" s="34" t="str">
        <x:v>cpu, amd, am5, zen5, 16-core, gaming, creator, enthusiast</x:v>
      </x:c>
      <x:c r="L120" s="34" t="str">
        <x:v>AMD Ryzen desktop processor specifications</x:v>
      </x:c>
      <x:c r="M120" s="34" t="str">
        <x:v>https://www.amd.com/en/products/processors/desktops/ryzen.html</x:v>
      </x:c>
      <x:c r="N120" s="35" t="str">
        <x:v>Ryzen 9 9950X3D combines 16 Zen 5 cores with second-generation 3D V-Cache on AM5. It fits premium systems that need strong gaming latency and high multicore throughput, but it should not displace cheaper eight-core X3D options in gaming-only budgets.</x:v>
      </x:c>
    </x:row>
    <x:row r="121">
      <x:c r="A121" s="33" t="str">
        <x:v>T07</x:v>
      </x:c>
      <x:c r="B121" s="34" t="n">
        <x:v>11</x:v>
      </x:c>
      <x:c r="C121" s="34" t="str">
        <x:v>cpu-9950x3d2-workstation</x:v>
      </x:c>
      <x:c r="D121" s="34" t="str">
        <x:v>Ryzen 9 9950X3D2 developer workstation profile</x:v>
      </x:c>
      <x:c r="E121" s="34" t="str">
        <x:v>cpu</x:v>
      </x:c>
      <x:c r="F121" s="80" t="n">
        <x:v>70</x:v>
      </x:c>
      <x:c r="G121" s="80" t="n">
        <x:v>0.652</x:v>
      </x:c>
      <x:c r="H121" s="34" t="str">
        <x:v>vector</x:v>
      </x:c>
      <x:c r="I121" s="34" t="str">
        <x:v>ollama</x:v>
      </x:c>
      <x:c r="J121" s="34" t="str">
        <x:v>nomic-embed-text</x:v>
      </x:c>
      <x:c r="K121" s="34" t="str">
        <x:v>cpu, amd, am5, zen5, 16-core, development, creator, enthusiast, high-power</x:v>
      </x:c>
      <x:c r="L121" s="34" t="str">
        <x:v>AMD Ryzen 9 9950X3D2 launch specifications</x:v>
      </x:c>
      <x:c r="M121" s="34" t="str">
        <x:v>https://www.amd.com/en/newsroom/press-releases/2026-4-22-amd-launches-ryzen-9-9950x3d2-dual-edition-processor.html</x:v>
      </x:c>
      <x:c r="N121" s="35" t="str">
        <x:v>Ryzen 9 9950X3D2 combines 16 cores, 32 threads, 208MB total cache, a 200W TDP, and an $899 SEP. It targets high-budget development, compilation, simulation, creation, and gaming systems where both cache capacity and core throughput matter.</x:v>
      </x:c>
    </x:row>
    <x:row r="122">
      <x:c r="A122" s="33" t="str">
        <x:v>T07</x:v>
      </x:c>
      <x:c r="B122" s="34" t="n">
        <x:v>12</x:v>
      </x:c>
      <x:c r="C122" s="34" t="str">
        <x:v>cpu-9800x3d-gaming</x:v>
      </x:c>
      <x:c r="D122" s="34" t="str">
        <x:v>Ryzen 7 9800X3D gaming focus</x:v>
      </x:c>
      <x:c r="E122" s="34" t="str">
        <x:v>cpu</x:v>
      </x:c>
      <x:c r="F122" s="80" t="n">
        <x:v>68</x:v>
      </x:c>
      <x:c r="G122" s="80" t="n">
        <x:v>0.631</x:v>
      </x:c>
      <x:c r="H122" s="34" t="str">
        <x:v>vector</x:v>
      </x:c>
      <x:c r="I122" s="34" t="str">
        <x:v>ollama</x:v>
      </x:c>
      <x:c r="J122" s="34" t="str">
        <x:v>nomic-embed-text</x:v>
      </x:c>
      <x:c r="K122" s="34" t="str">
        <x:v>cpu, gaming, high-fps, am5, enthusiast</x:v>
      </x:c>
      <x:c r="L122" s="34" t="str">
        <x:v>AIPC curated knowledge base</x:v>
      </x:c>
      <x:c r="M122" s="34" t="str"/>
      <x:c r="N122" s="35" t="str">
        <x:v>The Ryzen 7 9800X3D is an enthusiast gaming CPU. Its value is strongest in high-refresh gaming systems where the GPU is already well funded.</x:v>
      </x:c>
    </x:row>
    <x:row r="123">
      <x:c r="A123" s="33" t="str">
        <x:v>T07</x:v>
      </x:c>
      <x:c r="B123" s="34" t="n">
        <x:v>13</x:v>
      </x:c>
      <x:c r="C123" s="34" t="str">
        <x:v>case-clearance</x:v>
      </x:c>
      <x:c r="D123" s="34" t="str">
        <x:v>Case clearance constraints</x:v>
      </x:c>
      <x:c r="E123" s="34" t="str">
        <x:v>compatibility</x:v>
      </x:c>
      <x:c r="F123" s="80" t="n">
        <x:v>68</x:v>
      </x:c>
      <x:c r="G123" s="80" t="n">
        <x:v>0.649</x:v>
      </x:c>
      <x:c r="H123" s="34" t="str">
        <x:v>vector</x:v>
      </x:c>
      <x:c r="I123" s="34" t="str">
        <x:v>ollama</x:v>
      </x:c>
      <x:c r="J123" s="34" t="str">
        <x:v>nomic-embed-text</x:v>
      </x:c>
      <x:c r="K123" s="34" t="str">
        <x:v>case, clearance, gpu-length, cooler-height, form-factor</x:v>
      </x:c>
      <x:c r="L123" s="34" t="str">
        <x:v>AIPC curated knowledge base</x:v>
      </x:c>
      <x:c r="M123" s="34" t="str"/>
      <x:c r="N123" s="35" t="str">
        <x:v>GPU length, air-cooler height, motherboard form factor, and PSU form factor are hard physical constraints. These values must be checked deterministically before a case is accepted.</x:v>
      </x:c>
    </x:row>
    <x:row r="124">
      <x:c r="A124" s="33" t="str">
        <x:v>T07</x:v>
      </x:c>
      <x:c r="B124" s="34" t="n">
        <x:v>14</x:v>
      </x:c>
      <x:c r="C124" s="34" t="str">
        <x:v>gaming-4k</x:v>
      </x:c>
      <x:c r="D124" s="34" t="str">
        <x:v>4K gaming allocation</x:v>
      </x:c>
      <x:c r="E124" s="34" t="str">
        <x:v>workload</x:v>
      </x:c>
      <x:c r="F124" s="80" t="n">
        <x:v>66</x:v>
      </x:c>
      <x:c r="G124" s="80" t="n">
        <x:v>0.648</x:v>
      </x:c>
      <x:c r="H124" s="34" t="str">
        <x:v>vector</x:v>
      </x:c>
      <x:c r="I124" s="34" t="str">
        <x:v>ollama</x:v>
      </x:c>
      <x:c r="J124" s="34" t="str">
        <x:v>nomic-embed-text</x:v>
      </x:c>
      <x:c r="K124" s="34" t="str">
        <x:v>gaming, 4k, gpu, high-end</x:v>
      </x:c>
      <x:c r="L124" s="34" t="str">
        <x:v>AIPC curated knowledge base</x:v>
      </x:c>
      <x:c r="M124" s="34" t="str"/>
      <x:c r="N124" s="35" t="str">
        <x:v>At 4K the GPU is normally the primary performance constraint. Budget should favor the graphics card while retaining enough CPU, cooling, and PSU quality to avoid platform imbalance.</x:v>
      </x:c>
    </x:row>
    <x:row r="125">
      <x:c r="A125" s="33" t="str">
        <x:v>T07</x:v>
      </x:c>
      <x:c r="B125" s="34" t="n">
        <x:v>15</x:v>
      </x:c>
      <x:c r="C125" s="34" t="str">
        <x:v>storage-pcie5-thermal</x:v>
      </x:c>
      <x:c r="D125" s="34" t="str">
        <x:v>PCIe 5.0 SSD performance and thermal trade-off</x:v>
      </x:c>
      <x:c r="E125" s="34" t="str">
        <x:v>storage</x:v>
      </x:c>
      <x:c r="F125" s="80" t="n">
        <x:v>66</x:v>
      </x:c>
      <x:c r="G125" s="80" t="n">
        <x:v>0.625</x:v>
      </x:c>
      <x:c r="H125" s="34" t="str">
        <x:v>vector</x:v>
      </x:c>
      <x:c r="I125" s="34" t="str">
        <x:v>ollama</x:v>
      </x:c>
      <x:c r="J125" s="34" t="str">
        <x:v>nomic-embed-text</x:v>
      </x:c>
      <x:c r="K125" s="34" t="str">
        <x:v>storage, nvme, pcie5, thermal, creator, development, value</x:v>
      </x:c>
      <x:c r="L125" s="34" t="str">
        <x:v>Samsung 9100 Pro official specifications</x:v>
      </x:c>
      <x:c r="M125" s="34" t="str">
        <x:v>https://www.samsung.com/us/memory-storage/nvme-ssd/9100-pro-nvme-ssd-sku-mz-vap4t0b-am/</x:v>
      </x:c>
      <x:c r="N125"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126">
      <x:c r="A126" s="33" t="str">
        <x:v>T07</x:v>
      </x:c>
      <x:c r="B126" s="34" t="n">
        <x:v>16</x:v>
      </x:c>
      <x:c r="C126" s="34" t="str">
        <x:v>cooling-tdp</x:v>
      </x:c>
      <x:c r="D126" s="34" t="str">
        <x:v>Cooling capacity rule</x:v>
      </x:c>
      <x:c r="E126" s="34" t="str">
        <x:v>compatibility</x:v>
      </x:c>
      <x:c r="F126" s="80" t="n">
        <x:v>64</x:v>
      </x:c>
      <x:c r="G126" s="80" t="n">
        <x:v>0.609</x:v>
      </x:c>
      <x:c r="H126" s="34" t="str">
        <x:v>vector</x:v>
      </x:c>
      <x:c r="I126" s="34" t="str">
        <x:v>ollama</x:v>
      </x:c>
      <x:c r="J126" s="34" t="str">
        <x:v>nomic-embed-text</x:v>
      </x:c>
      <x:c r="K126" s="34" t="str">
        <x:v>cooler, tdp, quiet, compatibility</x:v>
      </x:c>
      <x:c r="L126" s="34" t="str">
        <x:v>AIPC curated knowledge base</x:v>
      </x:c>
      <x:c r="M126" s="34" t="str"/>
      <x:c r="N126" s="35" t="str">
        <x:v>A cooler's thermal rating must meet or exceed the CPU power rating. Quiet builds benefit from additional capacity because the cooler can dissipate heat at lower fan speed.</x:v>
      </x:c>
    </x:row>
    <x:row r="127">
      <x:c r="A127" s="33" t="str">
        <x:v>T08</x:v>
      </x:c>
      <x:c r="B127" s="34" t="n">
        <x:v>1</x:v>
      </x:c>
      <x:c r="C127" s="34" t="str">
        <x:v>ram-capacity-dev</x:v>
      </x:c>
      <x:c r="D127" s="34" t="str">
        <x:v>Memory capacity for development</x:v>
      </x:c>
      <x:c r="E127" s="34" t="str">
        <x:v>workload</x:v>
      </x:c>
      <x:c r="F127" s="80" t="n">
        <x:v>75</x:v>
      </x:c>
      <x:c r="G127" s="80" t="n">
        <x:v>0.692</x:v>
      </x:c>
      <x:c r="H127" s="34" t="str">
        <x:v>vector</x:v>
      </x:c>
      <x:c r="I127" s="34" t="str">
        <x:v>ollama</x:v>
      </x:c>
      <x:c r="J127" s="34" t="str">
        <x:v>nomic-embed-text</x:v>
      </x:c>
      <x:c r="K127" s="34" t="str">
        <x:v>ram, development, docker, containers, 64gb</x:v>
      </x:c>
      <x:c r="L127" s="34" t="str">
        <x:v>AIPC curated knowledge base</x:v>
      </x:c>
      <x:c r="M127" s="34" t="str"/>
      <x:c r="N127" s="35" t="str">
        <x:v>Docker, local databases, IDEs, browsers, and emulators compete for memory. 32GB is a practical baseline; 64GB provides meaningful headroom for heavier container and mobile build workflows.</x:v>
      </x:c>
    </x:row>
    <x:row r="128">
      <x:c r="A128" s="33" t="str">
        <x:v>T08</x:v>
      </x:c>
      <x:c r="B128" s="34" t="n">
        <x:v>2</x:v>
      </x:c>
      <x:c r="C128" s="34" t="str">
        <x:v>cpu-9950x3d2-workstation</x:v>
      </x:c>
      <x:c r="D128" s="34" t="str">
        <x:v>Ryzen 9 9950X3D2 developer workstation profile</x:v>
      </x:c>
      <x:c r="E128" s="34" t="str">
        <x:v>cpu</x:v>
      </x:c>
      <x:c r="F128" s="80" t="n">
        <x:v>74</x:v>
      </x:c>
      <x:c r="G128" s="80" t="n">
        <x:v>0.684</x:v>
      </x:c>
      <x:c r="H128" s="34" t="str">
        <x:v>vector</x:v>
      </x:c>
      <x:c r="I128" s="34" t="str">
        <x:v>ollama</x:v>
      </x:c>
      <x:c r="J128" s="34" t="str">
        <x:v>nomic-embed-text</x:v>
      </x:c>
      <x:c r="K128" s="34" t="str">
        <x:v>cpu, amd, am5, zen5, 16-core, development, creator, enthusiast, high-power</x:v>
      </x:c>
      <x:c r="L128" s="34" t="str">
        <x:v>AMD Ryzen 9 9950X3D2 launch specifications</x:v>
      </x:c>
      <x:c r="M128" s="34" t="str">
        <x:v>https://www.amd.com/en/newsroom/press-releases/2026-4-22-amd-launches-ryzen-9-9950x3d2-dual-edition-processor.html</x:v>
      </x:c>
      <x:c r="N128" s="35" t="str">
        <x:v>Ryzen 9 9950X3D2 combines 16 cores, 32 threads, 208MB total cache, a 200W TDP, and an $899 SEP. It targets high-budget development, compilation, simulation, creation, and gaming systems where both cache capacity and core throughput matter.</x:v>
      </x:c>
    </x:row>
    <x:row r="129">
      <x:c r="A129" s="33" t="str">
        <x:v>T08</x:v>
      </x:c>
      <x:c r="B129" s="34" t="n">
        <x:v>3</x:v>
      </x:c>
      <x:c r="C129" s="34" t="str">
        <x:v>gpu-5060ti16-ai-value</x:v>
      </x:c>
      <x:c r="D129" s="34" t="str">
        <x:v>RTX 5060 Ti 16GB capacity-value trade-off</x:v>
      </x:c>
      <x:c r="E129" s="34" t="str">
        <x:v>gpu</x:v>
      </x:c>
      <x:c r="F129" s="80" t="n">
        <x:v>73</x:v>
      </x:c>
      <x:c r="G129" s="80" t="n">
        <x:v>0.652</x:v>
      </x:c>
      <x:c r="H129" s="34" t="str">
        <x:v>vector</x:v>
      </x:c>
      <x:c r="I129" s="34" t="str">
        <x:v>ollama</x:v>
      </x:c>
      <x:c r="J129" s="34" t="str">
        <x:v>nomic-embed-text</x:v>
      </x:c>
      <x:c r="K129" s="34" t="str">
        <x:v>gpu, nvidia, cuda, blackwell, 16gb, ai, value, efficient</x:v>
      </x:c>
      <x:c r="L129" s="34" t="str">
        <x:v>NVIDIA GeForce RTX 5060 family specifications</x:v>
      </x:c>
      <x:c r="M129" s="34" t="str">
        <x:v>https://www.nvidia.com/en-us/geforce/graphics-cards/50-series/rtx-5060-family/</x:v>
      </x:c>
      <x:c r="N129" s="35" t="str">
        <x:v>The 16GB RTX 5060 Ti offers more model and texture capacity than 8GB cards while retaining CUDA support and a 180W reference power target. Its compute throughput is midrange, so capacity-sensitive hobby AI can fit even when raw generation or training speed is below higher-tier GPUs.</x:v>
      </x:c>
    </x:row>
    <x:row r="130">
      <x:c r="A130" s="33" t="str">
        <x:v>T08</x:v>
      </x:c>
      <x:c r="B130" s="34" t="n">
        <x:v>4</x:v>
      </x:c>
      <x:c r="C130" s="34" t="str">
        <x:v>storage-pcie5-thermal</x:v>
      </x:c>
      <x:c r="D130" s="34" t="str">
        <x:v>PCIe 5.0 SSD performance and thermal trade-off</x:v>
      </x:c>
      <x:c r="E130" s="34" t="str">
        <x:v>storage</x:v>
      </x:c>
      <x:c r="F130" s="80" t="n">
        <x:v>69</x:v>
      </x:c>
      <x:c r="G130" s="80" t="n">
        <x:v>0.644</x:v>
      </x:c>
      <x:c r="H130" s="34" t="str">
        <x:v>vector</x:v>
      </x:c>
      <x:c r="I130" s="34" t="str">
        <x:v>ollama</x:v>
      </x:c>
      <x:c r="J130" s="34" t="str">
        <x:v>nomic-embed-text</x:v>
      </x:c>
      <x:c r="K130" s="34" t="str">
        <x:v>storage, nvme, pcie5, thermal, creator, development, value</x:v>
      </x:c>
      <x:c r="L130" s="34" t="str">
        <x:v>Samsung 9100 Pro official specifications</x:v>
      </x:c>
      <x:c r="M130" s="34" t="str">
        <x:v>https://www.samsung.com/us/memory-storage/nvme-ssd/9100-pro-nvme-ssd-sku-mz-vap4t0b-am/</x:v>
      </x:c>
      <x:c r="N130"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131">
      <x:c r="A131" s="33" t="str">
        <x:v>T08</x:v>
      </x:c>
      <x:c r="B131" s="34" t="n">
        <x:v>5</x:v>
      </x:c>
      <x:c r="C131" s="34" t="str">
        <x:v>gaming-1080p</x:v>
      </x:c>
      <x:c r="D131" s="34" t="str">
        <x:v>1080p gaming allocation</x:v>
      </x:c>
      <x:c r="E131" s="34" t="str">
        <x:v>workload</x:v>
      </x:c>
      <x:c r="F131" s="80" t="n">
        <x:v>69</x:v>
      </x:c>
      <x:c r="G131" s="80" t="n">
        <x:v>0.645</x:v>
      </x:c>
      <x:c r="H131" s="34" t="str">
        <x:v>vector</x:v>
      </x:c>
      <x:c r="I131" s="34" t="str">
        <x:v>ollama</x:v>
      </x:c>
      <x:c r="J131" s="34" t="str">
        <x:v>nomic-embed-text</x:v>
      </x:c>
      <x:c r="K131" s="34" t="str">
        <x:v>gaming, 1080p, high-fps, cpu</x:v>
      </x:c>
      <x:c r="L131" s="34" t="str">
        <x:v>AIPC curated knowledge base</x:v>
      </x:c>
      <x:c r="M131" s="34" t="str"/>
      <x:c r="N131" s="35" t="str">
        <x:v>At 1080p and high refresh rates, CPU frame delivery matters more than at higher resolutions. GPU budget remains important, but extreme GPU spending can produce diminishing returns.</x:v>
      </x:c>
    </x:row>
    <x:row r="132">
      <x:c r="A132" s="33" t="str">
        <x:v>T08</x:v>
      </x:c>
      <x:c r="B132" s="34" t="n">
        <x:v>6</x:v>
      </x:c>
      <x:c r="C132" s="34" t="str">
        <x:v>gpu-5080-blackwell</x:v>
      </x:c>
      <x:c r="D132" s="34" t="str">
        <x:v>RTX 5080 4K and creator profile</x:v>
      </x:c>
      <x:c r="E132" s="34" t="str">
        <x:v>gpu</x:v>
      </x:c>
      <x:c r="F132" s="80" t="n">
        <x:v>69</x:v>
      </x:c>
      <x:c r="G132" s="80" t="n">
        <x:v>0.614</x:v>
      </x:c>
      <x:c r="H132" s="34" t="str">
        <x:v>vector</x:v>
      </x:c>
      <x:c r="I132" s="34" t="str">
        <x:v>ollama</x:v>
      </x:c>
      <x:c r="J132" s="34" t="str">
        <x:v>nomic-embed-text</x:v>
      </x:c>
      <x:c r="K132" s="34" t="str">
        <x:v>gpu, nvidia, cuda, blackwell, 16gb, 4k, creator</x:v>
      </x:c>
      <x:c r="L132" s="34" t="str">
        <x:v>NVIDIA GeForce RTX 5080 specifications</x:v>
      </x:c>
      <x:c r="M132" s="34" t="str">
        <x:v>https://www.nvidia.com/en-us/geforce/graphics-cards/50-series/rtx-5080/</x:v>
      </x:c>
      <x:c r="N132" s="35" t="str">
        <x:v>The GeForce RTX 5080 reference design combines 16GB GDDR7, CUDA support, a 360W total graphics power rating, and Blackwell media/AI features. It is a high-end 4K and creator option below the RTX 5090, but 16GB VRAM is a meaningful limit for larger local AI models.</x:v>
      </x:c>
    </x:row>
    <x:row r="133">
      <x:c r="A133" s="33" t="str">
        <x:v>T08</x:v>
      </x:c>
      <x:c r="B133" s="34" t="n">
        <x:v>7</x:v>
      </x:c>
      <x:c r="C133" s="34" t="str">
        <x:v>cpu-7900x-workstation</x:v>
      </x:c>
      <x:c r="D133" s="34" t="str">
        <x:v>Ryzen 9 7900X workstation profile</x:v>
      </x:c>
      <x:c r="E133" s="34" t="str">
        <x:v>cpu</x:v>
      </x:c>
      <x:c r="F133" s="80" t="n">
        <x:v>68</x:v>
      </x:c>
      <x:c r="G133" s="80" t="n">
        <x:v>0.65</x:v>
      </x:c>
      <x:c r="H133" s="34" t="str">
        <x:v>vector</x:v>
      </x:c>
      <x:c r="I133" s="34" t="str">
        <x:v>ollama</x:v>
      </x:c>
      <x:c r="J133" s="34" t="str">
        <x:v>nomic-embed-text</x:v>
      </x:c>
      <x:c r="K133" s="34" t="str">
        <x:v>cpu, development, video, productivity, am5, 12-core</x:v>
      </x:c>
      <x:c r="L133" s="34" t="str">
        <x:v>AIPC curated knowledge base</x:v>
      </x:c>
      <x:c r="M133" s="34" t="str"/>
      <x:c r="N133" s="35" t="str">
        <x:v>Twelve cores and strong productivity performance make the Ryzen 9 7900X suitable for compilation, rendering, containers, and mixed workstation use. It requires stronger cooling than 65W parts.</x:v>
      </x:c>
    </x:row>
    <x:row r="134">
      <x:c r="A134" s="33" t="str">
        <x:v>T08</x:v>
      </x:c>
      <x:c r="B134" s="34" t="n">
        <x:v>8</x:v>
      </x:c>
      <x:c r="C134" s="34" t="str">
        <x:v>cpu-7700-balanced</x:v>
      </x:c>
      <x:c r="D134" s="34" t="str">
        <x:v>Ryzen 7 7700 balanced profile</x:v>
      </x:c>
      <x:c r="E134" s="34" t="str">
        <x:v>cpu</x:v>
      </x:c>
      <x:c r="F134" s="80" t="n">
        <x:v>68</x:v>
      </x:c>
      <x:c r="G134" s="80" t="n">
        <x:v>0.621</x:v>
      </x:c>
      <x:c r="H134" s="34" t="str">
        <x:v>vector</x:v>
      </x:c>
      <x:c r="I134" s="34" t="str">
        <x:v>ollama</x:v>
      </x:c>
      <x:c r="J134" s="34" t="str">
        <x:v>nomic-embed-text</x:v>
      </x:c>
      <x:c r="K134" s="34" t="str">
        <x:v>cpu, development, balanced, quiet, efficient, am5</x:v>
      </x:c>
      <x:c r="L134" s="34" t="str">
        <x:v>AIPC curated knowledge base</x:v>
      </x:c>
      <x:c r="M134" s="34" t="str"/>
      <x:c r="N134" s="35" t="str">
        <x:v>The Ryzen 7 7700 combines eight cores with a 65W rating. It is a quiet, efficient foundation for development and balanced builds with a useful AM5 upgrade path.</x:v>
      </x:c>
    </x:row>
    <x:row r="135">
      <x:c r="A135" s="33" t="str">
        <x:v>T08</x:v>
      </x:c>
      <x:c r="B135" s="34" t="n">
        <x:v>9</x:v>
      </x:c>
      <x:c r="C135" s="34" t="str">
        <x:v>cpu-7800x3d-gaming</x:v>
      </x:c>
      <x:c r="D135" s="34" t="str">
        <x:v>Ryzen 7 7800X3D gaming profile</x:v>
      </x:c>
      <x:c r="E135" s="34" t="str">
        <x:v>cpu</x:v>
      </x:c>
      <x:c r="F135" s="80" t="n">
        <x:v>68</x:v>
      </x:c>
      <x:c r="G135" s="80" t="n">
        <x:v>0.62</x:v>
      </x:c>
      <x:c r="H135" s="34" t="str">
        <x:v>vector</x:v>
      </x:c>
      <x:c r="I135" s="34" t="str">
        <x:v>ollama</x:v>
      </x:c>
      <x:c r="J135" s="34" t="str">
        <x:v>nomic-embed-text</x:v>
      </x:c>
      <x:c r="K135" s="34" t="str">
        <x:v>cpu, gaming, am5, efficient</x:v>
      </x:c>
      <x:c r="L135" s="34" t="str">
        <x:v>AIPC curated knowledge base</x:v>
      </x:c>
      <x:c r="M135" s="34" t="str"/>
      <x:c r="N135" s="35" t="str">
        <x:v>The Ryzen 7 7800X3D remains a focused gaming option with lower platform power than many high-core-count alternatives. It is less compelling for heavily threaded workstation tasks.</x:v>
      </x:c>
    </x:row>
    <x:row r="136">
      <x:c r="A136" s="33" t="str">
        <x:v>T08</x:v>
      </x:c>
      <x:c r="B136" s="34" t="n">
        <x:v>10</x:v>
      </x:c>
      <x:c r="C136" s="34" t="str">
        <x:v>cooler-pa120</x:v>
      </x:c>
      <x:c r="D136" s="34" t="str">
        <x:v>Peerless Assassin value cooling</x:v>
      </x:c>
      <x:c r="E136" s="34" t="str">
        <x:v>cooler</x:v>
      </x:c>
      <x:c r="F136" s="80" t="n">
        <x:v>68</x:v>
      </x:c>
      <x:c r="G136" s="80" t="n">
        <x:v>0.636</x:v>
      </x:c>
      <x:c r="H136" s="34" t="str">
        <x:v>vector</x:v>
      </x:c>
      <x:c r="I136" s="34" t="str">
        <x:v>ollama</x:v>
      </x:c>
      <x:c r="J136" s="34" t="str">
        <x:v>nomic-embed-text</x:v>
      </x:c>
      <x:c r="K136" s="34" t="str">
        <x:v>cooler, air, value, quiet</x:v>
      </x:c>
      <x:c r="L136" s="34" t="str">
        <x:v>AIPC curated knowledge base</x:v>
      </x:c>
      <x:c r="M136" s="34" t="str"/>
      <x:c r="N136" s="35" t="str">
        <x:v>The Peerless Assassin 120 SE offers high air-cooling capacity at low cost. It is well suited to mainstream and many high-tier CPUs when case height allows it.</x:v>
      </x:c>
    </x:row>
    <x:row r="137">
      <x:c r="A137" s="33" t="str">
        <x:v>T08</x:v>
      </x:c>
      <x:c r="B137" s="34" t="n">
        <x:v>11</x:v>
      </x:c>
      <x:c r="C137" s="34" t="str">
        <x:v>gpu-4070s-gaming</x:v>
      </x:c>
      <x:c r="D137" s="34" t="str">
        <x:v>RTX 4070 Super gaming profile</x:v>
      </x:c>
      <x:c r="E137" s="34" t="str">
        <x:v>gpu</x:v>
      </x:c>
      <x:c r="F137" s="80" t="n">
        <x:v>67</x:v>
      </x:c>
      <x:c r="G137" s="80" t="n">
        <x:v>0.639</x:v>
      </x:c>
      <x:c r="H137" s="34" t="str">
        <x:v>vector</x:v>
      </x:c>
      <x:c r="I137" s="34" t="str">
        <x:v>ollama</x:v>
      </x:c>
      <x:c r="J137" s="34" t="str">
        <x:v>nomic-embed-text</x:v>
      </x:c>
      <x:c r="K137" s="34" t="str">
        <x:v>gpu, gaming, 1440p, cuda, 12gb, efficient</x:v>
      </x:c>
      <x:c r="L137" s="34" t="str">
        <x:v>AIPC curated knowledge base</x:v>
      </x:c>
      <x:c r="M137" s="34" t="str"/>
      <x:c r="N137" s="35" t="str">
        <x:v>The RTX 4070 Super is efficient for high-quality 1440p gaming and supports CUDA, but its 12GB VRAM is less flexible for larger local AI workloads.</x:v>
      </x:c>
    </x:row>
    <x:row r="138">
      <x:c r="A138" s="33" t="str">
        <x:v>T08</x:v>
      </x:c>
      <x:c r="B138" s="34" t="n">
        <x:v>12</x:v>
      </x:c>
      <x:c r="C138" s="34" t="str">
        <x:v>case-north-airflow</x:v>
      </x:c>
      <x:c r="D138" s="34" t="str">
        <x:v>Fractal North balanced airflow</x:v>
      </x:c>
      <x:c r="E138" s="34" t="str">
        <x:v>case</x:v>
      </x:c>
      <x:c r="F138" s="80" t="n">
        <x:v>67</x:v>
      </x:c>
      <x:c r="G138" s="80" t="n">
        <x:v>0.621</x:v>
      </x:c>
      <x:c r="H138" s="34" t="str">
        <x:v>vector</x:v>
      </x:c>
      <x:c r="I138" s="34" t="str">
        <x:v>ollama</x:v>
      </x:c>
      <x:c r="J138" s="34" t="str">
        <x:v>nomic-embed-text</x:v>
      </x:c>
      <x:c r="K138" s="34" t="str">
        <x:v>case, atx, airflow, quiet, upgradeability</x:v>
      </x:c>
      <x:c r="L138" s="34" t="str">
        <x:v>AIPC curated knowledge base</x:v>
      </x:c>
      <x:c r="M138" s="34" t="str"/>
      <x:c r="N138" s="35" t="str">
        <x:v>The Fractal North supports full-size ATX components with 355mm GPU clearance and 170mm air-cooler clearance. It balances airflow, acoustics, and upgrade room.</x:v>
      </x:c>
    </x:row>
    <x:row r="139">
      <x:c r="A139" s="33" t="str">
        <x:v>T08</x:v>
      </x:c>
      <x:c r="B139" s="34" t="n">
        <x:v>13</x:v>
      </x:c>
      <x:c r="C139" s="34" t="str">
        <x:v>cpu-9950x3d-mixed</x:v>
      </x:c>
      <x:c r="D139" s="34" t="str">
        <x:v>Ryzen 9 9950X3D mixed gaming and creation profile</x:v>
      </x:c>
      <x:c r="E139" s="34" t="str">
        <x:v>cpu</x:v>
      </x:c>
      <x:c r="F139" s="80" t="n">
        <x:v>64</x:v>
      </x:c>
      <x:c r="G139" s="80" t="n">
        <x:v>0.615</x:v>
      </x:c>
      <x:c r="H139" s="34" t="str">
        <x:v>vector</x:v>
      </x:c>
      <x:c r="I139" s="34" t="str">
        <x:v>ollama</x:v>
      </x:c>
      <x:c r="J139" s="34" t="str">
        <x:v>nomic-embed-text</x:v>
      </x:c>
      <x:c r="K139" s="34" t="str">
        <x:v>cpu, amd, am5, zen5, 16-core, gaming, creator, enthusiast</x:v>
      </x:c>
      <x:c r="L139" s="34" t="str">
        <x:v>AMD Ryzen desktop processor specifications</x:v>
      </x:c>
      <x:c r="M139" s="34" t="str">
        <x:v>https://www.amd.com/en/products/processors/desktops/ryzen.html</x:v>
      </x:c>
      <x:c r="N139" s="35" t="str">
        <x:v>Ryzen 9 9950X3D combines 16 Zen 5 cores with second-generation 3D V-Cache on AM5. It fits premium systems that need strong gaming latency and high multicore throughput, but it should not displace cheaper eight-core X3D options in gaming-only budgets.</x:v>
      </x:c>
    </x:row>
    <x:row r="140">
      <x:c r="A140" s="33" t="str">
        <x:v>T08</x:v>
      </x:c>
      <x:c r="B140" s="34" t="n">
        <x:v>14</x:v>
      </x:c>
      <x:c r="C140" s="34" t="str">
        <x:v>cooling-tdp</x:v>
      </x:c>
      <x:c r="D140" s="34" t="str">
        <x:v>Cooling capacity rule</x:v>
      </x:c>
      <x:c r="E140" s="34" t="str">
        <x:v>compatibility</x:v>
      </x:c>
      <x:c r="F140" s="80" t="n">
        <x:v>64</x:v>
      </x:c>
      <x:c r="G140" s="80" t="n">
        <x:v>0.613</x:v>
      </x:c>
      <x:c r="H140" s="34" t="str">
        <x:v>vector</x:v>
      </x:c>
      <x:c r="I140" s="34" t="str">
        <x:v>ollama</x:v>
      </x:c>
      <x:c r="J140" s="34" t="str">
        <x:v>nomic-embed-text</x:v>
      </x:c>
      <x:c r="K140" s="34" t="str">
        <x:v>cooler, tdp, quiet, compatibility</x:v>
      </x:c>
      <x:c r="L140" s="34" t="str">
        <x:v>AIPC curated knowledge base</x:v>
      </x:c>
      <x:c r="M140" s="34" t="str"/>
      <x:c r="N140" s="35" t="str">
        <x:v>A cooler's thermal rating must meet or exceed the CPU power rating. Quiet builds benefit from additional capacity because the cooler can dissipate heat at lower fan speed.</x:v>
      </x:c>
    </x:row>
    <x:row r="141">
      <x:c r="A141" s="33" t="str">
        <x:v>T08</x:v>
      </x:c>
      <x:c r="B141" s="34" t="n">
        <x:v>15</x:v>
      </x:c>
      <x:c r="C141" s="34" t="str">
        <x:v>storage-workstation</x:v>
      </x:c>
      <x:c r="D141" s="34" t="str">
        <x:v>NVMe capacity for workstation use</x:v>
      </x:c>
      <x:c r="E141" s="34" t="str">
        <x:v>workload</x:v>
      </x:c>
      <x:c r="F141" s="80" t="n">
        <x:v>63</x:v>
      </x:c>
      <x:c r="G141" s="80" t="n">
        <x:v>0.598</x:v>
      </x:c>
      <x:c r="H141" s="34" t="str">
        <x:v>vector</x:v>
      </x:c>
      <x:c r="I141" s="34" t="str">
        <x:v>ollama</x:v>
      </x:c>
      <x:c r="J141" s="34" t="str">
        <x:v>nomic-embed-text</x:v>
      </x:c>
      <x:c r="K141" s="34" t="str">
        <x:v>storage, nvme, development, video, 2tb</x:v>
      </x:c>
      <x:c r="L141" s="34" t="str">
        <x:v>AIPC curated knowledge base</x:v>
      </x:c>
      <x:c r="M141" s="34" t="str"/>
      <x:c r="N141" s="35" t="str">
        <x:v>Development and editing systems benefit from 2TB or more of fast NVMe storage for repositories, containers, caches, footage, and active projects.</x:v>
      </x:c>
    </x:row>
    <x:row r="142">
      <x:c r="A142" s="33" t="str">
        <x:v>T08</x:v>
      </x:c>
      <x:c r="B142" s="34" t="n">
        <x:v>16</x:v>
      </x:c>
      <x:c r="C142" s="34" t="str">
        <x:v>case-clearance</x:v>
      </x:c>
      <x:c r="D142" s="34" t="str">
        <x:v>Case clearance constraints</x:v>
      </x:c>
      <x:c r="E142" s="34" t="str">
        <x:v>compatibility</x:v>
      </x:c>
      <x:c r="F142" s="80" t="n">
        <x:v>63</x:v>
      </x:c>
      <x:c r="G142" s="80" t="n">
        <x:v>0.611</x:v>
      </x:c>
      <x:c r="H142" s="34" t="str">
        <x:v>vector</x:v>
      </x:c>
      <x:c r="I142" s="34" t="str">
        <x:v>ollama</x:v>
      </x:c>
      <x:c r="J142" s="34" t="str">
        <x:v>nomic-embed-text</x:v>
      </x:c>
      <x:c r="K142" s="34" t="str">
        <x:v>case, clearance, gpu-length, cooler-height, form-factor</x:v>
      </x:c>
      <x:c r="L142" s="34" t="str">
        <x:v>AIPC curated knowledge base</x:v>
      </x:c>
      <x:c r="M142" s="34" t="str"/>
      <x:c r="N142" s="35" t="str">
        <x:v>GPU length, air-cooler height, motherboard form factor, and PSU form factor are hard physical constraints. These values must be checked deterministically before a case is accepted.</x:v>
      </x:c>
    </x:row>
    <x:row r="143">
      <x:c r="A143" s="33" t="str">
        <x:v>T08</x:v>
      </x:c>
      <x:c r="B143" s="34" t="n">
        <x:v>17</x:v>
      </x:c>
      <x:c r="C143" s="34" t="str">
        <x:v>case-nr200-sff</x:v>
      </x:c>
      <x:c r="D143" s="34" t="str">
        <x:v>NR200P small-form-factor constraints</x:v>
      </x:c>
      <x:c r="E143" s="34" t="str">
        <x:v>case</x:v>
      </x:c>
      <x:c r="F143" s="80" t="n">
        <x:v>62</x:v>
      </x:c>
      <x:c r="G143" s="80" t="n">
        <x:v>0.603</x:v>
      </x:c>
      <x:c r="H143" s="34" t="str">
        <x:v>vector</x:v>
      </x:c>
      <x:c r="I143" s="34" t="str">
        <x:v>ollama</x:v>
      </x:c>
      <x:c r="J143" s="34" t="str">
        <x:v>nomic-embed-text</x:v>
      </x:c>
      <x:c r="K143" s="34" t="str">
        <x:v>case, sff, mini-itx, sfx, compact</x:v>
      </x:c>
      <x:c r="L143" s="34" t="str">
        <x:v>AIPC curated knowledge base</x:v>
      </x:c>
      <x:c r="M143" s="34" t="str"/>
      <x:c r="N143" s="35" t="str">
        <x:v>The NR200P is a Mini-ITX enclosure that requires an SFX power supply and limits tower cooler height. Compact builds require stricter part filtering and usually carry a price premium.</x:v>
      </x:c>
    </x:row>
    <x:row r="144">
      <x:c r="A144" s="33" t="str">
        <x:v>T08</x:v>
      </x:c>
      <x:c r="B144" s="34" t="n">
        <x:v>18</x:v>
      </x:c>
      <x:c r="C144" s="34" t="str">
        <x:v>case-sff-cooling-budget</x:v>
      </x:c>
      <x:c r="D144" s="34" t="str">
        <x:v>Small-form-factor cost and cooling trade-off</x:v>
      </x:c>
      <x:c r="E144" s="34" t="str">
        <x:v>planning</x:v>
      </x:c>
      <x:c r="F144" s="80" t="n">
        <x:v>61</x:v>
      </x:c>
      <x:c r="G144" s="80" t="n">
        <x:v>0.592</x:v>
      </x:c>
      <x:c r="H144" s="34" t="str">
        <x:v>vector</x:v>
      </x:c>
      <x:c r="I144" s="34" t="str">
        <x:v>ollama</x:v>
      </x:c>
      <x:c r="J144" s="34" t="str">
        <x:v>nomic-embed-text</x:v>
      </x:c>
      <x:c r="K144" s="34" t="str">
        <x:v>case, sff, mini-itx, sfx, cooling, clearance, trade-off</x:v>
      </x:c>
      <x:c r="L144" s="34" t="str">
        <x:v>Fractal Design Terra official specifications</x:v>
      </x:c>
      <x:c r="M144" s="34" t="str">
        <x:v>https://www.fractal-design.com/products/cases/terra/terra/</x:v>
      </x:c>
      <x:c r="N144" s="35" t="str">
        <x:v>Mini-ITX systems typically require a Mini-ITX motherboard and SFX power supply and may sharply limit air-cooler height and GPU dimensions. A compact request should trigger hard form-factor filtering and should expect higher component cost or reduced thermal headroom.</x:v>
      </x:c>
    </x:row>
    <x:row r="145">
      <x:c r="A145" s="33" t="str">
        <x:v>T09</x:v>
      </x:c>
      <x:c r="B145" s="34" t="n">
        <x:v>1</x:v>
      </x:c>
      <x:c r="C145" s="34" t="str">
        <x:v>gaming-1440p</x:v>
      </x:c>
      <x:c r="D145" s="34" t="str">
        <x:v>1440p gaming allocation</x:v>
      </x:c>
      <x:c r="E145" s="34" t="str">
        <x:v>workload</x:v>
      </x:c>
      <x:c r="F145" s="80" t="n">
        <x:v>80</x:v>
      </x:c>
      <x:c r="G145" s="80" t="n">
        <x:v>0.742</x:v>
      </x:c>
      <x:c r="H145" s="34" t="str">
        <x:v>vector</x:v>
      </x:c>
      <x:c r="I145" s="34" t="str">
        <x:v>ollama</x:v>
      </x:c>
      <x:c r="J145" s="34" t="str">
        <x:v>nomic-embed-text</x:v>
      </x:c>
      <x:c r="K145" s="34" t="str">
        <x:v>gaming, 1440p, gpu, value</x:v>
      </x:c>
      <x:c r="L145" s="34" t="str">
        <x:v>AIPC curated knowledge base</x:v>
      </x:c>
      <x:c r="M145" s="34" t="str"/>
      <x:c r="N145" s="35" t="str">
        <x:v>1440p gaming usually benefits from a GPU-first budget with a balanced modern CPU. It is the broadest value target for high-refresh PC gaming.</x:v>
      </x:c>
    </x:row>
    <x:row r="146">
      <x:c r="A146" s="33" t="str">
        <x:v>T09</x:v>
      </x:c>
      <x:c r="B146" s="34" t="n">
        <x:v>2</x:v>
      </x:c>
      <x:c r="C146" s="34" t="str">
        <x:v>gpu-7800xt-1440p</x:v>
      </x:c>
      <x:c r="D146" s="34" t="str">
        <x:v>RX 7800 XT 1440p value</x:v>
      </x:c>
      <x:c r="E146" s="34" t="str">
        <x:v>gpu</x:v>
      </x:c>
      <x:c r="F146" s="80" t="n">
        <x:v>80</x:v>
      </x:c>
      <x:c r="G146" s="80" t="n">
        <x:v>0.728</x:v>
      </x:c>
      <x:c r="H146" s="34" t="str">
        <x:v>vector</x:v>
      </x:c>
      <x:c r="I146" s="34" t="str">
        <x:v>ollama</x:v>
      </x:c>
      <x:c r="J146" s="34" t="str">
        <x:v>nomic-embed-text</x:v>
      </x:c>
      <x:c r="K146" s="34" t="str">
        <x:v>gpu, gaming, 1440p, amd, 16gb, value</x:v>
      </x:c>
      <x:c r="L146" s="34" t="str">
        <x:v>AIPC curated knowledge base</x:v>
      </x:c>
      <x:c r="M146" s="34" t="str"/>
      <x:c r="N146" s="35" t="str">
        <x:v>The RX 7800 XT is a strong value target for 1440p gaming with 16GB VRAM. It favors raster performance per dollar over CUDA ecosystem support.</x:v>
      </x:c>
    </x:row>
    <x:row r="147">
      <x:c r="A147" s="33" t="str">
        <x:v>T09</x:v>
      </x:c>
      <x:c r="B147" s="34" t="n">
        <x:v>3</x:v>
      </x:c>
      <x:c r="C147" s="34" t="str">
        <x:v>gaming-1080p</x:v>
      </x:c>
      <x:c r="D147" s="34" t="str">
        <x:v>1080p gaming allocation</x:v>
      </x:c>
      <x:c r="E147" s="34" t="str">
        <x:v>workload</x:v>
      </x:c>
      <x:c r="F147" s="80" t="n">
        <x:v>73</x:v>
      </x:c>
      <x:c r="G147" s="80" t="n">
        <x:v>0.687</x:v>
      </x:c>
      <x:c r="H147" s="34" t="str">
        <x:v>vector</x:v>
      </x:c>
      <x:c r="I147" s="34" t="str">
        <x:v>ollama</x:v>
      </x:c>
      <x:c r="J147" s="34" t="str">
        <x:v>nomic-embed-text</x:v>
      </x:c>
      <x:c r="K147" s="34" t="str">
        <x:v>gaming, 1080p, high-fps, cpu</x:v>
      </x:c>
      <x:c r="L147" s="34" t="str">
        <x:v>AIPC curated knowledge base</x:v>
      </x:c>
      <x:c r="M147" s="34" t="str"/>
      <x:c r="N147" s="35" t="str">
        <x:v>At 1080p and high refresh rates, CPU frame delivery matters more than at higher resolutions. GPU budget remains important, but extreme GPU spending can produce diminishing returns.</x:v>
      </x:c>
    </x:row>
    <x:row r="148">
      <x:c r="A148" s="33" t="str">
        <x:v>T09</x:v>
      </x:c>
      <x:c r="B148" s="34" t="n">
        <x:v>4</x:v>
      </x:c>
      <x:c r="C148" s="34" t="str">
        <x:v>gpu-rdna4-9070xt</x:v>
      </x:c>
      <x:c r="D148" s="34" t="str">
        <x:v>Radeon RX 9070 XT RDNA 4 profile</x:v>
      </x:c>
      <x:c r="E148" s="34" t="str">
        <x:v>gpu</x:v>
      </x:c>
      <x:c r="F148" s="80" t="n">
        <x:v>73</x:v>
      </x:c>
      <x:c r="G148" s="80" t="n">
        <x:v>0.682</x:v>
      </x:c>
      <x:c r="H148" s="34" t="str">
        <x:v>vector</x:v>
      </x:c>
      <x:c r="I148" s="34" t="str">
        <x:v>ollama</x:v>
      </x:c>
      <x:c r="J148" s="34" t="str">
        <x:v>nomic-embed-text</x:v>
      </x:c>
      <x:c r="K148" s="34" t="str">
        <x:v>gpu, amd, rdna4, 16gb, 4k, raster, fsr4</x:v>
      </x:c>
      <x:c r="L148" s="34" t="str">
        <x:v>AMD Radeon RX 9070 XT specifications</x:v>
      </x:c>
      <x:c r="M148" s="34" t="str">
        <x:v>https://www.amd.com/en/products/graphics/desktops/radeon/9000-series/amd-radeon-rx-9070xt.html</x:v>
      </x:c>
      <x:c r="N148" s="35" t="str">
        <x:v>The Radeon RX 9070 XT has 16GB GDDR6, a 304W typical board power rating, and a 750W minimum PSU recommendation from AMD. It is a strong raster and FSR-oriented 4K gaming option, but users requiring CUDA-first software should still prefer NVIDIA.</x:v>
      </x:c>
    </x:row>
    <x:row r="149">
      <x:c r="A149" s="33" t="str">
        <x:v>T09</x:v>
      </x:c>
      <x:c r="B149" s="34" t="n">
        <x:v>5</x:v>
      </x:c>
      <x:c r="C149" s="34" t="str">
        <x:v>gpu-7900xtx-raster</x:v>
      </x:c>
      <x:c r="D149" s="34" t="str">
        <x:v>RX 7900 XTX raster value</x:v>
      </x:c>
      <x:c r="E149" s="34" t="str">
        <x:v>gpu</x:v>
      </x:c>
      <x:c r="F149" s="80" t="n">
        <x:v>72</x:v>
      </x:c>
      <x:c r="G149" s="80" t="n">
        <x:v>0.675</x:v>
      </x:c>
      <x:c r="H149" s="34" t="str">
        <x:v>vector</x:v>
      </x:c>
      <x:c r="I149" s="34" t="str">
        <x:v>ollama</x:v>
      </x:c>
      <x:c r="J149" s="34" t="str">
        <x:v>nomic-embed-text</x:v>
      </x:c>
      <x:c r="K149" s="34" t="str">
        <x:v>gpu, gaming, 4k, amd, 24gb, value</x:v>
      </x:c>
      <x:c r="L149" s="34" t="str">
        <x:v>AIPC curated knowledge base</x:v>
      </x:c>
      <x:c r="M149" s="34" t="str"/>
      <x:c r="N149" s="35" t="str">
        <x:v>The RX 7900 XTX offers 24GB VRAM and excellent high-resolution raster performance. It is compelling for 4K gaming when CUDA compatibility is not required.</x:v>
      </x:c>
    </x:row>
    <x:row r="150">
      <x:c r="A150" s="33" t="str">
        <x:v>T09</x:v>
      </x:c>
      <x:c r="B150" s="34" t="n">
        <x:v>6</x:v>
      </x:c>
      <x:c r="C150" s="34" t="str">
        <x:v>cpu-9950x3d-mixed</x:v>
      </x:c>
      <x:c r="D150" s="34" t="str">
        <x:v>Ryzen 9 9950X3D mixed gaming and creation profile</x:v>
      </x:c>
      <x:c r="E150" s="34" t="str">
        <x:v>cpu</x:v>
      </x:c>
      <x:c r="F150" s="80" t="n">
        <x:v>70</x:v>
      </x:c>
      <x:c r="G150" s="80" t="n">
        <x:v>0.654</x:v>
      </x:c>
      <x:c r="H150" s="34" t="str">
        <x:v>vector</x:v>
      </x:c>
      <x:c r="I150" s="34" t="str">
        <x:v>ollama</x:v>
      </x:c>
      <x:c r="J150" s="34" t="str">
        <x:v>nomic-embed-text</x:v>
      </x:c>
      <x:c r="K150" s="34" t="str">
        <x:v>cpu, amd, am5, zen5, 16-core, gaming, creator, enthusiast</x:v>
      </x:c>
      <x:c r="L150" s="34" t="str">
        <x:v>AMD Ryzen desktop processor specifications</x:v>
      </x:c>
      <x:c r="M150" s="34" t="str">
        <x:v>https://www.amd.com/en/products/processors/desktops/ryzen.html</x:v>
      </x:c>
      <x:c r="N150" s="35" t="str">
        <x:v>Ryzen 9 9950X3D combines 16 Zen 5 cores with second-generation 3D V-Cache on AM5. It fits premium systems that need strong gaming latency and high multicore throughput, but it should not displace cheaper eight-core X3D options in gaming-only budgets.</x:v>
      </x:c>
    </x:row>
    <x:row r="151">
      <x:c r="A151" s="33" t="str">
        <x:v>T09</x:v>
      </x:c>
      <x:c r="B151" s="34" t="n">
        <x:v>7</x:v>
      </x:c>
      <x:c r="C151" s="34" t="str">
        <x:v>motherboard-z790-white</x:v>
      </x:c>
      <x:c r="D151" s="34" t="str">
        <x:v>White Z790 platform pairing</x:v>
      </x:c>
      <x:c r="E151" s="34" t="str">
        <x:v>motherboard</x:v>
      </x:c>
      <x:c r="F151" s="80" t="n">
        <x:v>70</x:v>
      </x:c>
      <x:c r="G151" s="80" t="n">
        <x:v>0.669</x:v>
      </x:c>
      <x:c r="H151" s="34" t="str">
        <x:v>vector</x:v>
      </x:c>
      <x:c r="I151" s="34" t="str">
        <x:v>ollama</x:v>
      </x:c>
      <x:c r="J151" s="34" t="str">
        <x:v>nomic-embed-text</x:v>
      </x:c>
      <x:c r="K151" s="34" t="str">
        <x:v>motherboard, intel, lga1700, z790, white, rgb</x:v>
      </x:c>
      <x:c r="L151" s="34" t="str">
        <x:v>AIPC curated knowledge base</x:v>
      </x:c>
      <x:c r="M151" s="34" t="str"/>
      <x:c r="N151" s="35" t="str">
        <x:v>A Z790 DDR5 motherboard is the appropriate enthusiast chipset pairing for an unlocked Intel LGA1700 CPU. White or silver heatsink variants can satisfy a light-color build without changing socket or memory compatibility.</x:v>
      </x:c>
    </x:row>
    <x:row r="152">
      <x:c r="A152" s="33" t="str">
        <x:v>T09</x:v>
      </x:c>
      <x:c r="B152" s="34" t="n">
        <x:v>8</x:v>
      </x:c>
      <x:c r="C152" s="34" t="str">
        <x:v>cpu-7800x3d-gaming</x:v>
      </x:c>
      <x:c r="D152" s="34" t="str">
        <x:v>Ryzen 7 7800X3D gaming profile</x:v>
      </x:c>
      <x:c r="E152" s="34" t="str">
        <x:v>cpu</x:v>
      </x:c>
      <x:c r="F152" s="80" t="n">
        <x:v>69</x:v>
      </x:c>
      <x:c r="G152" s="80" t="n">
        <x:v>0.655</x:v>
      </x:c>
      <x:c r="H152" s="34" t="str">
        <x:v>vector</x:v>
      </x:c>
      <x:c r="I152" s="34" t="str">
        <x:v>ollama</x:v>
      </x:c>
      <x:c r="J152" s="34" t="str">
        <x:v>nomic-embed-text</x:v>
      </x:c>
      <x:c r="K152" s="34" t="str">
        <x:v>cpu, gaming, am5, efficient</x:v>
      </x:c>
      <x:c r="L152" s="34" t="str">
        <x:v>AIPC curated knowledge base</x:v>
      </x:c>
      <x:c r="M152" s="34" t="str"/>
      <x:c r="N152" s="35" t="str">
        <x:v>The Ryzen 7 7800X3D remains a focused gaming option with lower platform power than many high-core-count alternatives. It is less compelling for heavily threaded workstation tasks.</x:v>
      </x:c>
    </x:row>
    <x:row r="153">
      <x:c r="A153" s="33" t="str">
        <x:v>T09</x:v>
      </x:c>
      <x:c r="B153" s="34" t="n">
        <x:v>9</x:v>
      </x:c>
      <x:c r="C153" s="34" t="str">
        <x:v>cpu-9800x3d-gaming</x:v>
      </x:c>
      <x:c r="D153" s="34" t="str">
        <x:v>Ryzen 7 9800X3D gaming focus</x:v>
      </x:c>
      <x:c r="E153" s="34" t="str">
        <x:v>cpu</x:v>
      </x:c>
      <x:c r="F153" s="80" t="n">
        <x:v>69</x:v>
      </x:c>
      <x:c r="G153" s="80" t="n">
        <x:v>0.642</x:v>
      </x:c>
      <x:c r="H153" s="34" t="str">
        <x:v>vector</x:v>
      </x:c>
      <x:c r="I153" s="34" t="str">
        <x:v>ollama</x:v>
      </x:c>
      <x:c r="J153" s="34" t="str">
        <x:v>nomic-embed-text</x:v>
      </x:c>
      <x:c r="K153" s="34" t="str">
        <x:v>cpu, gaming, high-fps, am5, enthusiast</x:v>
      </x:c>
      <x:c r="L153" s="34" t="str">
        <x:v>AIPC curated knowledge base</x:v>
      </x:c>
      <x:c r="M153" s="34" t="str"/>
      <x:c r="N153" s="35" t="str">
        <x:v>The Ryzen 7 9800X3D is an enthusiast gaming CPU. Its value is strongest in high-refresh gaming systems where the GPU is already well funded.</x:v>
      </x:c>
    </x:row>
    <x:row r="154">
      <x:c r="A154" s="33" t="str">
        <x:v>T09</x:v>
      </x:c>
      <x:c r="B154" s="34" t="n">
        <x:v>10</x:v>
      </x:c>
      <x:c r="C154" s="34" t="str">
        <x:v>cpu-9950x3d2-workstation</x:v>
      </x:c>
      <x:c r="D154" s="34" t="str">
        <x:v>Ryzen 9 9950X3D2 developer workstation profile</x:v>
      </x:c>
      <x:c r="E154" s="34" t="str">
        <x:v>cpu</x:v>
      </x:c>
      <x:c r="F154" s="80" t="n">
        <x:v>69</x:v>
      </x:c>
      <x:c r="G154" s="80" t="n">
        <x:v>0.641</x:v>
      </x:c>
      <x:c r="H154" s="34" t="str">
        <x:v>vector</x:v>
      </x:c>
      <x:c r="I154" s="34" t="str">
        <x:v>ollama</x:v>
      </x:c>
      <x:c r="J154" s="34" t="str">
        <x:v>nomic-embed-text</x:v>
      </x:c>
      <x:c r="K154" s="34" t="str">
        <x:v>cpu, amd, am5, zen5, 16-core, development, creator, enthusiast, high-power</x:v>
      </x:c>
      <x:c r="L154" s="34" t="str">
        <x:v>AMD Ryzen 9 9950X3D2 launch specifications</x:v>
      </x:c>
      <x:c r="M154" s="34" t="str">
        <x:v>https://www.amd.com/en/newsroom/press-releases/2026-4-22-amd-launches-ryzen-9-9950x3d2-dual-edition-processor.html</x:v>
      </x:c>
      <x:c r="N154" s="35" t="str">
        <x:v>Ryzen 9 9950X3D2 combines 16 cores, 32 threads, 208MB total cache, a 200W TDP, and an $899 SEP. It targets high-budget development, compilation, simulation, creation, and gaming systems where both cache capacity and core throughput matter.</x:v>
      </x:c>
    </x:row>
    <x:row r="155">
      <x:c r="A155" s="33" t="str">
        <x:v>T09</x:v>
      </x:c>
      <x:c r="B155" s="34" t="n">
        <x:v>11</x:v>
      </x:c>
      <x:c r="C155" s="34" t="str">
        <x:v>cooler-pa120</x:v>
      </x:c>
      <x:c r="D155" s="34" t="str">
        <x:v>Peerless Assassin value cooling</x:v>
      </x:c>
      <x:c r="E155" s="34" t="str">
        <x:v>cooler</x:v>
      </x:c>
      <x:c r="F155" s="80" t="n">
        <x:v>69</x:v>
      </x:c>
      <x:c r="G155" s="80" t="n">
        <x:v>0.663</x:v>
      </x:c>
      <x:c r="H155" s="34" t="str">
        <x:v>vector</x:v>
      </x:c>
      <x:c r="I155" s="34" t="str">
        <x:v>ollama</x:v>
      </x:c>
      <x:c r="J155" s="34" t="str">
        <x:v>nomic-embed-text</x:v>
      </x:c>
      <x:c r="K155" s="34" t="str">
        <x:v>cooler, air, value, quiet</x:v>
      </x:c>
      <x:c r="L155" s="34" t="str">
        <x:v>AIPC curated knowledge base</x:v>
      </x:c>
      <x:c r="M155" s="34" t="str"/>
      <x:c r="N155" s="35" t="str">
        <x:v>The Peerless Assassin 120 SE offers high air-cooling capacity at low cost. It is well suited to mainstream and many high-tier CPUs when case height allows it.</x:v>
      </x:c>
    </x:row>
    <x:row r="156">
      <x:c r="A156" s="33" t="str">
        <x:v>T09</x:v>
      </x:c>
      <x:c r="B156" s="34" t="n">
        <x:v>12</x:v>
      </x:c>
      <x:c r="C156" s="34" t="str">
        <x:v>case-north-airflow</x:v>
      </x:c>
      <x:c r="D156" s="34" t="str">
        <x:v>Fractal North balanced airflow</x:v>
      </x:c>
      <x:c r="E156" s="34" t="str">
        <x:v>case</x:v>
      </x:c>
      <x:c r="F156" s="80" t="n">
        <x:v>68</x:v>
      </x:c>
      <x:c r="G156" s="80" t="n">
        <x:v>0.637</x:v>
      </x:c>
      <x:c r="H156" s="34" t="str">
        <x:v>vector</x:v>
      </x:c>
      <x:c r="I156" s="34" t="str">
        <x:v>ollama</x:v>
      </x:c>
      <x:c r="J156" s="34" t="str">
        <x:v>nomic-embed-text</x:v>
      </x:c>
      <x:c r="K156" s="34" t="str">
        <x:v>case, atx, airflow, quiet, upgradeability</x:v>
      </x:c>
      <x:c r="L156" s="34" t="str">
        <x:v>AIPC curated knowledge base</x:v>
      </x:c>
      <x:c r="M156" s="34" t="str"/>
      <x:c r="N156" s="35" t="str">
        <x:v>The Fractal North supports full-size ATX components with 355mm GPU clearance and 170mm air-cooler clearance. It balances airflow, acoustics, and upgrade room.</x:v>
      </x:c>
    </x:row>
    <x:row r="157">
      <x:c r="A157" s="33" t="str">
        <x:v>T09</x:v>
      </x:c>
      <x:c r="B157" s="34" t="n">
        <x:v>13</x:v>
      </x:c>
      <x:c r="C157" s="34" t="str">
        <x:v>appearance-white-rgb</x:v>
      </x:c>
      <x:c r="D157" s="34" t="str">
        <x:v>Planning a white RGB build</x:v>
      </x:c>
      <x:c r="E157" s="34" t="str">
        <x:v>planning</x:v>
      </x:c>
      <x:c r="F157" s="80" t="n">
        <x:v>66</x:v>
      </x:c>
      <x:c r="G157" s="80" t="n">
        <x:v>0.616</x:v>
      </x:c>
      <x:c r="H157" s="34" t="str">
        <x:v>vector</x:v>
      </x:c>
      <x:c r="I157" s="34" t="str">
        <x:v>ollama</x:v>
      </x:c>
      <x:c r="J157" s="34" t="str">
        <x:v>nomic-embed-text</x:v>
      </x:c>
      <x:c r="K157" s="34" t="str">
        <x:v>planning, white, rgb, case, gpu, motherboard, ram, cooler</x:v>
      </x:c>
      <x:c r="L157" s="34" t="str">
        <x:v>AIPC curated knowledge base</x:v>
      </x:c>
      <x:c r="M157" s="34" t="str"/>
      <x:c r="N157" s="35" t="str">
        <x:v>A coherent white build should prioritize visible components such as the case, graphics card, motherboard heatsinks, memory, and cooler. RGB is an appearance preference and must never override socket, clearance, cooling, or PSU safety rules.</x:v>
      </x:c>
    </x:row>
    <x:row r="158">
      <x:c r="A158" s="33" t="str">
        <x:v>T09</x:v>
      </x:c>
      <x:c r="B158" s="34" t="n">
        <x:v>14</x:v>
      </x:c>
      <x:c r="C158" s="34" t="str">
        <x:v>case-dual-chamber-white</x:v>
      </x:c>
      <x:c r="D158" s="34" t="str">
        <x:v>White dual-chamber showcase case planning</x:v>
      </x:c>
      <x:c r="E158" s="34" t="str">
        <x:v>case</x:v>
      </x:c>
      <x:c r="F158" s="80" t="n">
        <x:v>66</x:v>
      </x:c>
      <x:c r="G158" s="80" t="n">
        <x:v>0.613</x:v>
      </x:c>
      <x:c r="H158" s="34" t="str">
        <x:v>vector</x:v>
      </x:c>
      <x:c r="I158" s="34" t="str">
        <x:v>ollama</x:v>
      </x:c>
      <x:c r="J158" s="34" t="str">
        <x:v>nomic-embed-text</x:v>
      </x:c>
      <x:c r="K158" s="34" t="str">
        <x:v>case, white, rgb, panoramic, dual-chamber, clearance, planning</x:v>
      </x:c>
      <x:c r="L158" s="34" t="str">
        <x:v>NZXT H9 Flow RGB official product specifications</x:v>
      </x:c>
      <x:c r="M158" s="34" t="str">
        <x:v>https://nzxt.com/products/h9-flow-rgb?variant=40595201032264</x:v>
      </x:c>
      <x:c r="N158" s="35" t="str">
        <x:v>A white dual-chamber case can provide panoramic presentation, cable separation, and extensive radiator support, but it is physically larger than a conventional mid-tower. Visible-component color matching should remain a preference layer after GPU length, cooler/radiator, motherboard, and PSU compatibility checks.</x:v>
      </x:c>
    </x:row>
    <x:row r="159">
      <x:c r="A159" s="33" t="str">
        <x:v>T09</x:v>
      </x:c>
      <x:c r="B159" s="34" t="n">
        <x:v>15</x:v>
      </x:c>
      <x:c r="C159" s="34" t="str">
        <x:v>gaming-4k</x:v>
      </x:c>
      <x:c r="D159" s="34" t="str">
        <x:v>4K gaming allocation</x:v>
      </x:c>
      <x:c r="E159" s="34" t="str">
        <x:v>workload</x:v>
      </x:c>
      <x:c r="F159" s="80" t="n">
        <x:v>65</x:v>
      </x:c>
      <x:c r="G159" s="80" t="n">
        <x:v>0.632</x:v>
      </x:c>
      <x:c r="H159" s="34" t="str">
        <x:v>vector</x:v>
      </x:c>
      <x:c r="I159" s="34" t="str">
        <x:v>ollama</x:v>
      </x:c>
      <x:c r="J159" s="34" t="str">
        <x:v>nomic-embed-text</x:v>
      </x:c>
      <x:c r="K159" s="34" t="str">
        <x:v>gaming, 4k, gpu, high-end</x:v>
      </x:c>
      <x:c r="L159" s="34" t="str">
        <x:v>AIPC curated knowledge base</x:v>
      </x:c>
      <x:c r="M159" s="34" t="str"/>
      <x:c r="N159" s="35" t="str">
        <x:v>At 4K the GPU is normally the primary performance constraint. Budget should favor the graphics card while retaining enough CPU, cooling, and PSU quality to avoid platform imbalance.</x:v>
      </x:c>
    </x:row>
    <x:row r="160">
      <x:c r="A160" s="33" t="str">
        <x:v>T09</x:v>
      </x:c>
      <x:c r="B160" s="34" t="n">
        <x:v>16</x:v>
      </x:c>
      <x:c r="C160" s="34" t="str">
        <x:v>storage-pcie5-thermal</x:v>
      </x:c>
      <x:c r="D160" s="34" t="str">
        <x:v>PCIe 5.0 SSD performance and thermal trade-off</x:v>
      </x:c>
      <x:c r="E160" s="34" t="str">
        <x:v>storage</x:v>
      </x:c>
      <x:c r="F160" s="80" t="n">
        <x:v>65</x:v>
      </x:c>
      <x:c r="G160" s="80" t="n">
        <x:v>0.622</x:v>
      </x:c>
      <x:c r="H160" s="34" t="str">
        <x:v>vector</x:v>
      </x:c>
      <x:c r="I160" s="34" t="str">
        <x:v>ollama</x:v>
      </x:c>
      <x:c r="J160" s="34" t="str">
        <x:v>nomic-embed-text</x:v>
      </x:c>
      <x:c r="K160" s="34" t="str">
        <x:v>storage, nvme, pcie5, thermal, creator, development, value</x:v>
      </x:c>
      <x:c r="L160" s="34" t="str">
        <x:v>Samsung 9100 Pro official specifications</x:v>
      </x:c>
      <x:c r="M160" s="34" t="str">
        <x:v>https://www.samsung.com/us/memory-storage/nvme-ssd/9100-pro-nvme-ssd-sku-mz-vap4t0b-am/</x:v>
      </x:c>
      <x:c r="N160"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161">
      <x:c r="A161" s="33" t="str">
        <x:v>T09</x:v>
      </x:c>
      <x:c r="B161" s="34" t="n">
        <x:v>17</x:v>
      </x:c>
      <x:c r="C161" s="34" t="str">
        <x:v>case-clearance</x:v>
      </x:c>
      <x:c r="D161" s="34" t="str">
        <x:v>Case clearance constraints</x:v>
      </x:c>
      <x:c r="E161" s="34" t="str">
        <x:v>compatibility</x:v>
      </x:c>
      <x:c r="F161" s="80" t="n">
        <x:v>63</x:v>
      </x:c>
      <x:c r="G161" s="80" t="n">
        <x:v>0.61</x:v>
      </x:c>
      <x:c r="H161" s="34" t="str">
        <x:v>vector</x:v>
      </x:c>
      <x:c r="I161" s="34" t="str">
        <x:v>ollama</x:v>
      </x:c>
      <x:c r="J161" s="34" t="str">
        <x:v>nomic-embed-text</x:v>
      </x:c>
      <x:c r="K161" s="34" t="str">
        <x:v>case, clearance, gpu-length, cooler-height, form-factor</x:v>
      </x:c>
      <x:c r="L161" s="34" t="str">
        <x:v>AIPC curated knowledge base</x:v>
      </x:c>
      <x:c r="M161" s="34" t="str"/>
      <x:c r="N161" s="35" t="str">
        <x:v>GPU length, air-cooler height, motherboard form factor, and PSU form factor are hard physical constraints. These values must be checked deterministically before a case is accepted.</x:v>
      </x:c>
    </x:row>
    <x:row r="162">
      <x:c r="A162" s="33" t="str">
        <x:v>T09</x:v>
      </x:c>
      <x:c r="B162" s="34" t="n">
        <x:v>18</x:v>
      </x:c>
      <x:c r="C162" s="34" t="str">
        <x:v>psu-850</x:v>
      </x:c>
      <x:c r="D162" s="34" t="str">
        <x:v>850W Gold mainstream high-end fit</x:v>
      </x:c>
      <x:c r="E162" s="34" t="str">
        <x:v>psu</x:v>
      </x:c>
      <x:c r="F162" s="80" t="n">
        <x:v>62</x:v>
      </x:c>
      <x:c r="G162" s="80" t="n">
        <x:v>0.602</x:v>
      </x:c>
      <x:c r="H162" s="34" t="str">
        <x:v>vector</x:v>
      </x:c>
      <x:c r="I162" s="34" t="str">
        <x:v>ollama</x:v>
      </x:c>
      <x:c r="J162" s="34" t="str">
        <x:v>nomic-embed-text</x:v>
      </x:c>
      <x:c r="K162" s="34" t="str">
        <x:v>psu, 850w, gold, upgradeability</x:v>
      </x:c>
      <x:c r="L162" s="34" t="str">
        <x:v>AIPC curated knowledge base</x:v>
      </x:c>
      <x:c r="M162" s="34" t="str"/>
      <x:c r="N162" s="35" t="str">
        <x:v>An 850W Gold PSU is a common fit for high-end single-GPU systems when it satisfies the 1.35x power rule. It offers more upgrade margin than 750W without flagship PSU cost.</x:v>
      </x:c>
    </x:row>
    <x:row r="163">
      <x:c r="A163" s="33" t="str">
        <x:v>T10</x:v>
      </x:c>
      <x:c r="B163" s="34" t="n">
        <x:v>1</x:v>
      </x:c>
      <x:c r="C163" s="34" t="str">
        <x:v>gpu-5080-blackwell</x:v>
      </x:c>
      <x:c r="D163" s="34" t="str">
        <x:v>RTX 5080 4K and creator profile</x:v>
      </x:c>
      <x:c r="E163" s="34" t="str">
        <x:v>gpu</x:v>
      </x:c>
      <x:c r="F163" s="80" t="n">
        <x:v>75</x:v>
      </x:c>
      <x:c r="G163" s="80" t="n">
        <x:v>0.677</x:v>
      </x:c>
      <x:c r="H163" s="34" t="str">
        <x:v>vector</x:v>
      </x:c>
      <x:c r="I163" s="34" t="str">
        <x:v>ollama</x:v>
      </x:c>
      <x:c r="J163" s="34" t="str">
        <x:v>nomic-embed-text</x:v>
      </x:c>
      <x:c r="K163" s="34" t="str">
        <x:v>gpu, nvidia, cuda, blackwell, 16gb, 4k, creator</x:v>
      </x:c>
      <x:c r="L163" s="34" t="str">
        <x:v>NVIDIA GeForce RTX 5080 specifications</x:v>
      </x:c>
      <x:c r="M163" s="34" t="str">
        <x:v>https://www.nvidia.com/en-us/geforce/graphics-cards/50-series/rtx-5080/</x:v>
      </x:c>
      <x:c r="N163" s="35" t="str">
        <x:v>The GeForce RTX 5080 reference design combines 16GB GDDR7, CUDA support, a 360W total graphics power rating, and Blackwell media/AI features. It is a high-end 4K and creator option below the RTX 5090, but 16GB VRAM is a meaningful limit for larger local AI models.</x:v>
      </x:c>
    </x:row>
    <x:row r="164">
      <x:c r="A164" s="33" t="str">
        <x:v>T10</x:v>
      </x:c>
      <x:c r="B164" s="34" t="n">
        <x:v>2</x:v>
      </x:c>
      <x:c r="C164" s="34" t="str">
        <x:v>cpu-9950x3d2-workstation</x:v>
      </x:c>
      <x:c r="D164" s="34" t="str">
        <x:v>Ryzen 9 9950X3D2 developer workstation profile</x:v>
      </x:c>
      <x:c r="E164" s="34" t="str">
        <x:v>cpu</x:v>
      </x:c>
      <x:c r="F164" s="80" t="n">
        <x:v>70</x:v>
      </x:c>
      <x:c r="G164" s="80" t="n">
        <x:v>0.639</x:v>
      </x:c>
      <x:c r="H164" s="34" t="str">
        <x:v>vector</x:v>
      </x:c>
      <x:c r="I164" s="34" t="str">
        <x:v>ollama</x:v>
      </x:c>
      <x:c r="J164" s="34" t="str">
        <x:v>nomic-embed-text</x:v>
      </x:c>
      <x:c r="K164" s="34" t="str">
        <x:v>cpu, amd, am5, zen5, 16-core, development, creator, enthusiast, high-power</x:v>
      </x:c>
      <x:c r="L164" s="34" t="str">
        <x:v>AMD Ryzen 9 9950X3D2 launch specifications</x:v>
      </x:c>
      <x:c r="M164" s="34" t="str">
        <x:v>https://www.amd.com/en/newsroom/press-releases/2026-4-22-amd-launches-ryzen-9-9950x3d2-dual-edition-processor.html</x:v>
      </x:c>
      <x:c r="N164" s="35" t="str">
        <x:v>Ryzen 9 9950X3D2 combines 16 cores, 32 threads, 208MB total cache, a 200W TDP, and an $899 SEP. It targets high-budget development, compilation, simulation, creation, and gaming systems where both cache capacity and core throughput matter.</x:v>
      </x:c>
    </x:row>
    <x:row r="165">
      <x:c r="A165" s="33" t="str">
        <x:v>T10</x:v>
      </x:c>
      <x:c r="B165" s="34" t="n">
        <x:v>3</x:v>
      </x:c>
      <x:c r="C165" s="34" t="str">
        <x:v>gaming-4k</x:v>
      </x:c>
      <x:c r="D165" s="34" t="str">
        <x:v>4K gaming allocation</x:v>
      </x:c>
      <x:c r="E165" s="34" t="str">
        <x:v>workload</x:v>
      </x:c>
      <x:c r="F165" s="80" t="n">
        <x:v>69</x:v>
      </x:c>
      <x:c r="G165" s="80" t="n">
        <x:v>0.663</x:v>
      </x:c>
      <x:c r="H165" s="34" t="str">
        <x:v>vector</x:v>
      </x:c>
      <x:c r="I165" s="34" t="str">
        <x:v>ollama</x:v>
      </x:c>
      <x:c r="J165" s="34" t="str">
        <x:v>nomic-embed-text</x:v>
      </x:c>
      <x:c r="K165" s="34" t="str">
        <x:v>gaming, 4k, gpu, high-end</x:v>
      </x:c>
      <x:c r="L165" s="34" t="str">
        <x:v>AIPC curated knowledge base</x:v>
      </x:c>
      <x:c r="M165" s="34" t="str"/>
      <x:c r="N165" s="35" t="str">
        <x:v>At 4K the GPU is normally the primary performance constraint. Budget should favor the graphics card while retaining enough CPU, cooling, and PSU quality to avoid platform imbalance.</x:v>
      </x:c>
    </x:row>
    <x:row r="166">
      <x:c r="A166" s="33" t="str">
        <x:v>T10</x:v>
      </x:c>
      <x:c r="B166" s="34" t="n">
        <x:v>4</x:v>
      </x:c>
      <x:c r="C166" s="34" t="str">
        <x:v>gpu-5070ti-blackwell</x:v>
      </x:c>
      <x:c r="D166" s="34" t="str">
        <x:v>RTX 5070 Ti balanced high-end profile</x:v>
      </x:c>
      <x:c r="E166" s="34" t="str">
        <x:v>gpu</x:v>
      </x:c>
      <x:c r="F166" s="80" t="n">
        <x:v>69</x:v>
      </x:c>
      <x:c r="G166" s="80" t="n">
        <x:v>0.642</x:v>
      </x:c>
      <x:c r="H166" s="34" t="str">
        <x:v>vector</x:v>
      </x:c>
      <x:c r="I166" s="34" t="str">
        <x:v>ollama</x:v>
      </x:c>
      <x:c r="J166" s="34" t="str">
        <x:v>nomic-embed-text</x:v>
      </x:c>
      <x:c r="K166" s="34" t="str">
        <x:v>gpu, nvidia, cuda, blackwell, 16gb, 1440p, 4k, balanced</x:v>
      </x:c>
      <x:c r="L166" s="34" t="str">
        <x:v>NVIDIA GeForce RTX 5070 family specifications</x:v>
      </x:c>
      <x:c r="M166" s="34" t="str">
        <x:v>https://www.nvidia.com/en-us/geforce/graphics-cards/50-series/rtx-5070-family/</x:v>
      </x:c>
      <x:c r="N166" s="35" t="str">
        <x:v>The GeForce RTX 5070 Ti provides 16GB GDDR7 and CUDA at a 300W reference power target. It is positioned for high-refresh 1440p, entry 4K, creator acceleration, and moderate local AI workloads without flagship cost.</x:v>
      </x:c>
    </x:row>
    <x:row r="167">
      <x:c r="A167" s="33" t="str">
        <x:v>T10</x:v>
      </x:c>
      <x:c r="B167" s="34" t="n">
        <x:v>5</x:v>
      </x:c>
      <x:c r="C167" s="34" t="str">
        <x:v>cpu-7900x-workstation</x:v>
      </x:c>
      <x:c r="D167" s="34" t="str">
        <x:v>Ryzen 9 7900X workstation profile</x:v>
      </x:c>
      <x:c r="E167" s="34" t="str">
        <x:v>cpu</x:v>
      </x:c>
      <x:c r="F167" s="80" t="n">
        <x:v>68</x:v>
      </x:c>
      <x:c r="G167" s="80" t="n">
        <x:v>0.639</x:v>
      </x:c>
      <x:c r="H167" s="34" t="str">
        <x:v>vector</x:v>
      </x:c>
      <x:c r="I167" s="34" t="str">
        <x:v>ollama</x:v>
      </x:c>
      <x:c r="J167" s="34" t="str">
        <x:v>nomic-embed-text</x:v>
      </x:c>
      <x:c r="K167" s="34" t="str">
        <x:v>cpu, development, video, productivity, am5, 12-core</x:v>
      </x:c>
      <x:c r="L167" s="34" t="str">
        <x:v>AIPC curated knowledge base</x:v>
      </x:c>
      <x:c r="M167" s="34" t="str"/>
      <x:c r="N167" s="35" t="str">
        <x:v>Twelve cores and strong productivity performance make the Ryzen 9 7900X suitable for compilation, rendering, containers, and mixed workstation use. It requires stronger cooling than 65W parts.</x:v>
      </x:c>
    </x:row>
    <x:row r="168">
      <x:c r="A168" s="33" t="str">
        <x:v>T10</x:v>
      </x:c>
      <x:c r="B168" s="34" t="n">
        <x:v>6</x:v>
      </x:c>
      <x:c r="C168" s="34" t="str">
        <x:v>gaming-4k-240</x:v>
      </x:c>
      <x:c r="D168" s="34" t="str">
        <x:v>4K 240Hz target trade-off</x:v>
      </x:c>
      <x:c r="E168" s="34" t="str">
        <x:v>workload</x:v>
      </x:c>
      <x:c r="F168" s="80" t="n">
        <x:v>68</x:v>
      </x:c>
      <x:c r="G168" s="80" t="n">
        <x:v>0.634</x:v>
      </x:c>
      <x:c r="H168" s="34" t="str">
        <x:v>vector</x:v>
      </x:c>
      <x:c r="I168" s="34" t="str">
        <x:v>ollama</x:v>
      </x:c>
      <x:c r="J168" s="34" t="str">
        <x:v>nomic-embed-text</x:v>
      </x:c>
      <x:c r="K168" s="34" t="str">
        <x:v>gaming, 4k, 240fps, high-fps, gpu, trade-off</x:v>
      </x:c>
      <x:c r="L168" s="34" t="str">
        <x:v>AIPC curated knowledge base</x:v>
      </x:c>
      <x:c r="M168" s="34" t="str"/>
      <x:c r="N168" s="35" t="str">
        <x:v>A 4K 240Hz target is exceptionally demanding and depends heavily on the game, settings, and upscaling. The recommendation should maximize GPU headroom without claiming that every title will sustain 240 FPS.</x:v>
      </x:c>
    </x:row>
    <x:row r="169">
      <x:c r="A169" s="33" t="str">
        <x:v>T10</x:v>
      </x:c>
      <x:c r="B169" s="34" t="n">
        <x:v>7</x:v>
      </x:c>
      <x:c r="C169" s="34" t="str">
        <x:v>gpu-4070tis-balanced</x:v>
      </x:c>
      <x:c r="D169" s="34" t="str">
        <x:v>RTX 4070 Ti Super balanced profile</x:v>
      </x:c>
      <x:c r="E169" s="34" t="str">
        <x:v>gpu</x:v>
      </x:c>
      <x:c r="F169" s="80" t="n">
        <x:v>68</x:v>
      </x:c>
      <x:c r="G169" s="80" t="n">
        <x:v>0.647</x:v>
      </x:c>
      <x:c r="H169" s="34" t="str">
        <x:v>vector</x:v>
      </x:c>
      <x:c r="I169" s="34" t="str">
        <x:v>ollama</x:v>
      </x:c>
      <x:c r="J169" s="34" t="str">
        <x:v>nomic-embed-text</x:v>
      </x:c>
      <x:c r="K169" s="34" t="str">
        <x:v>gpu, gaming, ai, cuda, 16gb, balanced</x:v>
      </x:c>
      <x:c r="L169" s="34" t="str">
        <x:v>AIPC curated knowledge base</x:v>
      </x:c>
      <x:c r="M169" s="34" t="str"/>
      <x:c r="N169" s="35" t="str">
        <x:v>The RTX 4070 Ti Super provides 16GB VRAM and strong 1440p to 4K capability at lower power and cost than flagship GPUs. It is a balanced choice for mixed gaming, creative, and CUDA work.</x:v>
      </x:c>
    </x:row>
    <x:row r="170">
      <x:c r="A170" s="33" t="str">
        <x:v>T10</x:v>
      </x:c>
      <x:c r="B170" s="34" t="n">
        <x:v>8</x:v>
      </x:c>
      <x:c r="C170" s="34" t="str">
        <x:v>gpu-4070s-gaming</x:v>
      </x:c>
      <x:c r="D170" s="34" t="str">
        <x:v>RTX 4070 Super gaming profile</x:v>
      </x:c>
      <x:c r="E170" s="34" t="str">
        <x:v>gpu</x:v>
      </x:c>
      <x:c r="F170" s="80" t="n">
        <x:v>67</x:v>
      </x:c>
      <x:c r="G170" s="80" t="n">
        <x:v>0.64</x:v>
      </x:c>
      <x:c r="H170" s="34" t="str">
        <x:v>vector</x:v>
      </x:c>
      <x:c r="I170" s="34" t="str">
        <x:v>ollama</x:v>
      </x:c>
      <x:c r="J170" s="34" t="str">
        <x:v>nomic-embed-text</x:v>
      </x:c>
      <x:c r="K170" s="34" t="str">
        <x:v>gpu, gaming, 1440p, cuda, 12gb, efficient</x:v>
      </x:c>
      <x:c r="L170" s="34" t="str">
        <x:v>AIPC curated knowledge base</x:v>
      </x:c>
      <x:c r="M170" s="34" t="str"/>
      <x:c r="N170" s="35" t="str">
        <x:v>The RTX 4070 Super is efficient for high-quality 1440p gaming and supports CUDA, but its 12GB VRAM is less flexible for larger local AI workloads.</x:v>
      </x:c>
    </x:row>
    <x:row r="171">
      <x:c r="A171" s="33" t="str">
        <x:v>T10</x:v>
      </x:c>
      <x:c r="B171" s="34" t="n">
        <x:v>9</x:v>
      </x:c>
      <x:c r="C171" s="34" t="str">
        <x:v>storage-pcie5-thermal</x:v>
      </x:c>
      <x:c r="D171" s="34" t="str">
        <x:v>PCIe 5.0 SSD performance and thermal trade-off</x:v>
      </x:c>
      <x:c r="E171" s="34" t="str">
        <x:v>storage</x:v>
      </x:c>
      <x:c r="F171" s="80" t="n">
        <x:v>66</x:v>
      </x:c>
      <x:c r="G171" s="80" t="n">
        <x:v>0.612</x:v>
      </x:c>
      <x:c r="H171" s="34" t="str">
        <x:v>vector</x:v>
      </x:c>
      <x:c r="I171" s="34" t="str">
        <x:v>ollama</x:v>
      </x:c>
      <x:c r="J171" s="34" t="str">
        <x:v>nomic-embed-text</x:v>
      </x:c>
      <x:c r="K171" s="34" t="str">
        <x:v>storage, nvme, pcie5, thermal, creator, development, value</x:v>
      </x:c>
      <x:c r="L171" s="34" t="str">
        <x:v>Samsung 9100 Pro official specifications</x:v>
      </x:c>
      <x:c r="M171" s="34" t="str">
        <x:v>https://www.samsung.com/us/memory-storage/nvme-ssd/9100-pro-nvme-ssd-sku-mz-vap4t0b-am/</x:v>
      </x:c>
      <x:c r="N171"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172">
      <x:c r="A172" s="33" t="str">
        <x:v>T10</x:v>
      </x:c>
      <x:c r="B172" s="34" t="n">
        <x:v>10</x:v>
      </x:c>
      <x:c r="C172" s="34" t="str">
        <x:v>cpu-9950x3d-mixed</x:v>
      </x:c>
      <x:c r="D172" s="34" t="str">
        <x:v>Ryzen 9 9950X3D mixed gaming and creation profile</x:v>
      </x:c>
      <x:c r="E172" s="34" t="str">
        <x:v>cpu</x:v>
      </x:c>
      <x:c r="F172" s="80" t="n">
        <x:v>65</x:v>
      </x:c>
      <x:c r="G172" s="80" t="n">
        <x:v>0.62</x:v>
      </x:c>
      <x:c r="H172" s="34" t="str">
        <x:v>vector</x:v>
      </x:c>
      <x:c r="I172" s="34" t="str">
        <x:v>ollama</x:v>
      </x:c>
      <x:c r="J172" s="34" t="str">
        <x:v>nomic-embed-text</x:v>
      </x:c>
      <x:c r="K172" s="34" t="str">
        <x:v>cpu, amd, am5, zen5, 16-core, gaming, creator, enthusiast</x:v>
      </x:c>
      <x:c r="L172" s="34" t="str">
        <x:v>AMD Ryzen desktop processor specifications</x:v>
      </x:c>
      <x:c r="M172" s="34" t="str">
        <x:v>https://www.amd.com/en/products/processors/desktops/ryzen.html</x:v>
      </x:c>
      <x:c r="N172" s="35" t="str">
        <x:v>Ryzen 9 9950X3D combines 16 Zen 5 cores with second-generation 3D V-Cache on AM5. It fits premium systems that need strong gaming latency and high multicore throughput, but it should not displace cheaper eight-core X3D options in gaming-only budgets.</x:v>
      </x:c>
    </x:row>
    <x:row r="173">
      <x:c r="A173" s="33" t="str">
        <x:v>T10</x:v>
      </x:c>
      <x:c r="B173" s="34" t="n">
        <x:v>11</x:v>
      </x:c>
      <x:c r="C173" s="34" t="str">
        <x:v>cpu-7700-balanced</x:v>
      </x:c>
      <x:c r="D173" s="34" t="str">
        <x:v>Ryzen 7 7700 balanced profile</x:v>
      </x:c>
      <x:c r="E173" s="34" t="str">
        <x:v>cpu</x:v>
      </x:c>
      <x:c r="F173" s="80" t="n">
        <x:v>65</x:v>
      </x:c>
      <x:c r="G173" s="80" t="n">
        <x:v>0.602</x:v>
      </x:c>
      <x:c r="H173" s="34" t="str">
        <x:v>vector</x:v>
      </x:c>
      <x:c r="I173" s="34" t="str">
        <x:v>ollama</x:v>
      </x:c>
      <x:c r="J173" s="34" t="str">
        <x:v>nomic-embed-text</x:v>
      </x:c>
      <x:c r="K173" s="34" t="str">
        <x:v>cpu, development, balanced, quiet, efficient, am5</x:v>
      </x:c>
      <x:c r="L173" s="34" t="str">
        <x:v>AIPC curated knowledge base</x:v>
      </x:c>
      <x:c r="M173" s="34" t="str"/>
      <x:c r="N173" s="35" t="str">
        <x:v>The Ryzen 7 7700 combines eight cores with a 65W rating. It is a quiet, efficient foundation for development and balanced builds with a useful AM5 upgrade path.</x:v>
      </x:c>
    </x:row>
    <x:row r="174">
      <x:c r="A174" s="33" t="str">
        <x:v>T10</x:v>
      </x:c>
      <x:c r="B174" s="34" t="n">
        <x:v>12</x:v>
      </x:c>
      <x:c r="C174" s="34" t="str">
        <x:v>ram-64</x:v>
      </x:c>
      <x:c r="D174" s="34" t="str">
        <x:v>64GB DDR5 workload fit</x:v>
      </x:c>
      <x:c r="E174" s="34" t="str">
        <x:v>ram</x:v>
      </x:c>
      <x:c r="F174" s="80" t="n">
        <x:v>64</x:v>
      </x:c>
      <x:c r="G174" s="80" t="n">
        <x:v>0.606</x:v>
      </x:c>
      <x:c r="H174" s="34" t="str">
        <x:v>vector</x:v>
      </x:c>
      <x:c r="I174" s="34" t="str">
        <x:v>ollama</x:v>
      </x:c>
      <x:c r="J174" s="34" t="str">
        <x:v>nomic-embed-text</x:v>
      </x:c>
      <x:c r="K174" s="34" t="str">
        <x:v>ram, 64gb, ddr5, workstation</x:v>
      </x:c>
      <x:c r="L174" s="34" t="str">
        <x:v>AIPC curated knowledge base</x:v>
      </x:c>
      <x:c r="M174" s="34" t="str"/>
      <x:c r="N174" s="35" t="str">
        <x:v>A 64GB DDR5 kit is the default workstation capacity for local AI, development, and video editing when the budget allows.</x:v>
      </x:c>
    </x:row>
    <x:row r="175">
      <x:c r="A175" s="33" t="str">
        <x:v>T10</x:v>
      </x:c>
      <x:c r="B175" s="34" t="n">
        <x:v>13</x:v>
      </x:c>
      <x:c r="C175" s="34" t="str">
        <x:v>storage-workstation</x:v>
      </x:c>
      <x:c r="D175" s="34" t="str">
        <x:v>NVMe capacity for workstation use</x:v>
      </x:c>
      <x:c r="E175" s="34" t="str">
        <x:v>workload</x:v>
      </x:c>
      <x:c r="F175" s="80" t="n">
        <x:v>64</x:v>
      </x:c>
      <x:c r="G175" s="80" t="n">
        <x:v>0.607</x:v>
      </x:c>
      <x:c r="H175" s="34" t="str">
        <x:v>vector</x:v>
      </x:c>
      <x:c r="I175" s="34" t="str">
        <x:v>ollama</x:v>
      </x:c>
      <x:c r="J175" s="34" t="str">
        <x:v>nomic-embed-text</x:v>
      </x:c>
      <x:c r="K175" s="34" t="str">
        <x:v>storage, nvme, development, video, 2tb</x:v>
      </x:c>
      <x:c r="L175" s="34" t="str">
        <x:v>AIPC curated knowledge base</x:v>
      </x:c>
      <x:c r="M175" s="34" t="str"/>
      <x:c r="N175" s="35" t="str">
        <x:v>Development and editing systems benefit from 2TB or more of fast NVMe storage for repositories, containers, caches, footage, and active projects.</x:v>
      </x:c>
    </x:row>
    <x:row r="176">
      <x:c r="A176" s="33" t="str">
        <x:v>T10</x:v>
      </x:c>
      <x:c r="B176" s="34" t="n">
        <x:v>14</x:v>
      </x:c>
      <x:c r="C176" s="34" t="str">
        <x:v>ram-capacity-dev</x:v>
      </x:c>
      <x:c r="D176" s="34" t="str">
        <x:v>Memory capacity for development</x:v>
      </x:c>
      <x:c r="E176" s="34" t="str">
        <x:v>workload</x:v>
      </x:c>
      <x:c r="F176" s="80" t="n">
        <x:v>63</x:v>
      </x:c>
      <x:c r="G176" s="80" t="n">
        <x:v>0.604</x:v>
      </x:c>
      <x:c r="H176" s="34" t="str">
        <x:v>vector</x:v>
      </x:c>
      <x:c r="I176" s="34" t="str">
        <x:v>ollama</x:v>
      </x:c>
      <x:c r="J176" s="34" t="str">
        <x:v>nomic-embed-text</x:v>
      </x:c>
      <x:c r="K176" s="34" t="str">
        <x:v>ram, development, docker, containers, 64gb</x:v>
      </x:c>
      <x:c r="L176" s="34" t="str">
        <x:v>AIPC curated knowledge base</x:v>
      </x:c>
      <x:c r="M176" s="34" t="str"/>
      <x:c r="N176" s="35" t="str">
        <x:v>Docker, local databases, IDEs, browsers, and emulators compete for memory. 32GB is a practical baseline; 64GB provides meaningful headroom for heavier container and mobile build workflows.</x:v>
      </x:c>
    </x:row>
    <x:row r="177">
      <x:c r="A177" s="38" t="str">
        <x:v>T10</x:v>
      </x:c>
      <x:c r="B177" s="39" t="n">
        <x:v>15</x:v>
      </x:c>
      <x:c r="C177" s="39" t="str">
        <x:v>gpu-5090-flagship</x:v>
      </x:c>
      <x:c r="D177" s="39" t="str">
        <x:v>RTX 5090 flagship profile</x:v>
      </x:c>
      <x:c r="E177" s="39" t="str">
        <x:v>gpu</x:v>
      </x:c>
      <x:c r="F177" s="81" t="n">
        <x:v>61</x:v>
      </x:c>
      <x:c r="G177" s="81" t="n">
        <x:v>0.578</x:v>
      </x:c>
      <x:c r="H177" s="39" t="str">
        <x:v>vector</x:v>
      </x:c>
      <x:c r="I177" s="39" t="str">
        <x:v>ollama</x:v>
      </x:c>
      <x:c r="J177" s="39" t="str">
        <x:v>nomic-embed-text</x:v>
      </x:c>
      <x:c r="K177" s="39" t="str">
        <x:v>gpu, gaming, 4k, ai, cuda, 32gb, enthusiast, blackwell</x:v>
      </x:c>
      <x:c r="L177" s="39" t="str">
        <x:v>AIPC curated knowledge base</x:v>
      </x:c>
      <x:c r="M177" s="39" t="str"/>
      <x:c r="N177" s="40" t="str">
        <x:v>The RTX 5090 combines 32GB GDDR7 with CUDA support and a 575W total graphics power rating. It requires an enthusiast budget, a compatible case, and at least a 1000W system power plan.</x:v>
      </x:c>
    </x:row>
  </x:sheetData>
  <x:mergeCells>
    <x:mergeCell ref="A1:N1"/>
    <x:mergeCell ref="A2:N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8" hidden="0" customWidth="1"/>
    <x:col min="4" max="4" width="17" hidden="0" customWidth="1"/>
    <x:col min="5" max="5" width="15" hidden="0" customWidth="1"/>
    <x:col min="6" max="6" width="15" hidden="0" customWidth="1"/>
    <x:col min="7" max="7" width="15" hidden="0" customWidth="1"/>
    <x:col min="8" max="8" width="15" hidden="0" customWidth="1"/>
    <x:col min="9" max="9" width="52" hidden="0" customWidth="1"/>
    <x:col min="10" max="10" width="52" hidden="0" customWidth="1"/>
    <x:col min="11" max="11" width="52" hidden="0" customWidth="1"/>
    <x:col min="12" max="12" width="62" hidden="0" customWidth="1"/>
    <x:col min="13" max="13" width="62" hidden="0" customWidth="1"/>
  </x:cols>
  <x:sheetData>
    <x:row r="1" ht="38" customHeight="1">
      <x:c r="A1" s="3" t="str">
        <x:v>Seeded Parts Catalog</x:v>
      </x:c>
      <x:c r="B1" s="3"/>
      <x:c r="C1" s="3"/>
      <x:c r="D1" s="3"/>
      <x:c r="E1" s="3"/>
      <x:c r="F1" s="3"/>
      <x:c r="G1" s="3"/>
      <x:c r="H1" s="3"/>
      <x:c r="I1" s="3"/>
      <x:c r="J1" s="3"/>
      <x:c r="K1" s="3"/>
      <x:c r="L1" s="3"/>
      <x:c r="M1" s="3"/>
    </x:row>
    <x:row r="2" ht="22" customHeight="1">
      <x:c r="A2" s="6" t="str">
        <x:v>Reference prices are not live inventory quotes; each newly researched part carries source metadata where available</x:v>
      </x:c>
      <x:c r="B2" s="6"/>
      <x:c r="C2" s="6"/>
      <x:c r="D2" s="6"/>
      <x:c r="E2" s="6"/>
      <x:c r="F2" s="6"/>
      <x:c r="G2" s="6"/>
      <x:c r="H2" s="6"/>
      <x:c r="I2" s="6"/>
      <x:c r="J2" s="6"/>
      <x:c r="K2" s="6"/>
      <x:c r="L2" s="6"/>
      <x:c r="M2" s="6"/>
    </x:row>
    <x:row r="5" ht="28" customHeight="1">
      <x:c r="A5" s="30" t="str">
        <x:v>Category</x:v>
      </x:c>
      <x:c r="B5" s="31" t="str">
        <x:v>Part ID</x:v>
      </x:c>
      <x:c r="C5" s="31" t="str">
        <x:v>Name</x:v>
      </x:c>
      <x:c r="D5" s="31" t="str">
        <x:v>Brand</x:v>
      </x:c>
      <x:c r="E5" s="31" t="str">
        <x:v>Reference price</x:v>
      </x:c>
      <x:c r="F5" s="31" t="str">
        <x:v>Currency</x:v>
      </x:c>
      <x:c r="G5" s="31" t="str">
        <x:v>Price kind</x:v>
      </x:c>
      <x:c r="H5" s="31" t="str">
        <x:v>Price as of</x:v>
      </x:c>
      <x:c r="I5" s="31" t="str">
        <x:v>Key specifications</x:v>
      </x:c>
      <x:c r="J5" s="31" t="str">
        <x:v>Tags</x:v>
      </x:c>
      <x:c r="K5" s="31" t="str">
        <x:v>Summary</x:v>
      </x:c>
      <x:c r="L5" s="31" t="str">
        <x:v>Specification source</x:v>
      </x:c>
      <x:c r="M5" s="32" t="str">
        <x:v>Price source</x:v>
      </x:c>
    </x:row>
    <x:row r="6">
      <x:c r="A6" s="33" t="str">
        <x:v>cpu</x:v>
      </x:c>
      <x:c r="B6" s="34" t="str">
        <x:v>cpu-r5-7600</x:v>
      </x:c>
      <x:c r="C6" s="34" t="str">
        <x:v>Ryzen 5 7600</x:v>
      </x:c>
      <x:c r="D6" s="34" t="str">
        <x:v>AMD</x:v>
      </x:c>
      <x:c r="E6" s="82" t="n">
        <x:v>229</x:v>
      </x:c>
      <x:c r="F6" s="34" t="str">
        <x:v>USD</x:v>
      </x:c>
      <x:c r="G6" s="34" t="str">
        <x:v>reference</x:v>
      </x:c>
      <x:c r="H6" s="34" t="str">
        <x:v>baseline seed</x:v>
      </x:c>
      <x:c r="I6" s="34" t="str">
        <x:v>socket=AM5; cores=6; threads=12; tdpWatts=65; gamingScore=78; productivityScore=68; tier=mid</x:v>
      </x:c>
      <x:c r="J6" s="34" t="str">
        <x:v>AM5, mid</x:v>
      </x:c>
      <x:c r="K6" s="34" t="str">
        <x:v>6-core AM5 desktop processor.</x:v>
      </x:c>
      <x:c r="L6" s="34" t="str"/>
      <x:c r="M6" s="35" t="str"/>
    </x:row>
    <x:row r="7">
      <x:c r="A7" s="33" t="str">
        <x:v>cpu</x:v>
      </x:c>
      <x:c r="B7" s="34" t="str">
        <x:v>cpu-r7-7700</x:v>
      </x:c>
      <x:c r="C7" s="34" t="str">
        <x:v>Ryzen 7 7700</x:v>
      </x:c>
      <x:c r="D7" s="34" t="str">
        <x:v>AMD</x:v>
      </x:c>
      <x:c r="E7" s="82" t="n">
        <x:v>319</x:v>
      </x:c>
      <x:c r="F7" s="34" t="str">
        <x:v>USD</x:v>
      </x:c>
      <x:c r="G7" s="34" t="str">
        <x:v>reference</x:v>
      </x:c>
      <x:c r="H7" s="34" t="str">
        <x:v>baseline seed</x:v>
      </x:c>
      <x:c r="I7" s="34" t="str">
        <x:v>socket=AM5; cores=8; threads=16; tdpWatts=65; gamingScore=84; productivityScore=79; tier=mid</x:v>
      </x:c>
      <x:c r="J7" s="34" t="str">
        <x:v>AM5, mid</x:v>
      </x:c>
      <x:c r="K7" s="34" t="str">
        <x:v>8-core AM5 desktop processor.</x:v>
      </x:c>
      <x:c r="L7" s="34" t="str"/>
      <x:c r="M7" s="35" t="str"/>
    </x:row>
    <x:row r="8">
      <x:c r="A8" s="33" t="str">
        <x:v>cpu</x:v>
      </x:c>
      <x:c r="B8" s="34" t="str">
        <x:v>cpu-r7-7800x3d</x:v>
      </x:c>
      <x:c r="C8" s="34" t="str">
        <x:v>Ryzen 7 7800X3D</x:v>
      </x:c>
      <x:c r="D8" s="34" t="str">
        <x:v>AMD</x:v>
      </x:c>
      <x:c r="E8" s="82" t="n">
        <x:v>419</x:v>
      </x:c>
      <x:c r="F8" s="34" t="str">
        <x:v>USD</x:v>
      </x:c>
      <x:c r="G8" s="34" t="str">
        <x:v>reference</x:v>
      </x:c>
      <x:c r="H8" s="34" t="str">
        <x:v>baseline seed</x:v>
      </x:c>
      <x:c r="I8" s="34" t="str">
        <x:v>socket=AM5; cores=8; threads=16; tdpWatts=120; gamingScore=96; productivityScore=82; tier=high</x:v>
      </x:c>
      <x:c r="J8" s="34" t="str">
        <x:v>AM5, high</x:v>
      </x:c>
      <x:c r="K8" s="34" t="str">
        <x:v>8-core AM5 desktop processor.</x:v>
      </x:c>
      <x:c r="L8" s="34" t="str"/>
      <x:c r="M8" s="35" t="str"/>
    </x:row>
    <x:row r="9">
      <x:c r="A9" s="33" t="str">
        <x:v>cpu</x:v>
      </x:c>
      <x:c r="B9" s="34" t="str">
        <x:v>cpu-r7-9800x3d</x:v>
      </x:c>
      <x:c r="C9" s="34" t="str">
        <x:v>Ryzen 7 9800X3D</x:v>
      </x:c>
      <x:c r="D9" s="34" t="str">
        <x:v>AMD</x:v>
      </x:c>
      <x:c r="E9" s="82" t="n">
        <x:v>479</x:v>
      </x:c>
      <x:c r="F9" s="34" t="str">
        <x:v>USD</x:v>
      </x:c>
      <x:c r="G9" s="34" t="str">
        <x:v>reference</x:v>
      </x:c>
      <x:c r="H9" s="34" t="str">
        <x:v>baseline seed</x:v>
      </x:c>
      <x:c r="I9" s="34" t="str">
        <x:v>socket=AM5; cores=8; threads=16; tdpWatts=120; gamingScore=100; productivityScore=91; tier=enthusiast</x:v>
      </x:c>
      <x:c r="J9" s="34" t="str">
        <x:v>AM5, enthusiast</x:v>
      </x:c>
      <x:c r="K9" s="34" t="str">
        <x:v>8-core AM5 desktop processor.</x:v>
      </x:c>
      <x:c r="L9" s="34" t="str"/>
      <x:c r="M9" s="35" t="str"/>
    </x:row>
    <x:row r="10">
      <x:c r="A10" s="33" t="str">
        <x:v>cpu</x:v>
      </x:c>
      <x:c r="B10" s="34" t="str">
        <x:v>cpu-r9-7900x</x:v>
      </x:c>
      <x:c r="C10" s="34" t="str">
        <x:v>Ryzen 9 7900X</x:v>
      </x:c>
      <x:c r="D10" s="34" t="str">
        <x:v>AMD</x:v>
      </x:c>
      <x:c r="E10" s="82" t="n">
        <x:v>409</x:v>
      </x:c>
      <x:c r="F10" s="34" t="str">
        <x:v>USD</x:v>
      </x:c>
      <x:c r="G10" s="34" t="str">
        <x:v>reference</x:v>
      </x:c>
      <x:c r="H10" s="34" t="str">
        <x:v>baseline seed</x:v>
      </x:c>
      <x:c r="I10" s="34" t="str">
        <x:v>socket=AM5; cores=12; threads=24; tdpWatts=170; gamingScore=89; productivityScore=96; tier=enthusiast</x:v>
      </x:c>
      <x:c r="J10" s="34" t="str">
        <x:v>AM5, enthusiast</x:v>
      </x:c>
      <x:c r="K10" s="34" t="str">
        <x:v>12-core AM5 desktop processor.</x:v>
      </x:c>
      <x:c r="L10" s="34" t="str"/>
      <x:c r="M10" s="35" t="str"/>
    </x:row>
    <x:row r="11">
      <x:c r="A11" s="33" t="str">
        <x:v>cpu</x:v>
      </x:c>
      <x:c r="B11" s="34" t="str">
        <x:v>cpu-i5-14600k</x:v>
      </x:c>
      <x:c r="C11" s="34" t="str">
        <x:v>Core i5-14600K</x:v>
      </x:c>
      <x:c r="D11" s="34" t="str">
        <x:v>Intel</x:v>
      </x:c>
      <x:c r="E11" s="82" t="n">
        <x:v>299</x:v>
      </x:c>
      <x:c r="F11" s="34" t="str">
        <x:v>USD</x:v>
      </x:c>
      <x:c r="G11" s="34" t="str">
        <x:v>reference</x:v>
      </x:c>
      <x:c r="H11" s="34" t="str">
        <x:v>baseline seed</x:v>
      </x:c>
      <x:c r="I11" s="34" t="str">
        <x:v>socket=LGA1700; cores=14; threads=20; tdpWatts=181; gamingScore=86; productivityScore=88; tier=high</x:v>
      </x:c>
      <x:c r="J11" s="34" t="str">
        <x:v>LGA1700, high</x:v>
      </x:c>
      <x:c r="K11" s="34" t="str">
        <x:v>14-core LGA1700 desktop processor.</x:v>
      </x:c>
      <x:c r="L11" s="34" t="str"/>
      <x:c r="M11" s="35" t="str"/>
    </x:row>
    <x:row r="12">
      <x:c r="A12" s="33" t="str">
        <x:v>cpu</x:v>
      </x:c>
      <x:c r="B12" s="34" t="str">
        <x:v>cpu-i7-14700k</x:v>
      </x:c>
      <x:c r="C12" s="34" t="str">
        <x:v>Core i7-14700K</x:v>
      </x:c>
      <x:c r="D12" s="34" t="str">
        <x:v>Intel</x:v>
      </x:c>
      <x:c r="E12" s="82" t="n">
        <x:v>399</x:v>
      </x:c>
      <x:c r="F12" s="34" t="str">
        <x:v>USD</x:v>
      </x:c>
      <x:c r="G12" s="34" t="str">
        <x:v>reference</x:v>
      </x:c>
      <x:c r="H12" s="34" t="str">
        <x:v>baseline seed</x:v>
      </x:c>
      <x:c r="I12" s="34" t="str">
        <x:v>socket=LGA1700; cores=20; threads=28; tdpWatts=253; gamingScore=91; productivityScore=98; tier=enthusiast</x:v>
      </x:c>
      <x:c r="J12" s="34" t="str">
        <x:v>LGA1700, enthusiast</x:v>
      </x:c>
      <x:c r="K12" s="34" t="str">
        <x:v>20-core LGA1700 desktop processor.</x:v>
      </x:c>
      <x:c r="L12" s="34" t="str"/>
      <x:c r="M12" s="35" t="str"/>
    </x:row>
    <x:row r="13">
      <x:c r="A13" s="33" t="str">
        <x:v>cpu</x:v>
      </x:c>
      <x:c r="B13" s="34" t="str">
        <x:v>cpu-r7-9700x</x:v>
      </x:c>
      <x:c r="C13" s="34" t="str">
        <x:v>Ryzen 7 9700X</x:v>
      </x:c>
      <x:c r="D13" s="34" t="str">
        <x:v>AMD</x:v>
      </x:c>
      <x:c r="E13" s="82" t="n">
        <x:v>359</x:v>
      </x:c>
      <x:c r="F13" s="34" t="str">
        <x:v>USD</x:v>
      </x:c>
      <x:c r="G13" s="34" t="str">
        <x:v>msrp</x:v>
      </x:c>
      <x:c r="H13" s="34" t="str">
        <x:v>2026-06-28</x:v>
      </x:c>
      <x:c r="I13" s="34" t="str">
        <x:v>baseClockGHz=3.8; boostClockGHz=5.5; socket=AM5; cores=8; threads=16; tdpWatts=65; gamingScore=91; productivityScore=89; tier=high</x:v>
      </x:c>
      <x:c r="J13" s="34" t="str">
        <x:v>AM5, high</x:v>
      </x:c>
      <x:c r="K13" s="34" t="str">
        <x:v>8-core AM5 desktop processor.</x:v>
      </x:c>
      <x:c r="L13" s="34" t="str">
        <x:v>https://www.amd.com/en/products/processors/desktops/ryzen/9000-series/amd-ryzen-7-9700x.html</x:v>
      </x:c>
      <x:c r="M13" s="35" t="str">
        <x:v>https://www.amd.com/en/newsroom/press-releases/2024-8-7-amd-ryzen-9000-series-processors-are-ready-to-del.html</x:v>
      </x:c>
    </x:row>
    <x:row r="14">
      <x:c r="A14" s="33" t="str">
        <x:v>cpu</x:v>
      </x:c>
      <x:c r="B14" s="34" t="str">
        <x:v>cpu-r9-9900x3d</x:v>
      </x:c>
      <x:c r="C14" s="34" t="str">
        <x:v>Ryzen 9 9900X3D</x:v>
      </x:c>
      <x:c r="D14" s="34" t="str">
        <x:v>AMD</x:v>
      </x:c>
      <x:c r="E14" s="82" t="n">
        <x:v>599</x:v>
      </x:c>
      <x:c r="F14" s="34" t="str">
        <x:v>USD</x:v>
      </x:c>
      <x:c r="G14" s="34" t="str">
        <x:v>msrp</x:v>
      </x:c>
      <x:c r="H14" s="34" t="str">
        <x:v>2026-06-28</x:v>
      </x:c>
      <x:c r="I14" s="34" t="str">
        <x:v>baseClockGHz=4.4; boostClockGHz=5.5; socket=AM5; cores=12; threads=24; tdpWatts=120; gamingScore=99; productivityScore=98; tier=enthusiast</x:v>
      </x:c>
      <x:c r="J14" s="34" t="str">
        <x:v>AM5, enthusiast</x:v>
      </x:c>
      <x:c r="K14" s="34" t="str">
        <x:v>12-core AM5 desktop processor.</x:v>
      </x:c>
      <x:c r="L14" s="34" t="str">
        <x:v>https://www.amd.com/en/products/processors/desktops/ryzen/9000-series/amd-ryzen-9-9900x3d.html</x:v>
      </x:c>
      <x:c r="M14" s="35" t="str">
        <x:v>https://www.amd.com/en/products/processors/desktops/ryzen/9000-series/amd-ryzen-9-9900x3d.html</x:v>
      </x:c>
    </x:row>
    <x:row r="15">
      <x:c r="A15" s="33" t="str">
        <x:v>cpu</x:v>
      </x:c>
      <x:c r="B15" s="34" t="str">
        <x:v>cpu-r9-9950x3d</x:v>
      </x:c>
      <x:c r="C15" s="34" t="str">
        <x:v>Ryzen 9 9950X3D</x:v>
      </x:c>
      <x:c r="D15" s="34" t="str">
        <x:v>AMD</x:v>
      </x:c>
      <x:c r="E15" s="82" t="n">
        <x:v>699</x:v>
      </x:c>
      <x:c r="F15" s="34" t="str">
        <x:v>USD</x:v>
      </x:c>
      <x:c r="G15" s="34" t="str">
        <x:v>msrp</x:v>
      </x:c>
      <x:c r="H15" s="34" t="str">
        <x:v>2026-06-28</x:v>
      </x:c>
      <x:c r="I15" s="34" t="str">
        <x:v>baseClockGHz=4.3; boostClockGHz=5.7; socket=AM5; cores=16; threads=32; tdpWatts=170; gamingScore=99; productivityScore=100; tier=enthusiast</x:v>
      </x:c>
      <x:c r="J15" s="34" t="str">
        <x:v>AM5, enthusiast</x:v>
      </x:c>
      <x:c r="K15" s="34" t="str">
        <x:v>16-core AM5 desktop processor.</x:v>
      </x:c>
      <x:c r="L15" s="34" t="str">
        <x:v>https://www.amd.com/en/products/processors/desktops/ryzen/9000-series/amd-ryzen-9-9950x3d.html</x:v>
      </x:c>
      <x:c r="M15" s="35" t="str">
        <x:v>https://www.amd.com/en/products/processors/desktops/ryzen/9000-series/amd-ryzen-9-9950x3d.html</x:v>
      </x:c>
    </x:row>
    <x:row r="16">
      <x:c r="A16" s="33" t="str">
        <x:v>cpu</x:v>
      </x:c>
      <x:c r="B16" s="34" t="str">
        <x:v>cpu-r9-9950x3d2</x:v>
      </x:c>
      <x:c r="C16" s="34" t="str">
        <x:v>Ryzen 9 9950X3D2 Dual Edition</x:v>
      </x:c>
      <x:c r="D16" s="34" t="str">
        <x:v>AMD</x:v>
      </x:c>
      <x:c r="E16" s="82" t="n">
        <x:v>899</x:v>
      </x:c>
      <x:c r="F16" s="34" t="str">
        <x:v>USD</x:v>
      </x:c>
      <x:c r="G16" s="34" t="str">
        <x:v>msrp</x:v>
      </x:c>
      <x:c r="H16" s="34" t="str">
        <x:v>2026-06-28</x:v>
      </x:c>
      <x:c r="I16" s="34" t="str">
        <x:v>baseClockGHz=4.3; boostClockGHz=5.6; socket=AM5; cores=16; threads=32; tdpWatts=200; gamingScore=100; productivityScore=100; tier=enthusiast</x:v>
      </x:c>
      <x:c r="J16" s="34" t="str">
        <x:v>AM5, enthusiast</x:v>
      </x:c>
      <x:c r="K16" s="34" t="str">
        <x:v>16-core AM5 desktop processor.</x:v>
      </x:c>
      <x:c r="L16" s="34" t="str">
        <x:v>https://www.amd.com/en/newsroom/press-releases/2026-4-22-amd-launches-ryzen-9-9950x3d2-dual-edition-processor.html</x:v>
      </x:c>
      <x:c r="M16" s="35" t="str">
        <x:v>https://www.amd.com/en/newsroom/press-releases/2026-4-22-amd-launches-ryzen-9-9950x3d2-dual-edition-processor.html</x:v>
      </x:c>
    </x:row>
    <x:row r="17">
      <x:c r="A17" s="33" t="str">
        <x:v>cpu</x:v>
      </x:c>
      <x:c r="B17" s="34" t="str">
        <x:v>cpu-ultra5-245k</x:v>
      </x:c>
      <x:c r="C17" s="34" t="str">
        <x:v>Core Ultra 5 245K</x:v>
      </x:c>
      <x:c r="D17" s="34" t="str">
        <x:v>Intel</x:v>
      </x:c>
      <x:c r="E17" s="82" t="n">
        <x:v>309</x:v>
      </x:c>
      <x:c r="F17" s="34" t="str">
        <x:v>USD</x:v>
      </x:c>
      <x:c r="G17" s="34" t="str">
        <x:v>msrp</x:v>
      </x:c>
      <x:c r="H17" s="34" t="str">
        <x:v>2026-06-28</x:v>
      </x:c>
      <x:c r="I17" s="34" t="str">
        <x:v>baseClockGHz=4.2; boostClockGHz=5.2; socket=LGA1851; cores=14; threads=14; tdpWatts=159; gamingScore=84; productivityScore=88; tier=high</x:v>
      </x:c>
      <x:c r="J17" s="34" t="str">
        <x:v>LGA1851, high</x:v>
      </x:c>
      <x:c r="K17" s="34" t="str">
        <x:v>14-core LGA1851 desktop processor.</x:v>
      </x:c>
      <x:c r="L17" s="34" t="str">
        <x:v>https://www.intel.com/content/www/us/en/products/sku/241067/intel-core-ultra-5-processor-245k-24m-cache-up-to-5-20-ghz/specifications.html</x:v>
      </x:c>
      <x:c r="M17" s="35" t="str">
        <x:v>https://www.intel.com/content/www/us/en/products/sku/241067/intel-core-ultra-5-processor-245k-24m-cache-up-to-5-20-ghz/specifications.html</x:v>
      </x:c>
    </x:row>
    <x:row r="18">
      <x:c r="A18" s="33" t="str">
        <x:v>cpu</x:v>
      </x:c>
      <x:c r="B18" s="34" t="str">
        <x:v>cpu-ultra7-265k</x:v>
      </x:c>
      <x:c r="C18" s="34" t="str">
        <x:v>Core Ultra 7 265K</x:v>
      </x:c>
      <x:c r="D18" s="34" t="str">
        <x:v>Intel</x:v>
      </x:c>
      <x:c r="E18" s="82" t="n">
        <x:v>404</x:v>
      </x:c>
      <x:c r="F18" s="34" t="str">
        <x:v>USD</x:v>
      </x:c>
      <x:c r="G18" s="34" t="str">
        <x:v>msrp</x:v>
      </x:c>
      <x:c r="H18" s="34" t="str">
        <x:v>2026-06-28</x:v>
      </x:c>
      <x:c r="I18" s="34" t="str">
        <x:v>baseClockGHz=3.9; boostClockGHz=5.5; socket=LGA1851; cores=20; threads=20; tdpWatts=250; gamingScore=89; productivityScore=97; tier=enthusiast</x:v>
      </x:c>
      <x:c r="J18" s="34" t="str">
        <x:v>LGA1851, enthusiast</x:v>
      </x:c>
      <x:c r="K18" s="34" t="str">
        <x:v>20-core LGA1851 desktop processor.</x:v>
      </x:c>
      <x:c r="L18" s="34" t="str">
        <x:v>https://www.intel.com/content/www/us/en/products/sku/241063/intel-core-ultra-7-processor-265k-30m-cache-up-to-5-50-ghz/specifications.html</x:v>
      </x:c>
      <x:c r="M18" s="35" t="str">
        <x:v>https://www.intel.com/content/www/us/en/products/sku/241063/intel-core-ultra-7-processor-265k-30m-cache-up-to-5-50-ghz/specifications.html</x:v>
      </x:c>
    </x:row>
    <x:row r="19">
      <x:c r="A19" s="33" t="str">
        <x:v>cpu</x:v>
      </x:c>
      <x:c r="B19" s="34" t="str">
        <x:v>cpu-ultra9-285k</x:v>
      </x:c>
      <x:c r="C19" s="34" t="str">
        <x:v>Core Ultra 9 285K</x:v>
      </x:c>
      <x:c r="D19" s="34" t="str">
        <x:v>Intel</x:v>
      </x:c>
      <x:c r="E19" s="82" t="n">
        <x:v>589</x:v>
      </x:c>
      <x:c r="F19" s="34" t="str">
        <x:v>USD</x:v>
      </x:c>
      <x:c r="G19" s="34" t="str">
        <x:v>msrp</x:v>
      </x:c>
      <x:c r="H19" s="34" t="str">
        <x:v>2026-06-28</x:v>
      </x:c>
      <x:c r="I19" s="34" t="str">
        <x:v>baseClockGHz=3.7; boostClockGHz=5.7; socket=LGA1851; cores=24; threads=24; tdpWatts=250; gamingScore=91; productivityScore=100; tier=enthusiast</x:v>
      </x:c>
      <x:c r="J19" s="34" t="str">
        <x:v>LGA1851, enthusiast</x:v>
      </x:c>
      <x:c r="K19" s="34" t="str">
        <x:v>24-core LGA1851 desktop processor.</x:v>
      </x:c>
      <x:c r="L19" s="34" t="str">
        <x:v>https://www.intel.com/content/www/us/en/products/sku/241060/intel-core-ultra-9-processor-285k-36m-cache-up-to-5-70-ghz/specifications.html</x:v>
      </x:c>
      <x:c r="M19" s="35" t="str">
        <x:v>https://www.intel.com/content/www/us/en/products/sku/241060/intel-core-ultra-9-processor-285k-36m-cache-up-to-5-70-ghz/specifications.html</x:v>
      </x:c>
    </x:row>
    <x:row r="20">
      <x:c r="A20" s="33" t="str">
        <x:v>cpu</x:v>
      </x:c>
      <x:c r="B20" s="34" t="str">
        <x:v>hf-cpu-244375</x:v>
      </x:c>
      <x:c r="C20" s="34" t="str">
        <x:v>AMD Ryzen 5 3600</x:v>
      </x:c>
      <x:c r="D20" s="34" t="str">
        <x:v>AMD</x:v>
      </x:c>
      <x:c r="E20" s="82" t="n">
        <x:v>171.02</x:v>
      </x:c>
      <x:c r="F20" s="34" t="str">
        <x:v>USD</x:v>
      </x:c>
      <x:c r="G20" s="34" t="str">
        <x:v>reference</x:v>
      </x:c>
      <x:c r="H20" s="34" t="str">
        <x:v>2026-06-28</x:v>
      </x:c>
      <x:c r="I20" s="34" t="str">
        <x:v>socket=AM4; cores=6; threads=12; baseClockGHz=3.6; boostClockGHz=4.2; tdpWatts=65; gamingScore=86; productivityScore=61; tier=mid</x:v>
      </x:c>
      <x:c r="J20" s="34" t="str">
        <x:v>AM4, mid, dataset</x:v>
      </x:c>
      <x:c r="K20" s="34" t="str">
        <x:v>6-core desktop processor with source-linked specifications; thread count and relative scores are derived for ranking.</x:v>
      </x:c>
      <x:c r="L20" s="34" t="str">
        <x:v>https://fr.pcpartpicker.com/product/9nm323/amd-ryzen-5-3600-36-thz-6-core-processor-100-100000031box</x:v>
      </x:c>
      <x:c r="M20" s="35" t="str">
        <x:v>https://fr.pcpartpicker.com/product/9nm323/amd-ryzen-5-3600-36-thz-6-core-processor-100-100000031box</x:v>
      </x:c>
    </x:row>
    <x:row r="21">
      <x:c r="A21" s="33" t="str">
        <x:v>cpu</x:v>
      </x:c>
      <x:c r="B21" s="34" t="str">
        <x:v>hf-cpu-329297</x:v>
      </x:c>
      <x:c r="C21" s="34" t="str">
        <x:v>AMD Ryzen 5 5600X</x:v>
      </x:c>
      <x:c r="D21" s="34" t="str">
        <x:v>AMD</x:v>
      </x:c>
      <x:c r="E21" s="82" t="n">
        <x:v>183.56</x:v>
      </x:c>
      <x:c r="F21" s="34" t="str">
        <x:v>USD</x:v>
      </x:c>
      <x:c r="G21" s="34" t="str">
        <x:v>reference</x:v>
      </x:c>
      <x:c r="H21" s="34" t="str">
        <x:v>2026-06-28</x:v>
      </x:c>
      <x:c r="I21" s="34" t="str">
        <x:v>socket=AM4; cores=6; threads=12; baseClockGHz=3.7; boostClockGHz=4.6; tdpWatts=65; gamingScore=89; productivityScore=62; tier=mid</x:v>
      </x:c>
      <x:c r="J21" s="34" t="str">
        <x:v>AM4, mid, dataset</x:v>
      </x:c>
      <x:c r="K21" s="34" t="str">
        <x:v>6-core desktop processor with source-linked specifications; thread count and relative scores are derived for ranking.</x:v>
      </x:c>
      <x:c r="L21" s="34" t="str">
        <x:v>https://fr.pcpartpicker.com/product/g94BD3/amd-ryzen-5-5600x-37-ghz-6-core-processor-100-100000065box</x:v>
      </x:c>
      <x:c r="M21" s="35" t="str">
        <x:v>https://fr.pcpartpicker.com/product/g94BD3/amd-ryzen-5-5600x-37-ghz-6-core-processor-100-100000065box</x:v>
      </x:c>
    </x:row>
    <x:row r="22">
      <x:c r="A22" s="33" t="str">
        <x:v>cpu</x:v>
      </x:c>
      <x:c r="B22" s="34" t="str">
        <x:v>hf-cpu-244371</x:v>
      </x:c>
      <x:c r="C22" s="34" t="str">
        <x:v>AMD Ryzen 7 3700X</x:v>
      </x:c>
      <x:c r="D22" s="34" t="str">
        <x:v>AMD</x:v>
      </x:c>
      <x:c r="E22" s="82" t="n">
        <x:v>361.07</x:v>
      </x:c>
      <x:c r="F22" s="34" t="str">
        <x:v>USD</x:v>
      </x:c>
      <x:c r="G22" s="34" t="str">
        <x:v>reference</x:v>
      </x:c>
      <x:c r="H22" s="34" t="str">
        <x:v>2026-06-28</x:v>
      </x:c>
      <x:c r="I22" s="34" t="str">
        <x:v>socket=AM4; cores=8; threads=16; baseClockGHz=3.6; boostClockGHz=4.4; tdpWatts=65; gamingScore=90; productivityScore=68; tier=high</x:v>
      </x:c>
      <x:c r="J22" s="34" t="str">
        <x:v>AM4, high, dataset</x:v>
      </x:c>
      <x:c r="K22" s="34" t="str">
        <x:v>8-core desktop processor with source-linked specifications; thread count and relative scores are derived for ranking.</x:v>
      </x:c>
      <x:c r="L22" s="34" t="str">
        <x:v>https://fr.pcpartpicker.com/product/QKJtt6/amd-ryzen-7-3700x-36-ghz-8-core-processor-100-100000071box</x:v>
      </x:c>
      <x:c r="M22" s="35" t="str">
        <x:v>https://fr.pcpartpicker.com/product/QKJtt6/amd-ryzen-7-3700x-36-ghz-8-core-processor-100-100000071box</x:v>
      </x:c>
    </x:row>
    <x:row r="23">
      <x:c r="A23" s="33" t="str">
        <x:v>cpu</x:v>
      </x:c>
      <x:c r="B23" s="34" t="str">
        <x:v>hf-cpu-31476</x:v>
      </x:c>
      <x:c r="C23" s="34" t="str">
        <x:v>Intel Core i7-4790K</x:v>
      </x:c>
      <x:c r="D23" s="34" t="str">
        <x:v>Intel</x:v>
      </x:c>
      <x:c r="E23" s="82" t="n">
        <x:v>229.68</x:v>
      </x:c>
      <x:c r="F23" s="34" t="str">
        <x:v>USD</x:v>
      </x:c>
      <x:c r="G23" s="34" t="str">
        <x:v>reference</x:v>
      </x:c>
      <x:c r="H23" s="34" t="str">
        <x:v>2026-06-28</x:v>
      </x:c>
      <x:c r="I23" s="34" t="str">
        <x:v>socket=LGA1700; cores=4; threads=8; baseClockGHz=4; boostClockGHz=4.4; tdpWatts=88; gamingScore=85; productivityScore=55; tier=entry</x:v>
      </x:c>
      <x:c r="J23" s="34" t="str">
        <x:v>LGA1700, entry, dataset</x:v>
      </x:c>
      <x:c r="K23" s="34" t="str">
        <x:v>4-core desktop processor with source-linked specifications; thread count and relative scores are derived for ranking.</x:v>
      </x:c>
      <x:c r="L23" s="34" t="str">
        <x:v>https://fr.pcpartpicker.com/product/6vzv6h/intel-cpu-bx80646i74790k</x:v>
      </x:c>
      <x:c r="M23" s="35" t="str">
        <x:v>https://fr.pcpartpicker.com/product/6vzv6h/intel-cpu-bx80646i74790k</x:v>
      </x:c>
    </x:row>
    <x:row r="24">
      <x:c r="A24" s="33" t="str">
        <x:v>cpu</x:v>
      </x:c>
      <x:c r="B24" s="34" t="str">
        <x:v>hf-cpu-48283</x:v>
      </x:c>
      <x:c r="C24" s="34" t="str">
        <x:v>Intel Core i7-6700K</x:v>
      </x:c>
      <x:c r="D24" s="34" t="str">
        <x:v>Intel</x:v>
      </x:c>
      <x:c r="E24" s="82" t="n">
        <x:v>283.88</x:v>
      </x:c>
      <x:c r="F24" s="34" t="str">
        <x:v>USD</x:v>
      </x:c>
      <x:c r="G24" s="34" t="str">
        <x:v>reference</x:v>
      </x:c>
      <x:c r="H24" s="34" t="str">
        <x:v>2026-06-28</x:v>
      </x:c>
      <x:c r="I24" s="34" t="str">
        <x:v>socket=LGA1700; cores=4; threads=8; baseClockGHz=4; boostClockGHz=4.2; tdpWatts=91; gamingScore=83; productivityScore=54; tier=entry</x:v>
      </x:c>
      <x:c r="J24" s="34" t="str">
        <x:v>LGA1700, entry, dataset</x:v>
      </x:c>
      <x:c r="K24" s="34" t="str">
        <x:v>4-core desktop processor with source-linked specifications; thread count and relative scores are derived for ranking.</x:v>
      </x:c>
      <x:c r="L24" s="34" t="str">
        <x:v>https://fr.pcpartpicker.com/product/tdmxFT/intel-cpu-bx80662i76700k</x:v>
      </x:c>
      <x:c r="M24" s="35" t="str">
        <x:v>https://fr.pcpartpicker.com/product/tdmxFT/intel-cpu-bx80662i76700k</x:v>
      </x:c>
    </x:row>
    <x:row r="25">
      <x:c r="A25" s="33" t="str">
        <x:v>cpu</x:v>
      </x:c>
      <x:c r="B25" s="34" t="str">
        <x:v>hf-cpu-19510</x:v>
      </x:c>
      <x:c r="C25" s="34" t="str">
        <x:v>Intel Core i7-4770K</x:v>
      </x:c>
      <x:c r="D25" s="34" t="str">
        <x:v>Intel</x:v>
      </x:c>
      <x:c r="E25" s="82" t="n">
        <x:v>216.74</x:v>
      </x:c>
      <x:c r="F25" s="34" t="str">
        <x:v>USD</x:v>
      </x:c>
      <x:c r="G25" s="34" t="str">
        <x:v>reference</x:v>
      </x:c>
      <x:c r="H25" s="34" t="str">
        <x:v>2026-06-28</x:v>
      </x:c>
      <x:c r="I25" s="34" t="str">
        <x:v>socket=LGA1700; cores=4; threads=8; baseClockGHz=3.5; boostClockGHz=3.9; tdpWatts=84; gamingScore=80; productivityScore=53; tier=entry</x:v>
      </x:c>
      <x:c r="J25" s="34" t="str">
        <x:v>LGA1700, entry, dataset</x:v>
      </x:c>
      <x:c r="K25" s="34" t="str">
        <x:v>4-core desktop processor with source-linked specifications; thread count and relative scores are derived for ranking.</x:v>
      </x:c>
      <x:c r="L25" s="34" t="str">
        <x:v>https://fr.pcpartpicker.com/product/yT2kcf/intel-cpu-bx80646i74770k</x:v>
      </x:c>
      <x:c r="M25" s="35" t="str">
        <x:v>https://fr.pcpartpicker.com/product/yT2kcf/intel-cpu-bx80646i74770k</x:v>
      </x:c>
    </x:row>
    <x:row r="26">
      <x:c r="A26" s="33" t="str">
        <x:v>cpu</x:v>
      </x:c>
      <x:c r="B26" s="34" t="str">
        <x:v>hf-cpu-48284</x:v>
      </x:c>
      <x:c r="C26" s="34" t="str">
        <x:v>Intel Core i5-6600K</x:v>
      </x:c>
      <x:c r="D26" s="34" t="str">
        <x:v>Intel</x:v>
      </x:c>
      <x:c r="E26" s="82" t="n">
        <x:v>233.06</x:v>
      </x:c>
      <x:c r="F26" s="34" t="str">
        <x:v>USD</x:v>
      </x:c>
      <x:c r="G26" s="34" t="str">
        <x:v>reference</x:v>
      </x:c>
      <x:c r="H26" s="34" t="str">
        <x:v>2026-06-28</x:v>
      </x:c>
      <x:c r="I26" s="34" t="str">
        <x:v>socket=LGA1700; cores=4; threads=8; baseClockGHz=3.5; boostClockGHz=3.9; tdpWatts=91; gamingScore=80; productivityScore=53; tier=entry</x:v>
      </x:c>
      <x:c r="J26" s="34" t="str">
        <x:v>LGA1700, entry, dataset</x:v>
      </x:c>
      <x:c r="K26" s="34" t="str">
        <x:v>4-core desktop processor with source-linked specifications; thread count and relative scores are derived for ranking.</x:v>
      </x:c>
      <x:c r="L26" s="34" t="str">
        <x:v>https://fr.pcpartpicker.com/product/gx648d/intel-cpu-bx80662i56600k</x:v>
      </x:c>
      <x:c r="M26" s="35" t="str">
        <x:v>https://fr.pcpartpicker.com/product/gx648d/intel-cpu-bx80662i56600k</x:v>
      </x:c>
    </x:row>
    <x:row r="27">
      <x:c r="A27" s="33" t="str">
        <x:v>cpu</x:v>
      </x:c>
      <x:c r="B27" s="34" t="str">
        <x:v>hf-cpu-329298</x:v>
      </x:c>
      <x:c r="C27" s="34" t="str">
        <x:v>AMD Ryzen 7 5800X</x:v>
      </x:c>
      <x:c r="D27" s="34" t="str">
        <x:v>AMD</x:v>
      </x:c>
      <x:c r="E27" s="82" t="n">
        <x:v>232.99</x:v>
      </x:c>
      <x:c r="F27" s="34" t="str">
        <x:v>USD</x:v>
      </x:c>
      <x:c r="G27" s="34" t="str">
        <x:v>reference</x:v>
      </x:c>
      <x:c r="H27" s="34" t="str">
        <x:v>2026-06-28</x:v>
      </x:c>
      <x:c r="I27" s="34" t="str">
        <x:v>socket=AM4; cores=8; threads=16; baseClockGHz=3.8; boostClockGHz=4.7; tdpWatts=105; gamingScore=92; productivityScore=69; tier=mid</x:v>
      </x:c>
      <x:c r="J27" s="34" t="str">
        <x:v>AM4, mid, dataset</x:v>
      </x:c>
      <x:c r="K27" s="34" t="str">
        <x:v>8-core desktop processor with source-linked specifications; thread count and relative scores are derived for ranking.</x:v>
      </x:c>
      <x:c r="L27" s="34" t="str">
        <x:v>https://fr.pcpartpicker.com/product/qtvqqs/amd-ryzen-7-5800x-38-ghz-8-core-processor-100-100000063wof</x:v>
      </x:c>
      <x:c r="M27" s="35" t="str">
        <x:v>https://fr.pcpartpicker.com/product/qtvqqs/amd-ryzen-7-5800x-38-ghz-8-core-processor-100-100000063wof</x:v>
      </x:c>
    </x:row>
    <x:row r="28">
      <x:c r="A28" s="33" t="str">
        <x:v>cpu</x:v>
      </x:c>
      <x:c r="B28" s="34" t="str">
        <x:v>hf-cpu-171628</x:v>
      </x:c>
      <x:c r="C28" s="34" t="str">
        <x:v>AMD Ryzen 7 2700X</x:v>
      </x:c>
      <x:c r="D28" s="34" t="str">
        <x:v>AMD</x:v>
      </x:c>
      <x:c r="E28" s="82" t="n">
        <x:v>375.09</x:v>
      </x:c>
      <x:c r="F28" s="34" t="str">
        <x:v>USD</x:v>
      </x:c>
      <x:c r="G28" s="34" t="str">
        <x:v>reference</x:v>
      </x:c>
      <x:c r="H28" s="34" t="str">
        <x:v>2026-06-28</x:v>
      </x:c>
      <x:c r="I28" s="34" t="str">
        <x:v>socket=AM4; cores=8; threads=16; baseClockGHz=3.7; boostClockGHz=4.3; tdpWatts=105; gamingScore=89; productivityScore=68; tier=high</x:v>
      </x:c>
      <x:c r="J28" s="34" t="str">
        <x:v>AM4, high, dataset</x:v>
      </x:c>
      <x:c r="K28" s="34" t="str">
        <x:v>8-core desktop processor with source-linked specifications; thread count and relative scores are derived for ranking.</x:v>
      </x:c>
      <x:c r="L28" s="34" t="str">
        <x:v>https://fr.pcpartpicker.com/product/bddxFT/amd-ryzen-7-2700x-37ghz-8-core-processor-yd270xbgafbox</x:v>
      </x:c>
      <x:c r="M28" s="35" t="str">
        <x:v>https://fr.pcpartpicker.com/product/bddxFT/amd-ryzen-7-2700x-37ghz-8-core-processor-yd270xbgafbox</x:v>
      </x:c>
    </x:row>
    <x:row r="29">
      <x:c r="A29" s="33" t="str">
        <x:v>cpu</x:v>
      </x:c>
      <x:c r="B29" s="34" t="str">
        <x:v>hf-cpu-102156</x:v>
      </x:c>
      <x:c r="C29" s="34" t="str">
        <x:v>AMD Ryzen 5 1600 (14nm)</x:v>
      </x:c>
      <x:c r="D29" s="34" t="str">
        <x:v>AMD</x:v>
      </x:c>
      <x:c r="E29" s="82" t="n">
        <x:v>264.29</x:v>
      </x:c>
      <x:c r="F29" s="34" t="str">
        <x:v>USD</x:v>
      </x:c>
      <x:c r="G29" s="34" t="str">
        <x:v>reference</x:v>
      </x:c>
      <x:c r="H29" s="34" t="str">
        <x:v>2026-06-28</x:v>
      </x:c>
      <x:c r="I29" s="34" t="str">
        <x:v>socket=AM4; cores=6; threads=12; baseClockGHz=3.2; boostClockGHz=3.6; tdpWatts=65; gamingScore=80; productivityScore=59; tier=mid</x:v>
      </x:c>
      <x:c r="J29" s="34" t="str">
        <x:v>AM4, mid, dataset</x:v>
      </x:c>
      <x:c r="K29" s="34" t="str">
        <x:v>6-core desktop processor with source-linked specifications; thread count and relative scores are derived for ranking.</x:v>
      </x:c>
      <x:c r="L29" s="34" t="str">
        <x:v>https://fr.pcpartpicker.com/product/mV98TW/amd-ryzen-5-1600-32ghz-6-core-processor-yd1600bbaebox</x:v>
      </x:c>
      <x:c r="M29" s="35" t="str">
        <x:v>https://fr.pcpartpicker.com/product/mV98TW/amd-ryzen-5-1600-32ghz-6-core-processor-yd1600bbaebox</x:v>
      </x:c>
    </x:row>
    <x:row r="30">
      <x:c r="A30" s="33" t="str">
        <x:v>cpu</x:v>
      </x:c>
      <x:c r="B30" s="34" t="str">
        <x:v>hf-cpu-434172</x:v>
      </x:c>
      <x:c r="C30" s="34" t="str">
        <x:v>AMD Ryzen 5 7600X</x:v>
      </x:c>
      <x:c r="D30" s="34" t="str">
        <x:v>AMD</x:v>
      </x:c>
      <x:c r="E30" s="82" t="n">
        <x:v>186.51</x:v>
      </x:c>
      <x:c r="F30" s="34" t="str">
        <x:v>USD</x:v>
      </x:c>
      <x:c r="G30" s="34" t="str">
        <x:v>reference</x:v>
      </x:c>
      <x:c r="H30" s="34" t="str">
        <x:v>2026-06-28</x:v>
      </x:c>
      <x:c r="I30" s="34" t="str">
        <x:v>socket=AM5; cores=6; threads=12; baseClockGHz=4.7; boostClockGHz=5.3; tdpWatts=105; gamingScore=96; productivityScore=64; tier=mid</x:v>
      </x:c>
      <x:c r="J30" s="34" t="str">
        <x:v>AM5, mid, dataset</x:v>
      </x:c>
      <x:c r="K30" s="34" t="str">
        <x:v>6-core desktop processor with source-linked specifications; thread count and relative scores are derived for ranking.</x:v>
      </x:c>
      <x:c r="L30" s="34" t="str">
        <x:v>https://fr.pcpartpicker.com/product/66C48d/amd-ryzen-5-7600x-47-ghz-6-core-processor-100-100000593wof</x:v>
      </x:c>
      <x:c r="M30" s="35" t="str">
        <x:v>https://fr.pcpartpicker.com/product/66C48d/amd-ryzen-5-7600x-47-ghz-6-core-processor-100-100000593wof</x:v>
      </x:c>
    </x:row>
    <x:row r="31">
      <x:c r="A31" s="33" t="str">
        <x:v>cpu</x:v>
      </x:c>
      <x:c r="B31" s="34" t="str">
        <x:v>hf-cpu-134236</x:v>
      </x:c>
      <x:c r="C31" s="34" t="str">
        <x:v>Intel Core i7-8700K</x:v>
      </x:c>
      <x:c r="D31" s="34" t="str">
        <x:v>Intel</x:v>
      </x:c>
      <x:c r="E31" s="82" t="n">
        <x:v>246.58</x:v>
      </x:c>
      <x:c r="F31" s="34" t="str">
        <x:v>USD</x:v>
      </x:c>
      <x:c r="G31" s="34" t="str">
        <x:v>reference</x:v>
      </x:c>
      <x:c r="H31" s="34" t="str">
        <x:v>2026-06-28</x:v>
      </x:c>
      <x:c r="I31" s="34" t="str">
        <x:v>socket=LGA1700; cores=6; threads=12; baseClockGHz=3.7; boostClockGHz=4.7; tdpWatts=95; gamingScore=90; productivityScore=63; tier=mid</x:v>
      </x:c>
      <x:c r="J31" s="34" t="str">
        <x:v>LGA1700, mid, dataset</x:v>
      </x:c>
      <x:c r="K31" s="34" t="str">
        <x:v>6-core desktop processor with source-linked specifications; thread count and relative scores are derived for ranking.</x:v>
      </x:c>
      <x:c r="L31" s="34" t="str">
        <x:v>https://fr.pcpartpicker.com/product/sxDzK8/intel-core-i7-8700k-37ghz-6-core-processor-bx80684i78700k</x:v>
      </x:c>
      <x:c r="M31" s="35" t="str">
        <x:v>https://fr.pcpartpicker.com/product/sxDzK8/intel-core-i7-8700k-37ghz-6-core-processor-bx80684i78700k</x:v>
      </x:c>
    </x:row>
    <x:row r="32">
      <x:c r="A32" s="33" t="str">
        <x:v>cpu</x:v>
      </x:c>
      <x:c r="B32" s="34" t="str">
        <x:v>hf-cpu-81663</x:v>
      </x:c>
      <x:c r="C32" s="34" t="str">
        <x:v>Intel Core i7-7700K</x:v>
      </x:c>
      <x:c r="D32" s="34" t="str">
        <x:v>Intel</x:v>
      </x:c>
      <x:c r="E32" s="82" t="n">
        <x:v>469.61</x:v>
      </x:c>
      <x:c r="F32" s="34" t="str">
        <x:v>USD</x:v>
      </x:c>
      <x:c r="G32" s="34" t="str">
        <x:v>reference</x:v>
      </x:c>
      <x:c r="H32" s="34" t="str">
        <x:v>2026-06-28</x:v>
      </x:c>
      <x:c r="I32" s="34" t="str">
        <x:v>socket=LGA1700; cores=4; threads=8; baseClockGHz=4.2; boostClockGHz=4.5; tdpWatts=91; gamingScore=86; productivityScore=55; tier=high</x:v>
      </x:c>
      <x:c r="J32" s="34" t="str">
        <x:v>LGA1700, high, dataset</x:v>
      </x:c>
      <x:c r="K32" s="34" t="str">
        <x:v>4-core desktop processor with source-linked specifications; thread count and relative scores are derived for ranking.</x:v>
      </x:c>
      <x:c r="L32" s="34" t="str">
        <x:v>https://fr.pcpartpicker.com/product/VKx9TW/intel-core-i7-7700k-42ghz-quad-core-processor-bx80677i77700k</x:v>
      </x:c>
      <x:c r="M32" s="35" t="str">
        <x:v>https://fr.pcpartpicker.com/product/VKx9TW/intel-core-i7-7700k-42ghz-quad-core-processor-bx80677i77700k</x:v>
      </x:c>
    </x:row>
    <x:row r="33">
      <x:c r="A33" s="33" t="str">
        <x:v>cpu</x:v>
      </x:c>
      <x:c r="B33" s="34" t="str">
        <x:v>hf-cpu-329299</x:v>
      </x:c>
      <x:c r="C33" s="34" t="str">
        <x:v>AMD Ryzen 9 5900X</x:v>
      </x:c>
      <x:c r="D33" s="34" t="str">
        <x:v>AMD</x:v>
      </x:c>
      <x:c r="E33" s="82" t="n">
        <x:v>670.38</x:v>
      </x:c>
      <x:c r="F33" s="34" t="str">
        <x:v>USD</x:v>
      </x:c>
      <x:c r="G33" s="34" t="str">
        <x:v>reference</x:v>
      </x:c>
      <x:c r="H33" s="34" t="str">
        <x:v>2026-06-28</x:v>
      </x:c>
      <x:c r="I33" s="34" t="str">
        <x:v>socket=AM4; cores=12; threads=24; baseClockGHz=3.7; boostClockGHz=4.8; tdpWatts=105; gamingScore=96; productivityScore=83; tier=enthusiast</x:v>
      </x:c>
      <x:c r="J33" s="34" t="str">
        <x:v>AM4, enthusiast, dataset</x:v>
      </x:c>
      <x:c r="K33" s="34" t="str">
        <x:v>12-core desktop processor with source-linked specifications; thread count and relative scores are derived for ranking.</x:v>
      </x:c>
      <x:c r="L33" s="34" t="str">
        <x:v>https://fr.pcpartpicker.com/product/KwLwrH/amd-ryzen-9-5900x-37-ghz-12-core-processor-100-100000061wof</x:v>
      </x:c>
      <x:c r="M33" s="35" t="str">
        <x:v>https://fr.pcpartpicker.com/product/KwLwrH/amd-ryzen-9-5900x-37-ghz-12-core-processor-100-100000061wof</x:v>
      </x:c>
    </x:row>
    <x:row r="34">
      <x:c r="A34" s="33" t="str">
        <x:v>cpu</x:v>
      </x:c>
      <x:c r="B34" s="34" t="str">
        <x:v>hf-cpu-48719</x:v>
      </x:c>
      <x:c r="C34" s="34" t="str">
        <x:v>Intel Core i5-6500</x:v>
      </x:c>
      <x:c r="D34" s="34" t="str">
        <x:v>Intel</x:v>
      </x:c>
      <x:c r="E34" s="82" t="n">
        <x:v>80.79</x:v>
      </x:c>
      <x:c r="F34" s="34" t="str">
        <x:v>USD</x:v>
      </x:c>
      <x:c r="G34" s="34" t="str">
        <x:v>reference</x:v>
      </x:c>
      <x:c r="H34" s="34" t="str">
        <x:v>2026-06-28</x:v>
      </x:c>
      <x:c r="I34" s="34" t="str">
        <x:v>socket=LGA1700; cores=4; threads=8; baseClockGHz=3.2; boostClockGHz=3.6; tdpWatts=65; gamingScore=77; productivityScore=52; tier=entry</x:v>
      </x:c>
      <x:c r="J34" s="34" t="str">
        <x:v>LGA1700, entry, dataset</x:v>
      </x:c>
      <x:c r="K34" s="34" t="str">
        <x:v>4-core desktop processor with source-linked specifications; thread count and relative scores are derived for ranking.</x:v>
      </x:c>
      <x:c r="L34" s="34" t="str">
        <x:v>https://fr.pcpartpicker.com/product/xwhj4D/intel-cpu-bx80662i56500</x:v>
      </x:c>
      <x:c r="M34" s="35" t="str">
        <x:v>https://fr.pcpartpicker.com/product/xwhj4D/intel-cpu-bx80662i56500</x:v>
      </x:c>
    </x:row>
    <x:row r="35">
      <x:c r="A35" s="33" t="str">
        <x:v>cpu</x:v>
      </x:c>
      <x:c r="B35" s="34" t="str">
        <x:v>hf-cpu-199829</x:v>
      </x:c>
      <x:c r="C35" s="34" t="str">
        <x:v>Intel Core i7-9700K</x:v>
      </x:c>
      <x:c r="D35" s="34" t="str">
        <x:v>Intel</x:v>
      </x:c>
      <x:c r="E35" s="82" t="n">
        <x:v>339.34</x:v>
      </x:c>
      <x:c r="F35" s="34" t="str">
        <x:v>USD</x:v>
      </x:c>
      <x:c r="G35" s="34" t="str">
        <x:v>reference</x:v>
      </x:c>
      <x:c r="H35" s="34" t="str">
        <x:v>2026-06-28</x:v>
      </x:c>
      <x:c r="I35" s="34" t="str">
        <x:v>socket=LGA1700; cores=8; threads=16; baseClockGHz=3.6; boostClockGHz=4.9; tdpWatts=95; gamingScore=94; productivityScore=70; tier=high</x:v>
      </x:c>
      <x:c r="J35" s="34" t="str">
        <x:v>LGA1700, high, dataset</x:v>
      </x:c>
      <x:c r="K35" s="34" t="str">
        <x:v>8-core desktop processor with source-linked specifications; thread count and relative scores are derived for ranking.</x:v>
      </x:c>
      <x:c r="L35" s="34" t="str">
        <x:v>https://fr.pcpartpicker.com/product/WtyV3C/intel-core-i7-9700k-36ghz-8-core-processor-bx80684i79700k</x:v>
      </x:c>
      <x:c r="M35" s="35" t="str">
        <x:v>https://fr.pcpartpicker.com/product/WtyV3C/intel-core-i7-9700k-36ghz-8-core-processor-bx80684i79700k</x:v>
      </x:c>
    </x:row>
    <x:row r="36">
      <x:c r="A36" s="33" t="str">
        <x:v>cpu</x:v>
      </x:c>
      <x:c r="B36" s="34" t="str">
        <x:v>hf-cpu-11303</x:v>
      </x:c>
      <x:c r="C36" s="34" t="str">
        <x:v>Intel Core i7-3770K</x:v>
      </x:c>
      <x:c r="D36" s="34" t="str">
        <x:v>Intel</x:v>
      </x:c>
      <x:c r="E36" s="82" t="n">
        <x:v>250.55</x:v>
      </x:c>
      <x:c r="F36" s="34" t="str">
        <x:v>USD</x:v>
      </x:c>
      <x:c r="G36" s="34" t="str">
        <x:v>reference</x:v>
      </x:c>
      <x:c r="H36" s="34" t="str">
        <x:v>2026-06-28</x:v>
      </x:c>
      <x:c r="I36" s="34" t="str">
        <x:v>socket=LGA1700; cores=4; threads=8; baseClockGHz=3.5; tdpWatts=77; gamingScore=77; productivityScore=54; tier=entry</x:v>
      </x:c>
      <x:c r="J36" s="34" t="str">
        <x:v>LGA1700, entry, dataset</x:v>
      </x:c>
      <x:c r="K36" s="34" t="str">
        <x:v>4-core desktop processor with source-linked specifications; thread count and relative scores are derived for ranking.</x:v>
      </x:c>
      <x:c r="L36" s="34" t="str">
        <x:v>https://fr.pcpartpicker.com/product/7KjG3C/intel-cpu-bx80637i73770k</x:v>
      </x:c>
      <x:c r="M36" s="35" t="str">
        <x:v>https://fr.pcpartpicker.com/product/7KjG3C/intel-cpu-bx80637i73770k</x:v>
      </x:c>
    </x:row>
    <x:row r="37">
      <x:c r="A37" s="33" t="str">
        <x:v>cpu</x:v>
      </x:c>
      <x:c r="B37" s="34" t="str">
        <x:v>hf-cpu-434171</x:v>
      </x:c>
      <x:c r="C37" s="34" t="str">
        <x:v>AMD Ryzen 7 7700X</x:v>
      </x:c>
      <x:c r="D37" s="34" t="str">
        <x:v>AMD</x:v>
      </x:c>
      <x:c r="E37" s="82" t="n">
        <x:v>256.93</x:v>
      </x:c>
      <x:c r="F37" s="34" t="str">
        <x:v>USD</x:v>
      </x:c>
      <x:c r="G37" s="34" t="str">
        <x:v>reference</x:v>
      </x:c>
      <x:c r="H37" s="34" t="str">
        <x:v>2026-06-28</x:v>
      </x:c>
      <x:c r="I37" s="34" t="str">
        <x:v>socket=AM5; cores=8; threads=16; baseClockGHz=4.5; boostClockGHz=5.4; tdpWatts=105; gamingScore=99; productivityScore=71; tier=mid</x:v>
      </x:c>
      <x:c r="J37" s="34" t="str">
        <x:v>AM5, mid, dataset</x:v>
      </x:c>
      <x:c r="K37" s="34" t="str">
        <x:v>8-core desktop processor with source-linked specifications; thread count and relative scores are derived for ranking.</x:v>
      </x:c>
      <x:c r="L37" s="34" t="str">
        <x:v>https://fr.pcpartpicker.com/product/WfqPxr/amd-ryzen-7-7700x-45-ghz-8-core-processor-100-100000591wof</x:v>
      </x:c>
      <x:c r="M37" s="35" t="str">
        <x:v>https://fr.pcpartpicker.com/product/WfqPxr/amd-ryzen-7-7700x-45-ghz-8-core-processor-100-100000591wof</x:v>
      </x:c>
    </x:row>
    <x:row r="38">
      <x:c r="A38" s="33" t="str">
        <x:v>cpu</x:v>
      </x:c>
      <x:c r="B38" s="34" t="str">
        <x:v>hf-cpu-199831</x:v>
      </x:c>
      <x:c r="C38" s="34" t="str">
        <x:v>Intel Core i9-9900K</x:v>
      </x:c>
      <x:c r="D38" s="34" t="str">
        <x:v>Intel</x:v>
      </x:c>
      <x:c r="E38" s="82" t="n">
        <x:v>534.03</x:v>
      </x:c>
      <x:c r="F38" s="34" t="str">
        <x:v>USD</x:v>
      </x:c>
      <x:c r="G38" s="34" t="str">
        <x:v>reference</x:v>
      </x:c>
      <x:c r="H38" s="34" t="str">
        <x:v>2026-06-28</x:v>
      </x:c>
      <x:c r="I38" s="34" t="str">
        <x:v>socket=LGA1700; cores=8; threads=16; baseClockGHz=3.6; boostClockGHz=5; tdpWatts=95; gamingScore=95; productivityScore=70; tier=enthusiast</x:v>
      </x:c>
      <x:c r="J38" s="34" t="str">
        <x:v>LGA1700, enthusiast, dataset</x:v>
      </x:c>
      <x:c r="K38" s="34" t="str">
        <x:v>8-core desktop processor with source-linked specifications; thread count and relative scores are derived for ranking.</x:v>
      </x:c>
      <x:c r="L38" s="34" t="str">
        <x:v>https://fr.pcpartpicker.com/product/jHZFf7/intel-core-i9-9900k-36ghz-8-core-processor-bx80684i99900k</x:v>
      </x:c>
      <x:c r="M38" s="35" t="str">
        <x:v>https://fr.pcpartpicker.com/product/jHZFf7/intel-core-i9-9900k-36ghz-8-core-processor-bx80684i99900k</x:v>
      </x:c>
    </x:row>
    <x:row r="39">
      <x:c r="A39" s="33" t="str">
        <x:v>cpu</x:v>
      </x:c>
      <x:c r="B39" s="34" t="str">
        <x:v>hf-cpu-244373</x:v>
      </x:c>
      <x:c r="C39" s="34" t="str">
        <x:v>AMD Ryzen 5 3600X</x:v>
      </x:c>
      <x:c r="D39" s="34" t="str">
        <x:v>AMD</x:v>
      </x:c>
      <x:c r="E39" s="82" t="n">
        <x:v>329.49</x:v>
      </x:c>
      <x:c r="F39" s="34" t="str">
        <x:v>USD</x:v>
      </x:c>
      <x:c r="G39" s="34" t="str">
        <x:v>reference</x:v>
      </x:c>
      <x:c r="H39" s="34" t="str">
        <x:v>2026-06-28</x:v>
      </x:c>
      <x:c r="I39" s="34" t="str">
        <x:v>socket=AM4; cores=6; threads=12; baseClockGHz=3.8; boostClockGHz=4.4; tdpWatts=95; gamingScore=88; productivityScore=62; tier=high</x:v>
      </x:c>
      <x:c r="J39" s="34" t="str">
        <x:v>AM4, high, dataset</x:v>
      </x:c>
      <x:c r="K39" s="34" t="str">
        <x:v>6-core desktop processor with source-linked specifications; thread count and relative scores are derived for ranking.</x:v>
      </x:c>
      <x:c r="L39" s="34" t="str">
        <x:v>https://fr.pcpartpicker.com/product/3WYLrH/amd-ryzen-5-3600x-38-ghz-6-core-processor-100-100000022box</x:v>
      </x:c>
      <x:c r="M39" s="35" t="str">
        <x:v>https://fr.pcpartpicker.com/product/3WYLrH/amd-ryzen-5-3600x-38-ghz-6-core-processor-100-100000022box</x:v>
      </x:c>
    </x:row>
    <x:row r="40">
      <x:c r="A40" s="33" t="str">
        <x:v>cpu</x:v>
      </x:c>
      <x:c r="B40" s="34" t="str">
        <x:v>hf-cpu-409941</x:v>
      </x:c>
      <x:c r="C40" s="34" t="str">
        <x:v>AMD Ryzen 5 5600</x:v>
      </x:c>
      <x:c r="D40" s="34" t="str">
        <x:v>AMD</x:v>
      </x:c>
      <x:c r="E40" s="82" t="n">
        <x:v>162.03</x:v>
      </x:c>
      <x:c r="F40" s="34" t="str">
        <x:v>USD</x:v>
      </x:c>
      <x:c r="G40" s="34" t="str">
        <x:v>reference</x:v>
      </x:c>
      <x:c r="H40" s="34" t="str">
        <x:v>2026-06-28</x:v>
      </x:c>
      <x:c r="I40" s="34" t="str">
        <x:v>socket=AM4; cores=6; threads=12; baseClockGHz=3.5; boostClockGHz=4.4; tdpWatts=65; gamingScore=88; productivityScore=62; tier=mid</x:v>
      </x:c>
      <x:c r="J40" s="34" t="str">
        <x:v>AM4, mid, dataset</x:v>
      </x:c>
      <x:c r="K40" s="34" t="str">
        <x:v>6-core desktop processor with source-linked specifications; thread count and relative scores are derived for ranking.</x:v>
      </x:c>
      <x:c r="L40" s="34" t="str">
        <x:v>https://fr.pcpartpicker.com/product/PgcG3C/amd-ryzen-5-5600-36-ghz-6-core-processor-100-100000927box</x:v>
      </x:c>
      <x:c r="M40" s="35" t="str">
        <x:v>https://fr.pcpartpicker.com/product/PgcG3C/amd-ryzen-5-5600-36-ghz-6-core-processor-100-100000927box</x:v>
      </x:c>
    </x:row>
    <x:row r="41">
      <x:c r="A41" s="33" t="str">
        <x:v>cpu</x:v>
      </x:c>
      <x:c r="B41" s="34" t="str">
        <x:v>hf-cpu-92375</x:v>
      </x:c>
      <x:c r="C41" s="34" t="str">
        <x:v>AMD Ryzen 7 1700</x:v>
      </x:c>
      <x:c r="D41" s="34" t="str">
        <x:v>AMD</x:v>
      </x:c>
      <x:c r="E41" s="82" t="n">
        <x:v>439.03</x:v>
      </x:c>
      <x:c r="F41" s="34" t="str">
        <x:v>USD</x:v>
      </x:c>
      <x:c r="G41" s="34" t="str">
        <x:v>reference</x:v>
      </x:c>
      <x:c r="H41" s="34" t="str">
        <x:v>2026-06-28</x:v>
      </x:c>
      <x:c r="I41" s="34" t="str">
        <x:v>socket=AM4; cores=8; threads=16; baseClockGHz=3; boostClockGHz=3.7; tdpWatts=65; gamingScore=83; productivityScore=66; tier=high</x:v>
      </x:c>
      <x:c r="J41" s="34" t="str">
        <x:v>AM4, high, dataset</x:v>
      </x:c>
      <x:c r="K41" s="34" t="str">
        <x:v>8-core desktop processor with source-linked specifications; thread count and relative scores are derived for ranking.</x:v>
      </x:c>
      <x:c r="L41" s="34" t="str">
        <x:v>https://fr.pcpartpicker.com/product/3kPzK8/amd-ryzen-7-1700-30ghz-8-core-processor-yd1700bbaebox</x:v>
      </x:c>
      <x:c r="M41" s="35" t="str">
        <x:v>https://fr.pcpartpicker.com/product/3kPzK8/amd-ryzen-7-1700-30ghz-8-core-processor-yd1700bbaebox</x:v>
      </x:c>
    </x:row>
    <x:row r="42">
      <x:c r="A42" s="33" t="str">
        <x:v>cpu</x:v>
      </x:c>
      <x:c r="B42" s="34" t="str">
        <x:v>hf-cpu-390982</x:v>
      </x:c>
      <x:c r="C42" s="34" t="str">
        <x:v>Intel Core i5-12600K</x:v>
      </x:c>
      <x:c r="D42" s="34" t="str">
        <x:v>Intel</x:v>
      </x:c>
      <x:c r="E42" s="82" t="n">
        <x:v>247.24</x:v>
      </x:c>
      <x:c r="F42" s="34" t="str">
        <x:v>USD</x:v>
      </x:c>
      <x:c r="G42" s="34" t="str">
        <x:v>reference</x:v>
      </x:c>
      <x:c r="H42" s="34" t="str">
        <x:v>2026-06-28</x:v>
      </x:c>
      <x:c r="I42" s="34" t="str">
        <x:v>socket=LGA1700; cores=10; threads=20; baseClockGHz=3.7; boostClockGHz=4.9; tdpWatts=125; gamingScore=96; productivityScore=77; tier=high</x:v>
      </x:c>
      <x:c r="J42" s="34" t="str">
        <x:v>LGA1700, high, dataset</x:v>
      </x:c>
      <x:c r="K42" s="34" t="str">
        <x:v>10-core desktop processor with source-linked specifications; thread count and relative scores are derived for ranking.</x:v>
      </x:c>
      <x:c r="L42" s="34" t="str">
        <x:v>https://fr.pcpartpicker.com/product/BB4Ycf/intel-core-i5-12600k-37-ghz-6-core-processor-bx8071512600k</x:v>
      </x:c>
      <x:c r="M42" s="35" t="str">
        <x:v>https://fr.pcpartpicker.com/product/BB4Ycf/intel-core-i5-12600k-37-ghz-6-core-processor-bx8071512600k</x:v>
      </x:c>
    </x:row>
    <x:row r="43">
      <x:c r="A43" s="33" t="str">
        <x:v>cpu</x:v>
      </x:c>
      <x:c r="B43" s="34" t="str">
        <x:v>hf-cpu-48938</x:v>
      </x:c>
      <x:c r="C43" s="34" t="str">
        <x:v>Intel Core i3-6100</x:v>
      </x:c>
      <x:c r="D43" s="34" t="str">
        <x:v>Intel</x:v>
      </x:c>
      <x:c r="E43" s="82" t="n">
        <x:v>69.88</x:v>
      </x:c>
      <x:c r="F43" s="34" t="str">
        <x:v>USD</x:v>
      </x:c>
      <x:c r="G43" s="34" t="str">
        <x:v>reference</x:v>
      </x:c>
      <x:c r="H43" s="34" t="str">
        <x:v>2026-06-28</x:v>
      </x:c>
      <x:c r="I43" s="34" t="str">
        <x:v>socket=LGA1700; cores=2; threads=4; baseClockGHz=3.7; tdpWatts=51; gamingScore=73; productivityScore=47; tier=entry</x:v>
      </x:c>
      <x:c r="J43" s="34" t="str">
        <x:v>LGA1700, entry, dataset</x:v>
      </x:c>
      <x:c r="K43" s="34" t="str">
        <x:v>2-core desktop processor with source-linked specifications; thread count and relative scores are derived for ranking.</x:v>
      </x:c>
      <x:c r="L43" s="34" t="str">
        <x:v>https://fr.pcpartpicker.com/product/hV7CmG/intel-cpu-bx80662i36100</x:v>
      </x:c>
      <x:c r="M43" s="35" t="str">
        <x:v>https://fr.pcpartpicker.com/product/hV7CmG/intel-cpu-bx80662i36100</x:v>
      </x:c>
    </x:row>
    <x:row r="44">
      <x:c r="A44" s="33" t="str">
        <x:v>cpu</x:v>
      </x:c>
      <x:c r="B44" s="34" t="str">
        <x:v>hf-cpu-390984</x:v>
      </x:c>
      <x:c r="C44" s="34" t="str">
        <x:v>Intel Core i7-12700K</x:v>
      </x:c>
      <x:c r="D44" s="34" t="str">
        <x:v>Intel</x:v>
      </x:c>
      <x:c r="E44" s="82" t="n">
        <x:v>399.1</x:v>
      </x:c>
      <x:c r="F44" s="34" t="str">
        <x:v>USD</x:v>
      </x:c>
      <x:c r="G44" s="34" t="str">
        <x:v>reference</x:v>
      </x:c>
      <x:c r="H44" s="34" t="str">
        <x:v>2026-06-28</x:v>
      </x:c>
      <x:c r="I44" s="34" t="str">
        <x:v>socket=LGA1700; cores=12; threads=24; baseClockGHz=3.6; boostClockGHz=5; tdpWatts=125; gamingScore=98; productivityScore=84; tier=high</x:v>
      </x:c>
      <x:c r="J44" s="34" t="str">
        <x:v>LGA1700, high, dataset</x:v>
      </x:c>
      <x:c r="K44" s="34" t="str">
        <x:v>12-core desktop processor with source-linked specifications; thread count and relative scores are derived for ranking.</x:v>
      </x:c>
      <x:c r="L44" s="34" t="str">
        <x:v>https://fr.pcpartpicker.com/product/ZbddnQ/intel-core-i7-12700k-36-ghz-8-core-processor-bx8071512700k</x:v>
      </x:c>
      <x:c r="M44" s="35" t="str">
        <x:v>https://fr.pcpartpicker.com/product/ZbddnQ/intel-core-i7-12700k-36-ghz-8-core-processor-bx8071512700k</x:v>
      </x:c>
    </x:row>
    <x:row r="45">
      <x:c r="A45" s="33" t="str">
        <x:v>cpu</x:v>
      </x:c>
      <x:c r="B45" s="34" t="str">
        <x:v>hf-cpu-378495</x:v>
      </x:c>
      <x:c r="C45" s="34" t="str">
        <x:v>AMD Ryzen 5 5600G</x:v>
      </x:c>
      <x:c r="D45" s="34" t="str">
        <x:v>AMD</x:v>
      </x:c>
      <x:c r="E45" s="82" t="n">
        <x:v>175.71</x:v>
      </x:c>
      <x:c r="F45" s="34" t="str">
        <x:v>USD</x:v>
      </x:c>
      <x:c r="G45" s="34" t="str">
        <x:v>reference</x:v>
      </x:c>
      <x:c r="H45" s="34" t="str">
        <x:v>2026-06-28</x:v>
      </x:c>
      <x:c r="I45" s="34" t="str">
        <x:v>socket=AM4; cores=6; threads=12; baseClockGHz=3.9; boostClockGHz=4.4; tdpWatts=65; gamingScore=88; productivityScore=62; tier=mid</x:v>
      </x:c>
      <x:c r="J45" s="34" t="str">
        <x:v>AM4, mid, dataset</x:v>
      </x:c>
      <x:c r="K45" s="34" t="str">
        <x:v>6-core desktop processor with source-linked specifications; thread count and relative scores are derived for ranking.</x:v>
      </x:c>
      <x:c r="L45" s="34" t="str">
        <x:v>https://fr.pcpartpicker.com/product/sYmmP6/amd-ryzen-5-5600g-39-ghz-6-core-processor-100-100000252box</x:v>
      </x:c>
      <x:c r="M45" s="35" t="str">
        <x:v>https://fr.pcpartpicker.com/product/sYmmP6/amd-ryzen-5-5600g-39-ghz-6-core-processor-100-100000252box</x:v>
      </x:c>
    </x:row>
    <x:row r="46">
      <x:c r="A46" s="33" t="str">
        <x:v>cpu</x:v>
      </x:c>
      <x:c r="B46" s="34" t="str">
        <x:v>hf-cpu-244369</x:v>
      </x:c>
      <x:c r="C46" s="34" t="str">
        <x:v>AMD Ryzen 7 3800X</x:v>
      </x:c>
      <x:c r="D46" s="34" t="str">
        <x:v>AMD</x:v>
      </x:c>
      <x:c r="E46" s="82" t="n">
        <x:v>570.97</x:v>
      </x:c>
      <x:c r="F46" s="34" t="str">
        <x:v>USD</x:v>
      </x:c>
      <x:c r="G46" s="34" t="str">
        <x:v>reference</x:v>
      </x:c>
      <x:c r="H46" s="34" t="str">
        <x:v>2026-06-28</x:v>
      </x:c>
      <x:c r="I46" s="34" t="str">
        <x:v>socket=AM4; cores=8; threads=16; baseClockGHz=3.9; boostClockGHz=4.5; tdpWatts=105; gamingScore=91; productivityScore=69; tier=enthusiast</x:v>
      </x:c>
      <x:c r="J46" s="34" t="str">
        <x:v>AM4, enthusiast, dataset</x:v>
      </x:c>
      <x:c r="K46" s="34" t="str">
        <x:v>8-core desktop processor with source-linked specifications; thread count and relative scores are derived for ranking.</x:v>
      </x:c>
      <x:c r="L46" s="34" t="str">
        <x:v>https://fr.pcpartpicker.com/product/qryV3C/amd-ryzen-7-3800x-39-ghz-8-core-processor-100-100000025box</x:v>
      </x:c>
      <x:c r="M46" s="35" t="str">
        <x:v>https://fr.pcpartpicker.com/product/qryV3C/amd-ryzen-7-3800x-39-ghz-8-core-processor-100-100000025box</x:v>
      </x:c>
    </x:row>
    <x:row r="47">
      <x:c r="A47" s="33" t="str">
        <x:v>cpu</x:v>
      </x:c>
      <x:c r="B47" s="34" t="str">
        <x:v>hf-cpu-409942</x:v>
      </x:c>
      <x:c r="C47" s="34" t="str">
        <x:v>AMD Ryzen 7 5700X</x:v>
      </x:c>
      <x:c r="D47" s="34" t="str">
        <x:v>AMD</x:v>
      </x:c>
      <x:c r="E47" s="82" t="n">
        <x:v>169.49</x:v>
      </x:c>
      <x:c r="F47" s="34" t="str">
        <x:v>USD</x:v>
      </x:c>
      <x:c r="G47" s="34" t="str">
        <x:v>reference</x:v>
      </x:c>
      <x:c r="H47" s="34" t="str">
        <x:v>2026-06-28</x:v>
      </x:c>
      <x:c r="I47" s="34" t="str">
        <x:v>socket=AM4; cores=8; threads=16; baseClockGHz=3.4; boostClockGHz=4.6; tdpWatts=65; gamingScore=91; productivityScore=69; tier=mid</x:v>
      </x:c>
      <x:c r="J47" s="34" t="str">
        <x:v>AM4, mid, dataset</x:v>
      </x:c>
      <x:c r="K47" s="34" t="str">
        <x:v>8-core desktop processor with source-linked specifications; thread count and relative scores are derived for ranking.</x:v>
      </x:c>
      <x:c r="L47" s="34" t="str">
        <x:v>https://fr.pcpartpicker.com/product/JmhFf7/amd-ryzen-7-5700x-34-ghz-8-core-processor-100-100000926wof</x:v>
      </x:c>
      <x:c r="M47" s="35" t="str">
        <x:v>https://fr.pcpartpicker.com/product/JmhFf7/amd-ryzen-7-5700x-34-ghz-8-core-processor-100-100000926wof</x:v>
      </x:c>
    </x:row>
    <x:row r="48">
      <x:c r="A48" s="33" t="str">
        <x:v>cpu</x:v>
      </x:c>
      <x:c r="B48" s="34" t="str">
        <x:v>hf-cpu-537109</x:v>
      </x:c>
      <x:c r="C48" s="34" t="str">
        <x:v>AMD Ryzen 5 9600X</x:v>
      </x:c>
      <x:c r="D48" s="34" t="str">
        <x:v>AMD</x:v>
      </x:c>
      <x:c r="E48" s="82" t="n">
        <x:v>206.8</x:v>
      </x:c>
      <x:c r="F48" s="34" t="str">
        <x:v>USD</x:v>
      </x:c>
      <x:c r="G48" s="34" t="str">
        <x:v>reference</x:v>
      </x:c>
      <x:c r="H48" s="34" t="str">
        <x:v>2026-06-28</x:v>
      </x:c>
      <x:c r="I48" s="34" t="str">
        <x:v>socket=AM5; cores=6; threads=12; baseClockGHz=3.9; boostClockGHz=5.4; tdpWatts=65; gamingScore=97; productivityScore=65; tier=mid</x:v>
      </x:c>
      <x:c r="J48" s="34" t="str">
        <x:v>AM5, mid, dataset</x:v>
      </x:c>
      <x:c r="K48" s="34" t="str">
        <x:v>6-core desktop processor with source-linked specifications; thread count and relative scores are derived for ranking.</x:v>
      </x:c>
      <x:c r="L48" s="34" t="str">
        <x:v>https://fr.pcpartpicker.com/product/4r4Zxr/amd-ryzen-5-9600x-39-ghz-6-core-processor-100-100001405wof</x:v>
      </x:c>
      <x:c r="M48" s="35" t="str">
        <x:v>https://fr.pcpartpicker.com/product/4r4Zxr/amd-ryzen-5-9600x-39-ghz-6-core-processor-100-100001405wof</x:v>
      </x:c>
    </x:row>
    <x:row r="49">
      <x:c r="A49" s="33" t="str">
        <x:v>cpu</x:v>
      </x:c>
      <x:c r="B49" s="34" t="str">
        <x:v>hf-cpu-329300</x:v>
      </x:c>
      <x:c r="C49" s="34" t="str">
        <x:v>AMD Ryzen 9 5950X</x:v>
      </x:c>
      <x:c r="D49" s="34" t="str">
        <x:v>AMD</x:v>
      </x:c>
      <x:c r="E49" s="82" t="n">
        <x:v>421.68</x:v>
      </x:c>
      <x:c r="F49" s="34" t="str">
        <x:v>USD</x:v>
      </x:c>
      <x:c r="G49" s="34" t="str">
        <x:v>reference</x:v>
      </x:c>
      <x:c r="H49" s="34" t="str">
        <x:v>2026-06-28</x:v>
      </x:c>
      <x:c r="I49" s="34" t="str">
        <x:v>socket=AM4; cores=16; threads=32; baseClockGHz=3.4; boostClockGHz=4.9; tdpWatts=105; gamingScore=99; productivityScore=97; tier=enthusiast</x:v>
      </x:c>
      <x:c r="J49" s="34" t="str">
        <x:v>AM4, enthusiast, dataset</x:v>
      </x:c>
      <x:c r="K49" s="34" t="str">
        <x:v>16-core desktop processor with source-linked specifications; thread count and relative scores are derived for ranking.</x:v>
      </x:c>
      <x:c r="L49" s="34" t="str">
        <x:v>https://fr.pcpartpicker.com/product/Qk2bt6/amd-ryzen-9-5950x-34-ghz-16-core-processor-100-100000059wof</x:v>
      </x:c>
      <x:c r="M49" s="35" t="str">
        <x:v>https://fr.pcpartpicker.com/product/Qk2bt6/amd-ryzen-9-5950x-34-ghz-16-core-processor-100-100000059wof</x:v>
      </x:c>
    </x:row>
    <x:row r="50">
      <x:c r="A50" s="33" t="str">
        <x:v>cpu</x:v>
      </x:c>
      <x:c r="B50" s="34" t="str">
        <x:v>hf-cpu-398996</x:v>
      </x:c>
      <x:c r="C50" s="34" t="str">
        <x:v>Intel Core i5-12400F</x:v>
      </x:c>
      <x:c r="D50" s="34" t="str">
        <x:v>Intel</x:v>
      </x:c>
      <x:c r="E50" s="82" t="n">
        <x:v>188.09</x:v>
      </x:c>
      <x:c r="F50" s="34" t="str">
        <x:v>USD</x:v>
      </x:c>
      <x:c r="G50" s="34" t="str">
        <x:v>reference</x:v>
      </x:c>
      <x:c r="H50" s="34" t="str">
        <x:v>2026-06-28</x:v>
      </x:c>
      <x:c r="I50" s="34" t="str">
        <x:v>socket=LGA1700; cores=6; threads=12; baseClockGHz=2.5; boostClockGHz=4.4; tdpWatts=65; gamingScore=88; productivityScore=62; tier=mid</x:v>
      </x:c>
      <x:c r="J50" s="34" t="str">
        <x:v>LGA1700, mid, dataset</x:v>
      </x:c>
      <x:c r="K50" s="34" t="str">
        <x:v>6-core desktop processor with source-linked specifications; thread count and relative scores are derived for ranking.</x:v>
      </x:c>
      <x:c r="L50" s="34" t="str">
        <x:v>https://fr.pcpartpicker.com/product/pQNxFT/intel-core-i5-12400f-25-ghz-6-core-processor-bx8071512400f</x:v>
      </x:c>
      <x:c r="M50" s="35" t="str">
        <x:v>https://fr.pcpartpicker.com/product/pQNxFT/intel-core-i5-12400f-25-ghz-6-core-processor-bx8071512400f</x:v>
      </x:c>
    </x:row>
    <x:row r="51">
      <x:c r="A51" s="33" t="str">
        <x:v>cpu</x:v>
      </x:c>
      <x:c r="B51" s="34" t="str">
        <x:v>hf-cpu-30757</x:v>
      </x:c>
      <x:c r="C51" s="34" t="str">
        <x:v>Intel Core i5-4460</x:v>
      </x:c>
      <x:c r="D51" s="34" t="str">
        <x:v>Intel</x:v>
      </x:c>
      <x:c r="E51" s="82" t="n">
        <x:v>123.8</x:v>
      </x:c>
      <x:c r="F51" s="34" t="str">
        <x:v>USD</x:v>
      </x:c>
      <x:c r="G51" s="34" t="str">
        <x:v>reference</x:v>
      </x:c>
      <x:c r="H51" s="34" t="str">
        <x:v>2026-06-28</x:v>
      </x:c>
      <x:c r="I51" s="34" t="str">
        <x:v>socket=LGA1700; cores=4; threads=8; baseClockGHz=3.2; boostClockGHz=3.4; tdpWatts=84; gamingScore=76; productivityScore=52; tier=entry</x:v>
      </x:c>
      <x:c r="J51" s="34" t="str">
        <x:v>LGA1700, entry, dataset</x:v>
      </x:c>
      <x:c r="K51" s="34" t="str">
        <x:v>4-core desktop processor with source-linked specifications; thread count and relative scores are derived for ranking.</x:v>
      </x:c>
      <x:c r="L51" s="34" t="str">
        <x:v>https://fr.pcpartpicker.com/product/F63RsY/intel-cpu-bx80646i54460</x:v>
      </x:c>
      <x:c r="M51" s="35" t="str">
        <x:v>https://fr.pcpartpicker.com/product/F63RsY/intel-cpu-bx80646i54460</x:v>
      </x:c>
    </x:row>
    <x:row r="52">
      <x:c r="A52" s="33" t="str">
        <x:v>cpu</x:v>
      </x:c>
      <x:c r="B52" s="34" t="str">
        <x:v>hf-cpu-390983</x:v>
      </x:c>
      <x:c r="C52" s="34" t="str">
        <x:v>Intel Core i5-12600KF</x:v>
      </x:c>
      <x:c r="D52" s="34" t="str">
        <x:v>Intel</x:v>
      </x:c>
      <x:c r="E52" s="82" t="n">
        <x:v>208.05</x:v>
      </x:c>
      <x:c r="F52" s="34" t="str">
        <x:v>USD</x:v>
      </x:c>
      <x:c r="G52" s="34" t="str">
        <x:v>reference</x:v>
      </x:c>
      <x:c r="H52" s="34" t="str">
        <x:v>2026-06-28</x:v>
      </x:c>
      <x:c r="I52" s="34" t="str">
        <x:v>socket=LGA1700; cores=10; threads=20; baseClockGHz=3.7; boostClockGHz=4.9; tdpWatts=125; gamingScore=96; productivityScore=77; tier=high</x:v>
      </x:c>
      <x:c r="J52" s="34" t="str">
        <x:v>LGA1700, high, dataset</x:v>
      </x:c>
      <x:c r="K52" s="34" t="str">
        <x:v>10-core desktop processor with source-linked specifications; thread count and relative scores are derived for ranking.</x:v>
      </x:c>
      <x:c r="L52" s="34" t="str">
        <x:v>https://fr.pcpartpicker.com/product/Tk8bt6/intel-core-i5-12600kf-37-ghz-6-core-processor-bx8071512600kf</x:v>
      </x:c>
      <x:c r="M52" s="35" t="str">
        <x:v>https://fr.pcpartpicker.com/product/Tk8bt6/intel-core-i5-12600kf-37-ghz-6-core-processor-bx8071512600kf</x:v>
      </x:c>
    </x:row>
    <x:row r="53">
      <x:c r="A53" s="33" t="str">
        <x:v>cpu</x:v>
      </x:c>
      <x:c r="B53" s="34" t="str">
        <x:v>hf-cpu-409939</x:v>
      </x:c>
      <x:c r="C53" s="34" t="str">
        <x:v>AMD Ryzen 5 5500</x:v>
      </x:c>
      <x:c r="D53" s="34" t="str">
        <x:v>AMD</x:v>
      </x:c>
      <x:c r="E53" s="82" t="n">
        <x:v>90.34</x:v>
      </x:c>
      <x:c r="F53" s="34" t="str">
        <x:v>USD</x:v>
      </x:c>
      <x:c r="G53" s="34" t="str">
        <x:v>reference</x:v>
      </x:c>
      <x:c r="H53" s="34" t="str">
        <x:v>2026-06-28</x:v>
      </x:c>
      <x:c r="I53" s="34" t="str">
        <x:v>socket=AM4; cores=6; threads=12; baseClockGHz=3.6; boostClockGHz=4.2; tdpWatts=65; gamingScore=86; productivityScore=61; tier=mid</x:v>
      </x:c>
      <x:c r="J53" s="34" t="str">
        <x:v>AM4, mid, dataset</x:v>
      </x:c>
      <x:c r="K53" s="34" t="str">
        <x:v>6-core desktop processor with source-linked specifications; thread count and relative scores are derived for ranking.</x:v>
      </x:c>
      <x:c r="L53" s="34" t="str">
        <x:v>https://fr.pcpartpicker.com/product/yq2WGX/amd-ryzen-5-5500-36-ghz-6-core-processor-100-100000457box</x:v>
      </x:c>
      <x:c r="M53" s="35" t="str">
        <x:v>https://fr.pcpartpicker.com/product/yq2WGX/amd-ryzen-5-5500-36-ghz-6-core-processor-100-100000457box</x:v>
      </x:c>
    </x:row>
    <x:row r="54">
      <x:c r="A54" s="33" t="str">
        <x:v>cpu</x:v>
      </x:c>
      <x:c r="B54" s="34" t="str">
        <x:v>hf-cpu-30761</x:v>
      </x:c>
      <x:c r="C54" s="34" t="str">
        <x:v>Intel Core i5-4590</x:v>
      </x:c>
      <x:c r="D54" s="34" t="str">
        <x:v>Intel</x:v>
      </x:c>
      <x:c r="E54" s="82" t="n">
        <x:v>85.01</x:v>
      </x:c>
      <x:c r="F54" s="34" t="str">
        <x:v>USD</x:v>
      </x:c>
      <x:c r="G54" s="34" t="str">
        <x:v>reference</x:v>
      </x:c>
      <x:c r="H54" s="34" t="str">
        <x:v>2026-06-28</x:v>
      </x:c>
      <x:c r="I54" s="34" t="str">
        <x:v>socket=LGA1700; cores=4; threads=8; baseClockGHz=3.3; boostClockGHz=3.7; tdpWatts=84; gamingScore=78; productivityScore=53; tier=entry</x:v>
      </x:c>
      <x:c r="J54" s="34" t="str">
        <x:v>LGA1700, entry, dataset</x:v>
      </x:c>
      <x:c r="K54" s="34" t="str">
        <x:v>4-core desktop processor with source-linked specifications; thread count and relative scores are derived for ranking.</x:v>
      </x:c>
      <x:c r="L54" s="34" t="str">
        <x:v>https://fr.pcpartpicker.com/product/7bNp99/intel-cpu-bx80646i54590</x:v>
      </x:c>
      <x:c r="M54" s="35" t="str">
        <x:v>https://fr.pcpartpicker.com/product/7bNp99/intel-cpu-bx80646i54590</x:v>
      </x:c>
    </x:row>
    <x:row r="55">
      <x:c r="A55" s="33" t="str">
        <x:v>cpu</x:v>
      </x:c>
      <x:c r="B55" s="34" t="str">
        <x:v>hf-cpu-134229</x:v>
      </x:c>
      <x:c r="C55" s="34" t="str">
        <x:v>Intel Core i5-8400</x:v>
      </x:c>
      <x:c r="D55" s="34" t="str">
        <x:v>Intel</x:v>
      </x:c>
      <x:c r="E55" s="82" t="n">
        <x:v>216.74</x:v>
      </x:c>
      <x:c r="F55" s="34" t="str">
        <x:v>USD</x:v>
      </x:c>
      <x:c r="G55" s="34" t="str">
        <x:v>reference</x:v>
      </x:c>
      <x:c r="H55" s="34" t="str">
        <x:v>2026-06-28</x:v>
      </x:c>
      <x:c r="I55" s="34" t="str">
        <x:v>socket=LGA1700; cores=6; threads=12; baseClockGHz=2.8; boostClockGHz=4; tdpWatts=65; gamingScore=84; productivityScore=60; tier=mid</x:v>
      </x:c>
      <x:c r="J55" s="34" t="str">
        <x:v>LGA1700, mid, dataset</x:v>
      </x:c>
      <x:c r="K55" s="34" t="str">
        <x:v>6-core desktop processor with source-linked specifications; thread count and relative scores are derived for ranking.</x:v>
      </x:c>
      <x:c r="L55" s="34" t="str">
        <x:v>https://fr.pcpartpicker.com/product/LHYWGX/intel-core-i5-8400-28ghz-6-core-processor-bx80684i58400</x:v>
      </x:c>
      <x:c r="M55" s="35" t="str">
        <x:v>https://fr.pcpartpicker.com/product/LHYWGX/intel-core-i5-8400-28ghz-6-core-processor-bx80684i58400</x:v>
      </x:c>
    </x:row>
    <x:row r="56">
      <x:c r="A56" s="33" t="str">
        <x:v>cpu</x:v>
      </x:c>
      <x:c r="B56" s="34" t="str">
        <x:v>ca-newegg-cpu-intel-core-ultra-9-285k-arrow-lake-24-core-8p-16e-lga-1851-125w-deskto</x:v>
      </x:c>
      <x:c r="C56" s="34" t="str">
        <x:v>Intel Core Ultra 9 285K, Arrow Lake 24-Core (8P+16E), LGA 1851, 125W Desktop Processor - BX80768285K</x:v>
      </x:c>
      <x:c r="D56" s="34" t="str">
        <x:v>Intel</x:v>
      </x:c>
      <x:c r="E56" s="82" t="n">
        <x:v>585.23</x:v>
      </x:c>
      <x:c r="F56" s="34" t="str">
        <x:v>USD</x:v>
      </x:c>
      <x:c r="G56" s="34" t="str">
        <x:v>retail</x:v>
      </x:c>
      <x:c r="H56" s="34" t="str">
        <x:v>2026-06-29</x:v>
      </x:c>
      <x:c r="I56" s="34" t="str">
        <x:v>socket=LGA1851; cores=24; threads=24; baseClockGHz=3.7; boostClockGHz=5.7; tdpWatts=250; gamingScore=100; productivityScore=100; tier=enthusiast</x:v>
      </x:c>
      <x:c r="J56" s="34" t="str">
        <x:v>LGA1851, enthusiast, ca-retail</x:v>
      </x:c>
      <x:c r="K56" s="34" t="str">
        <x:v>24-core LGA1851 desktop processor from CA retailer; spec fields derived from listing when source omits them.</x:v>
      </x:c>
      <x:c r="L56" s="34" t="str">
        <x:v>https://www.newegg.ca/p/19-118-505</x:v>
      </x:c>
      <x:c r="M56" s="35" t="str">
        <x:v>https://www.newegg.ca/p/19-118-505</x:v>
      </x:c>
    </x:row>
    <x:row r="57">
      <x:c r="A57" s="33" t="str">
        <x:v>cpu</x:v>
      </x:c>
      <x:c r="B57" s="34" t="str">
        <x:v>ca-newegg-cpu-intel-core-ultra-7-265k-arrow-lake-20-core-8p-12e-lga-1851-125w-deskto</x:v>
      </x:c>
      <x:c r="C57" s="34" t="str">
        <x:v>Intel Core Ultra 7 265K, Arrow Lake 20-Core (8P+12E), LGA 1851, 125W Desktop Processor - BX80768265K</x:v>
      </x:c>
      <x:c r="D57" s="34" t="str">
        <x:v>Intel</x:v>
      </x:c>
      <x:c r="E57" s="82" t="n">
        <x:v>373.7</x:v>
      </x:c>
      <x:c r="F57" s="34" t="str">
        <x:v>USD</x:v>
      </x:c>
      <x:c r="G57" s="34" t="str">
        <x:v>retail</x:v>
      </x:c>
      <x:c r="H57" s="34" t="str">
        <x:v>2026-06-29</x:v>
      </x:c>
      <x:c r="I57" s="34" t="str">
        <x:v>socket=LGA1851; cores=20; threads=20; baseClockGHz=3.9; boostClockGHz=5.5; tdpWatts=250; gamingScore=100; productivityScore=100; tier=enthusiast</x:v>
      </x:c>
      <x:c r="J57" s="34" t="str">
        <x:v>LGA1851, enthusiast, ca-retail</x:v>
      </x:c>
      <x:c r="K57" s="34" t="str">
        <x:v>20-core LGA1851 desktop processor from CA retailer; spec fields derived from listing when source omits them.</x:v>
      </x:c>
      <x:c r="L57" s="34" t="str">
        <x:v>https://www.newegg.ca/p/9SIA9H5KWJ1274</x:v>
      </x:c>
      <x:c r="M57" s="35" t="str">
        <x:v>https://www.newegg.ca/p/9SIA9H5KWJ1274</x:v>
      </x:c>
    </x:row>
    <x:row r="58">
      <x:c r="A58" s="33" t="str">
        <x:v>cpu</x:v>
      </x:c>
      <x:c r="B58" s="34" t="str">
        <x:v>ca-newegg-cpu-intel-core-ultra-7-270k-plus-processor-24-cores-8-p-cores-16-e-cores-u</x:v>
      </x:c>
      <x:c r="C58" s="34" t="str">
        <x:v>Intel Core Ultra 7 270K Plus Processor 24 cores (8 P-cores + 16 E-cores) up to 5.5 GHz BX80768270K</x:v>
      </x:c>
      <x:c r="D58" s="34" t="str">
        <x:v>Intel</x:v>
      </x:c>
      <x:c r="E58" s="82" t="n">
        <x:v>310.24</x:v>
      </x:c>
      <x:c r="F58" s="34" t="str">
        <x:v>USD</x:v>
      </x:c>
      <x:c r="G58" s="34" t="str">
        <x:v>retail</x:v>
      </x:c>
      <x:c r="H58" s="34" t="str">
        <x:v>2026-06-29</x:v>
      </x:c>
      <x:c r="I58" s="34" t="str">
        <x:v>socket=LGA1851; cores=24; threads=24; baseClockGHz=3.7; boostClockGHz=5.5; tdpWatts=250; gamingScore=100; productivityScore=100; tier=enthusiast</x:v>
      </x:c>
      <x:c r="J58" s="34" t="str">
        <x:v>LGA1851, enthusiast, ca-retail</x:v>
      </x:c>
      <x:c r="K58" s="34" t="str">
        <x:v>24-core LGA1851 desktop processor from CA retailer; spec fields derived from listing when source omits them.</x:v>
      </x:c>
      <x:c r="L58" s="34" t="str">
        <x:v>https://www.newegg.ca/p/19-118-628</x:v>
      </x:c>
      <x:c r="M58" s="35" t="str">
        <x:v>https://www.newegg.ca/p/19-118-628</x:v>
      </x:c>
    </x:row>
    <x:row r="59">
      <x:c r="A59" s="33" t="str">
        <x:v>cpu</x:v>
      </x:c>
      <x:c r="B59" s="34" t="str">
        <x:v>ca-newegg-cpu-intel-core-ultra-5-245k-arrow-lake-14-core-6p-8e-lga-1851-125w-desktop</x:v>
      </x:c>
      <x:c r="C59" s="34" t="str">
        <x:v>Intel Core Ultra 5 245K, Arrow Lake 14-Core (6P+8E), LGA 1851, 125W Desktop Processor - BX80768245K</x:v>
      </x:c>
      <x:c r="D59" s="34" t="str">
        <x:v>Intel</x:v>
      </x:c>
      <x:c r="E59" s="82" t="n">
        <x:v>211.53</x:v>
      </x:c>
      <x:c r="F59" s="34" t="str">
        <x:v>USD</x:v>
      </x:c>
      <x:c r="G59" s="34" t="str">
        <x:v>retail</x:v>
      </x:c>
      <x:c r="H59" s="34" t="str">
        <x:v>2026-06-29</x:v>
      </x:c>
      <x:c r="I59" s="34" t="str">
        <x:v>socket=LGA1851; cores=14; threads=14; baseClockGHz=4.2; boostClockGHz=5.2; tdpWatts=159; gamingScore=100; productivityScore=91; tier=high</x:v>
      </x:c>
      <x:c r="J59" s="34" t="str">
        <x:v>LGA1851, high, ca-retail</x:v>
      </x:c>
      <x:c r="K59" s="34" t="str">
        <x:v>14-core LGA1851 desktop processor from CA retailer; spec fields derived from listing when source omits them.</x:v>
      </x:c>
      <x:c r="L59" s="34" t="str">
        <x:v>https://www.newegg.ca/p/19-118-508</x:v>
      </x:c>
      <x:c r="M59" s="35" t="str">
        <x:v>https://www.newegg.ca/p/19-118-508</x:v>
      </x:c>
    </x:row>
    <x:row r="60">
      <x:c r="A60" s="33" t="str">
        <x:v>cpu</x:v>
      </x:c>
      <x:c r="B60" s="34" t="str">
        <x:v>ca-newegg-cpu-intel-core-ultra-5-250k-plus-processor-18-cores-6-p-cores-12-e-cores-u</x:v>
      </x:c>
      <x:c r="C60" s="34" t="str">
        <x:v>Intel Core Ultra 5 250K Plus Processor 18 cores (6 P-cores + 12 E-cores) up to 5.3 GHz BX80768250K</x:v>
      </x:c>
      <x:c r="D60" s="34" t="str">
        <x:v>Intel</x:v>
      </x:c>
      <x:c r="E60" s="82" t="n">
        <x:v>211.53</x:v>
      </x:c>
      <x:c r="F60" s="34" t="str">
        <x:v>USD</x:v>
      </x:c>
      <x:c r="G60" s="34" t="str">
        <x:v>retail</x:v>
      </x:c>
      <x:c r="H60" s="34" t="str">
        <x:v>2026-06-29</x:v>
      </x:c>
      <x:c r="I60" s="34" t="str">
        <x:v>socket=LGA1851; cores=18; threads=18; baseClockGHz=4.2; boostClockGHz=5.3; tdpWatts=159; gamingScore=100; productivityScore=100; tier=enthusiast</x:v>
      </x:c>
      <x:c r="J60" s="34" t="str">
        <x:v>LGA1851, enthusiast, ca-retail</x:v>
      </x:c>
      <x:c r="K60" s="34" t="str">
        <x:v>18-core LGA1851 desktop processor from CA retailer; spec fields derived from listing when source omits them.</x:v>
      </x:c>
      <x:c r="L60" s="34" t="str">
        <x:v>https://www.newegg.ca/p/19-118-629</x:v>
      </x:c>
      <x:c r="M60" s="35" t="str">
        <x:v>https://www.newegg.ca/p/19-118-629</x:v>
      </x:c>
    </x:row>
    <x:row r="61">
      <x:c r="A61" s="33" t="str">
        <x:v>cpu</x:v>
      </x:c>
      <x:c r="B61" s="34" t="str">
        <x:v>ca-newegg-cpu-intel-core-ultra-5-235-core-ultra-5-series-2-arrow-lake-14-core-6p-8e-</x:v>
      </x:c>
      <x:c r="C61" s="34" t="str">
        <x:v>Intel Core Ultra 5 235 - Core Ultra 5 (Series 2) Arrow Lake 14-Core (6P+8E) 2.9 GHz (E-core base) / 3.4 GHz (P-core base) LGA 1851 65W Intel Graphics Desktop CPU Processor - BX80768235</x:v>
      </x:c>
      <x:c r="D61" s="34" t="str">
        <x:v>Intel</x:v>
      </x:c>
      <x:c r="E61" s="82" t="n">
        <x:v>296.14</x:v>
      </x:c>
      <x:c r="F61" s="34" t="str">
        <x:v>USD</x:v>
      </x:c>
      <x:c r="G61" s="34" t="str">
        <x:v>retail</x:v>
      </x:c>
      <x:c r="H61" s="34" t="str">
        <x:v>2026-06-29</x:v>
      </x:c>
      <x:c r="I61" s="34" t="str">
        <x:v>socket=LGA1851; cores=14; threads=14; baseClockGHz=2.9; boostClockGHz=3.4; tdpWatts=65; gamingScore=85; productivityScore=86; tier=high</x:v>
      </x:c>
      <x:c r="J61" s="34" t="str">
        <x:v>LGA1851, high, ca-retail</x:v>
      </x:c>
      <x:c r="K61" s="34" t="str">
        <x:v>14-core LGA1851 desktop processor from CA retailer; spec fields derived from listing when source omits them.</x:v>
      </x:c>
      <x:c r="L61" s="34" t="str">
        <x:v>https://www.newegg.ca/p/19-118-584</x:v>
      </x:c>
      <x:c r="M61" s="35" t="str">
        <x:v>https://www.newegg.ca/p/19-118-584</x:v>
      </x:c>
    </x:row>
    <x:row r="62">
      <x:c r="A62" s="33" t="str">
        <x:v>cpu</x:v>
      </x:c>
      <x:c r="B62" s="34" t="str">
        <x:v>ca-newegg-cpu-intel-core-ultra-5-225-core-ultra-5-series-2-arrow-lake-10-core-6p-4e-</x:v>
      </x:c>
      <x:c r="C62" s="34" t="str">
        <x:v>Intel Core Ultra 5 225 - Core Ultra 5 (Series 2) Arrow Lake 10-Core (6P+4E) Performance-core Base Frequency: 3.3 GHz Efficient-core Base Frequency: 2.7 GHz LGA 1851 65W Intel Graphics Desktop CPU Proc</x:v>
      </x:c>
      <x:c r="D62" s="34" t="str">
        <x:v>Intel</x:v>
      </x:c>
      <x:c r="E62" s="82" t="n">
        <x:v>190.37</x:v>
      </x:c>
      <x:c r="F62" s="34" t="str">
        <x:v>USD</x:v>
      </x:c>
      <x:c r="G62" s="34" t="str">
        <x:v>retail</x:v>
      </x:c>
      <x:c r="H62" s="34" t="str">
        <x:v>2026-06-29</x:v>
      </x:c>
      <x:c r="I62" s="34" t="str">
        <x:v>socket=LGA1851; cores=10; threads=10; baseClockGHz=3.3; boostClockGHz=3.3; tdpWatts=65; gamingScore=81; productivityScore=72; tier=high</x:v>
      </x:c>
      <x:c r="J62" s="34" t="str">
        <x:v>LGA1851, high, ca-retail</x:v>
      </x:c>
      <x:c r="K62" s="34" t="str">
        <x:v>10-core LGA1851 desktop processor from CA retailer; spec fields derived from listing when source omits them.</x:v>
      </x:c>
      <x:c r="L62" s="34" t="str">
        <x:v>https://www.newegg.ca/p/19-118-577</x:v>
      </x:c>
      <x:c r="M62" s="35" t="str">
        <x:v>https://www.newegg.ca/p/19-118-577</x:v>
      </x:c>
    </x:row>
    <x:row r="63">
      <x:c r="A63" s="33" t="str">
        <x:v>cpu</x:v>
      </x:c>
      <x:c r="B63" s="34" t="str">
        <x:v>ca-newegg-cpu-amd-ryzen-9-9950x3d-ryzen-9-9000-series-granite-ridge-zen-5-16-core-4-</x:v>
      </x:c>
      <x:c r="C63" s="34" t="str">
        <x:v>AMD Ryzen 9 9950X3D - Ryzen 9 9000 Series Granite Ridge (Zen 5) 16-Core 4.3 GHz Socket AM5 170W AMD Radeon Graphics Desktop CPU Processor - 100-100000719WOF</x:v>
      </x:c>
      <x:c r="D63" s="34" t="str">
        <x:v>AMD</x:v>
      </x:c>
      <x:c r="E63" s="82" t="n">
        <x:v>740.36</x:v>
      </x:c>
      <x:c r="F63" s="34" t="str">
        <x:v>USD</x:v>
      </x:c>
      <x:c r="G63" s="34" t="str">
        <x:v>retail</x:v>
      </x:c>
      <x:c r="H63" s="34" t="str">
        <x:v>2026-06-29</x:v>
      </x:c>
      <x:c r="I63" s="34" t="str">
        <x:v>socket=AM5; cores=16; threads=32; baseClockGHz=4.3; tdpWatts=170; gamingScore=94; productivityScore=94; tier=enthusiast</x:v>
      </x:c>
      <x:c r="J63" s="34" t="str">
        <x:v>AM5, enthusiast, ca-retail</x:v>
      </x:c>
      <x:c r="K63" s="34" t="str">
        <x:v>16-core AM5 desktop processor from CA retailer; spec fields derived from listing when source omits them.</x:v>
      </x:c>
      <x:c r="L63" s="34" t="str">
        <x:v>https://www.newegg.ca/p/19-113-884</x:v>
      </x:c>
      <x:c r="M63" s="35" t="str">
        <x:v>https://www.newegg.ca/p/19-113-884</x:v>
      </x:c>
    </x:row>
    <x:row r="64">
      <x:c r="A64" s="33" t="str">
        <x:v>cpu</x:v>
      </x:c>
      <x:c r="B64" s="34" t="str">
        <x:v>ca-newegg-cpu-amd-ryzen-9-9950x3d2-dual-edition-ryzen-9-9000-series-granite-ridge-16</x:v>
      </x:c>
      <x:c r="C64" s="34" t="str">
        <x:v>AMD Ryzen 9 9950X3D2 Dual Edition - Ryzen 9 9000 Series Granite Ridge 16-Core 4.3 GHz Socket AM5 200W AMD Radeon Graphics Desktop CPU Processor - 100-100001978WOF</x:v>
      </x:c>
      <x:c r="D64" s="34" t="str">
        <x:v>AMD</x:v>
      </x:c>
      <x:c r="E64" s="82" t="n">
        <x:v>867.28</x:v>
      </x:c>
      <x:c r="F64" s="34" t="str">
        <x:v>USD</x:v>
      </x:c>
      <x:c r="G64" s="34" t="str">
        <x:v>retail</x:v>
      </x:c>
      <x:c r="H64" s="34" t="str">
        <x:v>2026-06-29</x:v>
      </x:c>
      <x:c r="I64" s="34" t="str">
        <x:v>socket=AM5; cores=16; threads=32; baseClockGHz=4.3; tdpWatts=200; gamingScore=94; productivityScore=94; tier=enthusiast</x:v>
      </x:c>
      <x:c r="J64" s="34" t="str">
        <x:v>AM5, enthusiast, ca-retail</x:v>
      </x:c>
      <x:c r="K64" s="34" t="str">
        <x:v>16-core AM5 desktop processor from CA retailer; spec fields derived from listing when source omits them.</x:v>
      </x:c>
      <x:c r="L64" s="34" t="str">
        <x:v>https://www.newegg.ca/p/19-113-938</x:v>
      </x:c>
      <x:c r="M64" s="35" t="str">
        <x:v>https://www.newegg.ca/p/19-113-938</x:v>
      </x:c>
    </x:row>
    <x:row r="65">
      <x:c r="A65" s="33" t="str">
        <x:v>cpu</x:v>
      </x:c>
      <x:c r="B65" s="34" t="str">
        <x:v>ca-newegg-cpu-amd-ryzen-9-9900x3d-ryzen-9-9000-series-granite-ridge-zen-5-12-core-4-</x:v>
      </x:c>
      <x:c r="C65" s="34" t="str">
        <x:v>AMD Ryzen 9 9900X3D - Ryzen 9 9000 Series Granite Ridge (Zen 5) 12-Core 4.4 GHz Socket AM5 120W AMD Radeon Graphics Processor - 100-100001368WOF</x:v>
      </x:c>
      <x:c r="D65" s="34" t="str">
        <x:v>AMD</x:v>
      </x:c>
      <x:c r="E65" s="82" t="n">
        <x:v>634.59</x:v>
      </x:c>
      <x:c r="F65" s="34" t="str">
        <x:v>USD</x:v>
      </x:c>
      <x:c r="G65" s="34" t="str">
        <x:v>retail</x:v>
      </x:c>
      <x:c r="H65" s="34" t="str">
        <x:v>2026-06-29</x:v>
      </x:c>
      <x:c r="I65" s="34" t="str">
        <x:v>socket=AM5; cores=12; threads=24; baseClockGHz=4.4; tdpWatts=120; gamingScore=93; productivityScore=81; tier=enthusiast</x:v>
      </x:c>
      <x:c r="J65" s="34" t="str">
        <x:v>AM5, enthusiast, ca-retail</x:v>
      </x:c>
      <x:c r="K65" s="34" t="str">
        <x:v>12-core AM5 desktop processor from CA retailer; spec fields derived from listing when source omits them.</x:v>
      </x:c>
      <x:c r="L65" s="34" t="str">
        <x:v>https://www.newegg.ca/p/19-113-886</x:v>
      </x:c>
      <x:c r="M65" s="35" t="str">
        <x:v>https://www.newegg.ca/p/19-113-886</x:v>
      </x:c>
    </x:row>
    <x:row r="66">
      <x:c r="A66" s="33" t="str">
        <x:v>cpu</x:v>
      </x:c>
      <x:c r="B66" s="34" t="str">
        <x:v>ca-newegg-cpu-amd-ryzen-9-9950x-ryzen-9-9000-series-granite-ridge-zen-5-16-core-4-3-</x:v>
      </x:c>
      <x:c r="C66" s="34" t="str">
        <x:v>AMD Ryzen 9 9950X - Ryzen 9 9000 Series Granite Ridge (Zen 5) 16-Core 4.3 GHz - Socket AM5 170W - Radeon Graphics Processor - 100-100001277WOF</x:v>
      </x:c>
      <x:c r="D66" s="34" t="str">
        <x:v>AMD</x:v>
      </x:c>
      <x:c r="E66" s="82" t="n">
        <x:v>634.59</x:v>
      </x:c>
      <x:c r="F66" s="34" t="str">
        <x:v>USD</x:v>
      </x:c>
      <x:c r="G66" s="34" t="str">
        <x:v>retail</x:v>
      </x:c>
      <x:c r="H66" s="34" t="str">
        <x:v>2026-06-29</x:v>
      </x:c>
      <x:c r="I66" s="34" t="str">
        <x:v>socket=AM5; cores=16; threads=32; baseClockGHz=4.3; tdpWatts=170; gamingScore=94; productivityScore=94; tier=enthusiast</x:v>
      </x:c>
      <x:c r="J66" s="34" t="str">
        <x:v>AM5, enthusiast, ca-retail</x:v>
      </x:c>
      <x:c r="K66" s="34" t="str">
        <x:v>16-core AM5 desktop processor from CA retailer; spec fields derived from listing when source omits them.</x:v>
      </x:c>
      <x:c r="L66" s="34" t="str">
        <x:v>https://www.newegg.ca/p/9SIADGEKD29106</x:v>
      </x:c>
      <x:c r="M66" s="35" t="str">
        <x:v>https://www.newegg.ca/p/9SIADGEKD29106</x:v>
      </x:c>
    </x:row>
    <x:row r="67">
      <x:c r="A67" s="33" t="str">
        <x:v>cpu</x:v>
      </x:c>
      <x:c r="B67" s="34" t="str">
        <x:v>ca-newegg-cpu-amd-ryzen-9-9900x-ryzen-9-9000-series-granite-ridge-zen-5-12-core-4-4-</x:v>
      </x:c>
      <x:c r="C67" s="34" t="str">
        <x:v>AMD Ryzen 9 9900X - Ryzen 9 9000 Series Granite Ridge (Zen 5) 12-Core 4.4 GHz - Socket AM5 120W - Radeon Graphics Processor - 100-100000662WOF</x:v>
      </x:c>
      <x:c r="D67" s="34" t="str">
        <x:v>AMD</x:v>
      </x:c>
      <x:c r="E67" s="82" t="n">
        <x:v>487.61</x:v>
      </x:c>
      <x:c r="F67" s="34" t="str">
        <x:v>USD</x:v>
      </x:c>
      <x:c r="G67" s="34" t="str">
        <x:v>retail</x:v>
      </x:c>
      <x:c r="H67" s="34" t="str">
        <x:v>2026-06-29</x:v>
      </x:c>
      <x:c r="I67" s="34" t="str">
        <x:v>socket=AM5; cores=12; threads=24; baseClockGHz=4.4; tdpWatts=120; gamingScore=93; productivityScore=81; tier=high</x:v>
      </x:c>
      <x:c r="J67" s="34" t="str">
        <x:v>AM5, high, ca-retail</x:v>
      </x:c>
      <x:c r="K67" s="34" t="str">
        <x:v>12-core AM5 desktop processor from CA retailer; spec fields derived from listing when source omits them.</x:v>
      </x:c>
      <x:c r="L67" s="34" t="str">
        <x:v>https://www.newegg.ca/p/9SIADGEKDJ7863</x:v>
      </x:c>
      <x:c r="M67" s="35" t="str">
        <x:v>https://www.newegg.ca/p/9SIADGEKDJ7863</x:v>
      </x:c>
    </x:row>
    <x:row r="68">
      <x:c r="A68" s="33" t="str">
        <x:v>cpu</x:v>
      </x:c>
      <x:c r="B68" s="34" t="str">
        <x:v>ca-newegg-cpu-amd-ryzen-7-9850x3d-ryzen-7-9000-series-8-core-5-6ghz-socket-am5-120w-</x:v>
      </x:c>
      <x:c r="C68" s="34" t="str">
        <x:v>AMD Ryzen 7 9850X3D - Ryzen 7 9000 Series 8-Core 5.6GHz - Socket AM5 120W - AMD Radeon Graphics Desktop Processor - 100-100001973WOF</x:v>
      </x:c>
      <x:c r="D68" s="34" t="str">
        <x:v>AMD</x:v>
      </x:c>
      <x:c r="E68" s="82" t="n">
        <x:v>486.52</x:v>
      </x:c>
      <x:c r="F68" s="34" t="str">
        <x:v>USD</x:v>
      </x:c>
      <x:c r="G68" s="34" t="str">
        <x:v>retail</x:v>
      </x:c>
      <x:c r="H68" s="34" t="str">
        <x:v>2026-06-29</x:v>
      </x:c>
      <x:c r="I68" s="34" t="str">
        <x:v>socket=AM5; cores=8; threads=16; baseClockGHz=5.6; tdpWatts=120; gamingScore=100; productivityScore=67; tier=high</x:v>
      </x:c>
      <x:c r="J68" s="34" t="str">
        <x:v>AM5, high, ca-retail</x:v>
      </x:c>
      <x:c r="K68" s="34" t="str">
        <x:v>8-core AM5 desktop processor from CA retailer; spec fields derived from listing when source omits them.</x:v>
      </x:c>
      <x:c r="L68" s="34" t="str">
        <x:v>https://www.newegg.ca/p/19-113-934</x:v>
      </x:c>
      <x:c r="M68" s="35" t="str">
        <x:v>https://www.newegg.ca/p/19-113-934</x:v>
      </x:c>
    </x:row>
    <x:row r="69">
      <x:c r="A69" s="33" t="str">
        <x:v>cpu</x:v>
      </x:c>
      <x:c r="B69" s="34" t="str">
        <x:v>ca-newegg-cpu-amd-ryzen-7-9800x3d-ryzen-7-9000-series-zen-5-8-core-5-2-ghz-socket-am</x:v>
      </x:c>
      <x:c r="C69" s="34" t="str">
        <x:v>AMD Ryzen 7 9800X3D - Ryzen 7 9000 Series Zen 5 8-Core 5.2 GHz - Socket AM5 120W - AMD Radeon Graphics Desktop Processor - 100-100001084WOF</x:v>
      </x:c>
      <x:c r="D69" s="34" t="str">
        <x:v>AMD</x:v>
      </x:c>
      <x:c r="E69" s="82" t="n">
        <x:v>423.06</x:v>
      </x:c>
      <x:c r="F69" s="34" t="str">
        <x:v>USD</x:v>
      </x:c>
      <x:c r="G69" s="34" t="str">
        <x:v>retail</x:v>
      </x:c>
      <x:c r="H69" s="34" t="str">
        <x:v>2026-06-29</x:v>
      </x:c>
      <x:c r="I69" s="34" t="str">
        <x:v>socket=AM5; cores=8; threads=16; baseClockGHz=5.2; tdpWatts=120; gamingScore=97; productivityScore=67; tier=high</x:v>
      </x:c>
      <x:c r="J69" s="34" t="str">
        <x:v>AM5, high, ca-retail</x:v>
      </x:c>
      <x:c r="K69" s="34" t="str">
        <x:v>8-core AM5 desktop processor from CA retailer; spec fields derived from listing when source omits them.</x:v>
      </x:c>
      <x:c r="L69" s="34" t="str">
        <x:v>https://www.newegg.ca/p/9SIADGEKF87287</x:v>
      </x:c>
      <x:c r="M69" s="35" t="str">
        <x:v>https://www.newegg.ca/p/9SIADGEKF87287</x:v>
      </x:c>
    </x:row>
    <x:row r="70">
      <x:c r="A70" s="33" t="str">
        <x:v>cpu</x:v>
      </x:c>
      <x:c r="B70" s="34" t="str">
        <x:v>ca-newegg-cpu-amd-ryzen-7-9800x3d-ryzen-7-9000-series-8-core-socket-am5-120w-amd-rad</x:v>
      </x:c>
      <x:c r="C70" s="34" t="str">
        <x:v>AMD Ryzen 7 9800X3D - Ryzen 7 9000 Series 8-Core Socket AM5 120W AMD Radeon Graphics Processor - 100-000001084 - OEM</x:v>
      </x:c>
      <x:c r="D70" s="34" t="str">
        <x:v>AMD</x:v>
      </x:c>
      <x:c r="E70" s="82" t="n">
        <x:v>584.23</x:v>
      </x:c>
      <x:c r="F70" s="34" t="str">
        <x:v>USD</x:v>
      </x:c>
      <x:c r="G70" s="34" t="str">
        <x:v>retail</x:v>
      </x:c>
      <x:c r="H70" s="34" t="str">
        <x:v>2026-06-29</x:v>
      </x:c>
      <x:c r="I70" s="34" t="str">
        <x:v>socket=AM5; cores=8; threads=16; tdpWatts=120; gamingScore=82; productivityScore=67; tier=enthusiast</x:v>
      </x:c>
      <x:c r="J70" s="34" t="str">
        <x:v>AM5, enthusiast, ca-retail</x:v>
      </x:c>
      <x:c r="K70" s="34" t="str">
        <x:v>8-core AM5 desktop processor from CA retailer; spec fields derived from listing when source omits them.</x:v>
      </x:c>
      <x:c r="L70" s="34" t="str">
        <x:v>https://www.newegg.ca/p/9SIADDZKJV7483</x:v>
      </x:c>
      <x:c r="M70" s="35" t="str">
        <x:v>https://www.newegg.ca/p/9SIADDZKJV7483</x:v>
      </x:c>
    </x:row>
    <x:row r="71">
      <x:c r="A71" s="33" t="str">
        <x:v>cpu</x:v>
      </x:c>
      <x:c r="B71" s="34" t="str">
        <x:v>ca-newegg-cpu-amd-ryzen-7-9800x3d-ryzen-7-9000-series-zen-5-8-core-5-2-ghz-socket-am-1</x:v>
      </x:c>
      <x:c r="C71" s="34" t="str">
        <x:v>AMD Ryzen 7 9800X3D - Ryzen 7 9000 Series Zen 5 8-Core 5.2 GHz - Socket AM5 120W - AMD Radeon Graphics Desktop Processor - 100-100001084WOZ--International Version With Warranty Of Three Years</x:v>
      </x:c>
      <x:c r="D71" s="34" t="str">
        <x:v>AMD</x:v>
      </x:c>
      <x:c r="E71" s="82" t="n">
        <x:v>654.74</x:v>
      </x:c>
      <x:c r="F71" s="34" t="str">
        <x:v>USD</x:v>
      </x:c>
      <x:c r="G71" s="34" t="str">
        <x:v>retail</x:v>
      </x:c>
      <x:c r="H71" s="34" t="str">
        <x:v>2026-06-29</x:v>
      </x:c>
      <x:c r="I71" s="34" t="str">
        <x:v>socket=AM5; cores=8; threads=16; baseClockGHz=5.2; tdpWatts=120; gamingScore=97; productivityScore=67; tier=enthusiast</x:v>
      </x:c>
      <x:c r="J71" s="34" t="str">
        <x:v>AM5, enthusiast, ca-retail</x:v>
      </x:c>
      <x:c r="K71" s="34" t="str">
        <x:v>8-core AM5 desktop processor from CA retailer; spec fields derived from listing when source omits them.</x:v>
      </x:c>
      <x:c r="L71" s="34" t="str">
        <x:v>https://www.newegg.ca/p/9SIADDZKJV7488</x:v>
      </x:c>
      <x:c r="M71" s="35" t="str">
        <x:v>https://www.newegg.ca/p/9SIADDZKJV7488</x:v>
      </x:c>
    </x:row>
    <x:row r="72">
      <x:c r="A72" s="33" t="str">
        <x:v>cpu</x:v>
      </x:c>
      <x:c r="B72" s="34" t="str">
        <x:v>ca-canadacomputers-cpu-intel-core-ultra-9-285k-desktop-processor-24-cores-8p-16e-lga1851</x:v>
      </x:c>
      <x:c r="C72" s="34" t="str">
        <x:v>Intel Core Ultra 9 285K Desktop Processor 24 cores (8P+16E) LGA1851</x:v>
      </x:c>
      <x:c r="D72" s="34" t="str">
        <x:v>INTEL</x:v>
      </x:c>
      <x:c r="E72" s="82" t="n">
        <x:v>577.49</x:v>
      </x:c>
      <x:c r="F72" s="34" t="str">
        <x:v>USD</x:v>
      </x:c>
      <x:c r="G72" s="34" t="str">
        <x:v>retail</x:v>
      </x:c>
      <x:c r="H72" s="34" t="str">
        <x:v>2026-06-29</x:v>
      </x:c>
      <x:c r="I72" s="34" t="str">
        <x:v>socket=LGA1851; cores=24; threads=24; baseClockGHz=3.7; boostClockGHz=5.7; tdpWatts=250; gamingScore=100; productivityScore=100; tier=enthusiast</x:v>
      </x:c>
      <x:c r="J72" s="34" t="str">
        <x:v>LGA1851, enthusiast, ca-retail</x:v>
      </x:c>
      <x:c r="K72" s="34" t="str">
        <x:v>24-core LGA1851 desktop processor from CA retailer; spec fields derived from listing when source omits them.</x:v>
      </x:c>
      <x:c r="L72" s="34" t="str">
        <x:v>https://www.canadacomputers.com/en/intel-desktop-processors/263476/intel-core-ultra-9-285k-desktop-processor-24-cores-8p-16e-lga1851-bx80768285k.html</x:v>
      </x:c>
      <x:c r="M72" s="35" t="str">
        <x:v>https://www.canadacomputers.com/en/intel-desktop-processors/263476/intel-core-ultra-9-285k-desktop-processor-24-cores-8p-16e-lga1851-bx80768285k.html</x:v>
      </x:c>
    </x:row>
    <x:row r="73">
      <x:c r="A73" s="33" t="str">
        <x:v>cpu</x:v>
      </x:c>
      <x:c r="B73" s="34" t="str">
        <x:v>ca-canadacomputers-cpu-intel-core-ultra-7-265k-desktop-processor-20-cores-8p-12e-lga1851</x:v>
      </x:c>
      <x:c r="C73" s="34" t="str">
        <x:v>Intel Core Ultra 7 265K Desktop Processor 20 cores (8P+12E) LGA1851</x:v>
      </x:c>
      <x:c r="D73" s="34" t="str">
        <x:v>INTEL</x:v>
      </x:c>
      <x:c r="E73" s="82" t="n">
        <x:v>310.24</x:v>
      </x:c>
      <x:c r="F73" s="34" t="str">
        <x:v>USD</x:v>
      </x:c>
      <x:c r="G73" s="34" t="str">
        <x:v>retail</x:v>
      </x:c>
      <x:c r="H73" s="34" t="str">
        <x:v>2026-06-29</x:v>
      </x:c>
      <x:c r="I73" s="34" t="str">
        <x:v>socket=LGA1851; cores=20; threads=20; baseClockGHz=3.9; boostClockGHz=5.5; tdpWatts=250; gamingScore=100; productivityScore=100; tier=enthusiast</x:v>
      </x:c>
      <x:c r="J73" s="34" t="str">
        <x:v>LGA1851, enthusiast, ca-retail</x:v>
      </x:c>
      <x:c r="K73" s="34" t="str">
        <x:v>20-core LGA1851 desktop processor from CA retailer; spec fields derived from listing when source omits them.</x:v>
      </x:c>
      <x:c r="L73" s="34" t="str">
        <x:v>https://www.canadacomputers.com/en/intel-desktop-processors/263477/intel-core-ultra-7-265k-desktop-processor-20-cores-8p-12e-lga1851-bx80768265k.html</x:v>
      </x:c>
      <x:c r="M73" s="35" t="str">
        <x:v>https://www.canadacomputers.com/en/intel-desktop-processors/263477/intel-core-ultra-7-265k-desktop-processor-20-cores-8p-12e-lga1851-bx80768265k.html</x:v>
      </x:c>
    </x:row>
    <x:row r="74">
      <x:c r="A74" s="33" t="str">
        <x:v>cpu</x:v>
      </x:c>
      <x:c r="B74" s="34" t="str">
        <x:v>ca-canadacomputers-cpu-intel-core-ultra-7-270k-plus-desktop-processor-24-cores-8p-16e</x:v>
      </x:c>
      <x:c r="C74" s="34" t="str">
        <x:v>Intel Core Ultra 7 270K Plus Desktop Processor 24 cores (8P+16E)</x:v>
      </x:c>
      <x:c r="D74" s="34" t="str">
        <x:v>INTEL</x:v>
      </x:c>
      <x:c r="E74" s="82" t="n">
        <x:v>310.24</x:v>
      </x:c>
      <x:c r="F74" s="34" t="str">
        <x:v>USD</x:v>
      </x:c>
      <x:c r="G74" s="34" t="str">
        <x:v>retail</x:v>
      </x:c>
      <x:c r="H74" s="34" t="str">
        <x:v>2026-06-29</x:v>
      </x:c>
      <x:c r="I74" s="34" t="str">
        <x:v>socket=LGA1851; cores=24; threads=24; baseClockGHz=3.7; boostClockGHz=5.5; tdpWatts=250; gamingScore=100; productivityScore=100; tier=enthusiast</x:v>
      </x:c>
      <x:c r="J74" s="34" t="str">
        <x:v>LGA1851, enthusiast, ca-retail</x:v>
      </x:c>
      <x:c r="K74" s="34" t="str">
        <x:v>24-core LGA1851 desktop processor from CA retailer; spec fields derived from listing when source omits them.</x:v>
      </x:c>
      <x:c r="L74" s="34" t="str">
        <x:v>https://www.canadacomputers.com/en/intel-desktop-processors/287708/intel-core-ultra-7-270k-plus-desktop-processor-24-cores-8p-16e-bx80768270k.html</x:v>
      </x:c>
      <x:c r="M74" s="35" t="str">
        <x:v>https://www.canadacomputers.com/en/intel-desktop-processors/287708/intel-core-ultra-7-270k-plus-desktop-processor-24-cores-8p-16e-bx80768270k.html</x:v>
      </x:c>
    </x:row>
    <x:row r="75">
      <x:c r="A75" s="33" t="str">
        <x:v>cpu</x:v>
      </x:c>
      <x:c r="B75" s="34" t="str">
        <x:v>ca-canadacomputers-cpu-intel-core-ultra-5-245k-desktop-processor-14-cores-6p-8e-lga1851</x:v>
      </x:c>
      <x:c r="C75" s="34" t="str">
        <x:v>Intel Core Ultra 5 245K Desktop Processor 14 cores (6P+8E) LGA1851</x:v>
      </x:c>
      <x:c r="D75" s="34" t="str">
        <x:v>INTEL</x:v>
      </x:c>
      <x:c r="E75" s="82" t="n">
        <x:v>204.47</x:v>
      </x:c>
      <x:c r="F75" s="34" t="str">
        <x:v>USD</x:v>
      </x:c>
      <x:c r="G75" s="34" t="str">
        <x:v>retail</x:v>
      </x:c>
      <x:c r="H75" s="34" t="str">
        <x:v>2026-06-29</x:v>
      </x:c>
      <x:c r="I75" s="34" t="str">
        <x:v>socket=LGA1851; cores=14; threads=14; baseClockGHz=4.2; boostClockGHz=5.2; tdpWatts=159; gamingScore=100; productivityScore=91; tier=high</x:v>
      </x:c>
      <x:c r="J75" s="34" t="str">
        <x:v>LGA1851, high, ca-retail</x:v>
      </x:c>
      <x:c r="K75" s="34" t="str">
        <x:v>14-core LGA1851 desktop processor from CA retailer; spec fields derived from listing when source omits them.</x:v>
      </x:c>
      <x:c r="L75" s="34" t="str">
        <x:v>https://www.canadacomputers.com/en/intel-desktop-processors/263479/intel-core-ultra-5-245k-desktop-processor-14-cores-6p-8e-lga1851-bx80768245k.html</x:v>
      </x:c>
      <x:c r="M75" s="35" t="str">
        <x:v>https://www.canadacomputers.com/en/intel-desktop-processors/263479/intel-core-ultra-5-245k-desktop-processor-14-cores-6p-8e-lga1851-bx80768245k.html</x:v>
      </x:c>
    </x:row>
    <x:row r="76">
      <x:c r="A76" s="33" t="str">
        <x:v>cpu</x:v>
      </x:c>
      <x:c r="B76" s="34" t="str">
        <x:v>ca-canadacomputers-cpu-intel-core-ultra-5-250k-plus-125w-18-6p-12e-core-cpu</x:v>
      </x:c>
      <x:c r="C76" s="34" t="str">
        <x:v>Intel Core Ultra 5 250K Plus 125W 18 (6P+12E) core CPU</x:v>
      </x:c>
      <x:c r="D76" s="34" t="str">
        <x:v>INTEL</x:v>
      </x:c>
      <x:c r="E76" s="82" t="n">
        <x:v>211.53</x:v>
      </x:c>
      <x:c r="F76" s="34" t="str">
        <x:v>USD</x:v>
      </x:c>
      <x:c r="G76" s="34" t="str">
        <x:v>retail</x:v>
      </x:c>
      <x:c r="H76" s="34" t="str">
        <x:v>2026-06-29</x:v>
      </x:c>
      <x:c r="I76" s="34" t="str">
        <x:v>socket=LGA1851; cores=18; threads=18; baseClockGHz=4.2; boostClockGHz=5.3; tdpWatts=159; gamingScore=100; productivityScore=100; tier=enthusiast</x:v>
      </x:c>
      <x:c r="J76" s="34" t="str">
        <x:v>LGA1851, enthusiast, ca-retail</x:v>
      </x:c>
      <x:c r="K76" s="34" t="str">
        <x:v>18-core LGA1851 desktop processor from CA retailer; spec fields derived from listing when source omits them.</x:v>
      </x:c>
      <x:c r="L76" s="34" t="str">
        <x:v>https://www.canadacomputers.com/en/intel-desktop-processors/287709/intel-core-ultra-5-250k-plus-125w-18-6p-12e-core-cpu-bx80768250k.html</x:v>
      </x:c>
      <x:c r="M76" s="35" t="str">
        <x:v>https://www.canadacomputers.com/en/intel-desktop-processors/287709/intel-core-ultra-5-250k-plus-125w-18-6p-12e-core-cpu-bx80768250k.html</x:v>
      </x:c>
    </x:row>
    <x:row r="77">
      <x:c r="A77" s="33" t="str">
        <x:v>cpu</x:v>
      </x:c>
      <x:c r="B77" s="34" t="str">
        <x:v>ca-canadacomputers-cpu-intel-core-ultra-5-225f-10-core-65w-cpu</x:v>
      </x:c>
      <x:c r="C77" s="34" t="str">
        <x:v>INTEL Core Ultra 5 225F 10-Core 65W CPU</x:v>
      </x:c>
      <x:c r="D77" s="34" t="str">
        <x:v>INTEL</x:v>
      </x:c>
      <x:c r="E77" s="82" t="n">
        <x:v>148.07</x:v>
      </x:c>
      <x:c r="F77" s="34" t="str">
        <x:v>USD</x:v>
      </x:c>
      <x:c r="G77" s="34" t="str">
        <x:v>retail</x:v>
      </x:c>
      <x:c r="H77" s="34" t="str">
        <x:v>2026-06-29</x:v>
      </x:c>
      <x:c r="I77" s="34" t="str">
        <x:v>socket=LGA1851; cores=10; threads=10; tdpWatts=65; gamingScore=83; productivityScore=74; tier=high</x:v>
      </x:c>
      <x:c r="J77" s="34" t="str">
        <x:v>LGA1851, high, ca-retail</x:v>
      </x:c>
      <x:c r="K77" s="34" t="str">
        <x:v>10-core LGA1851 desktop processor from CA retailer; spec fields derived from listing when source omits them.</x:v>
      </x:c>
      <x:c r="L77" s="34" t="str">
        <x:v>https://www.canadacomputers.com/en/intel-desktop-processors/282034/intel-core-ultra-5-225f-10-core-65w-cpu-bx80768225f.html</x:v>
      </x:c>
      <x:c r="M77" s="35" t="str">
        <x:v>https://www.canadacomputers.com/en/intel-desktop-processors/282034/intel-core-ultra-5-225f-10-core-65w-cpu-bx80768225f.html</x:v>
      </x:c>
    </x:row>
    <x:row r="78">
      <x:c r="A78" s="33" t="str">
        <x:v>cpu</x:v>
      </x:c>
      <x:c r="B78" s="34" t="str">
        <x:v>ca-canadacomputers-cpu-intel-core-ultra-5-225-10-core-65w-cpu</x:v>
      </x:c>
      <x:c r="C78" s="34" t="str">
        <x:v>INTEL Core Ultra 5 225 10-Core 65W CPU</x:v>
      </x:c>
      <x:c r="D78" s="34" t="str">
        <x:v>INTEL</x:v>
      </x:c>
      <x:c r="E78" s="82" t="n">
        <x:v>176.27</x:v>
      </x:c>
      <x:c r="F78" s="34" t="str">
        <x:v>USD</x:v>
      </x:c>
      <x:c r="G78" s="34" t="str">
        <x:v>retail</x:v>
      </x:c>
      <x:c r="H78" s="34" t="str">
        <x:v>2026-06-29</x:v>
      </x:c>
      <x:c r="I78" s="34" t="str">
        <x:v>socket=LGA1851; cores=10; threads=10; tdpWatts=65; gamingScore=83; productivityScore=74; tier=high</x:v>
      </x:c>
      <x:c r="J78" s="34" t="str">
        <x:v>LGA1851, high, ca-retail</x:v>
      </x:c>
      <x:c r="K78" s="34" t="str">
        <x:v>10-core LGA1851 desktop processor from CA retailer; spec fields derived from listing when source omits them.</x:v>
      </x:c>
      <x:c r="L78" s="34" t="str">
        <x:v>https://www.canadacomputers.com/en/intel-desktop-processors/277376/intel-core-ultra-5-225-10-core-65w-cpu-bx80768225.html</x:v>
      </x:c>
      <x:c r="M78" s="35" t="str">
        <x:v>https://www.canadacomputers.com/en/intel-desktop-processors/277376/intel-core-ultra-5-225-10-core-65w-cpu-bx80768225.html</x:v>
      </x:c>
    </x:row>
    <x:row r="79">
      <x:c r="A79" s="33" t="str">
        <x:v>cpu</x:v>
      </x:c>
      <x:c r="B79" s="34" t="str">
        <x:v>ca-canadacomputers-cpu-amd-ryzen-7-9800x3d-8-core-4nm-am5-104mb-cache-120w-zen-5-cpu</x:v>
      </x:c>
      <x:c r="C79" s="34" t="str">
        <x:v>AMD Ryzen 7 9800X3D 8-Core 4nm AM5 104MB Cache 120W ZEN 5 CPU</x:v>
      </x:c>
      <x:c r="D79" s="34" t="str">
        <x:v>AMD</x:v>
      </x:c>
      <x:c r="E79" s="82" t="n">
        <x:v>485.82</x:v>
      </x:c>
      <x:c r="F79" s="34" t="str">
        <x:v>USD</x:v>
      </x:c>
      <x:c r="G79" s="34" t="str">
        <x:v>retail</x:v>
      </x:c>
      <x:c r="H79" s="34" t="str">
        <x:v>2026-06-29</x:v>
      </x:c>
      <x:c r="I79" s="34" t="str">
        <x:v>socket=AM5; cores=8; threads=16; tdpWatts=120; gamingScore=82; productivityScore=67; tier=high</x:v>
      </x:c>
      <x:c r="J79" s="34" t="str">
        <x:v>AM5, high, ca-retail</x:v>
      </x:c>
      <x:c r="K79" s="34" t="str">
        <x:v>8-core AM5 desktop processor from CA retailer; spec fields derived from listing when source omits them.</x:v>
      </x:c>
      <x:c r="L79" s="34" t="str">
        <x:v>https://www.canadacomputers.com/en/amd-desktop-processors/264908/amd-ryzen-7-9800x3d-8-core-4nm-am5-104mb-cache-120w-zen-5-cpu-100-100001084wof.html</x:v>
      </x:c>
      <x:c r="M79" s="35" t="str">
        <x:v>https://www.canadacomputers.com/en/amd-desktop-processors/264908/amd-ryzen-7-9800x3d-8-core-4nm-am5-104mb-cache-120w-zen-5-cpu-100-100001084wof.html</x:v>
      </x:c>
    </x:row>
    <x:row r="80">
      <x:c r="A80" s="33" t="str">
        <x:v>cpu</x:v>
      </x:c>
      <x:c r="B80" s="34" t="str">
        <x:v>ca-canadacomputers-cpu-amd-ryzen-7-7800x3d-8-core-16-thread-5nm-104mb-cache-120w-zen-4-cpu</x:v>
      </x:c>
      <x:c r="C80" s="34" t="str">
        <x:v>AMD Ryzen 7 7800X3D 8-Core/16-Thread 5nm 104MB Cache 120W ZEN 4 CPU</x:v>
      </x:c>
      <x:c r="D80" s="34" t="str">
        <x:v>AMD</x:v>
      </x:c>
      <x:c r="E80" s="82" t="n">
        <x:v>387.8</x:v>
      </x:c>
      <x:c r="F80" s="34" t="str">
        <x:v>USD</x:v>
      </x:c>
      <x:c r="G80" s="34" t="str">
        <x:v>retail</x:v>
      </x:c>
      <x:c r="H80" s="34" t="str">
        <x:v>2026-06-29</x:v>
      </x:c>
      <x:c r="I80" s="34" t="str">
        <x:v>socket=AM5; cores=8; threads=16; tdpWatts=120; gamingScore=82; productivityScore=67; tier=high</x:v>
      </x:c>
      <x:c r="J80" s="34" t="str">
        <x:v>AM5, high, ca-retail</x:v>
      </x:c>
      <x:c r="K80" s="34" t="str">
        <x:v>8-core AM5 desktop processor from CA retailer; spec fields derived from listing when source omits them.</x:v>
      </x:c>
      <x:c r="L80" s="34" t="str">
        <x:v>https://www.canadacomputers.com/en/amd-desktop-processors/235997/amd-ryzen-7-7800x3d-8-core-16-thread-5nm-104mb-cache-120w-zen-4-cpu-100-100000910wof.html</x:v>
      </x:c>
      <x:c r="M80" s="35" t="str">
        <x:v>https://www.canadacomputers.com/en/amd-desktop-processors/235997/amd-ryzen-7-7800x3d-8-core-16-thread-5nm-104mb-cache-120w-zen-4-cpu-100-100000910wof.html</x:v>
      </x:c>
    </x:row>
    <x:row r="81">
      <x:c r="A81" s="33" t="str">
        <x:v>gpu</x:v>
      </x:c>
      <x:c r="B81" s="34" t="str">
        <x:v>gpu-4060</x:v>
      </x:c>
      <x:c r="C81" s="34" t="str">
        <x:v>GeForce RTX 4060</x:v>
      </x:c>
      <x:c r="D81" s="34" t="str">
        <x:v>NVIDIA</x:v>
      </x:c>
      <x:c r="E81" s="82" t="n">
        <x:v>299</x:v>
      </x:c>
      <x:c r="F81" s="34" t="str">
        <x:v>USD</x:v>
      </x:c>
      <x:c r="G81" s="34" t="str">
        <x:v>reference</x:v>
      </x:c>
      <x:c r="H81" s="34" t="str">
        <x:v>baseline seed</x:v>
      </x:c>
      <x:c r="I81" s="34" t="str">
        <x:v>chipset=RTX 4060; vramGb=8; tdpWatts=115; lengthMm=244; gamingScore1080p=72; gamingScore1440p=58; gamingScore4k=39; aiScore=55; cuda=true</x:v>
      </x:c>
      <x:c r="J81" s="34" t="str">
        <x:v>8GB, CUDA</x:v>
      </x:c>
      <x:c r="K81" s="34" t="str">
        <x:v>8GB graphics card for modern GPU workloads.</x:v>
      </x:c>
      <x:c r="L81" s="34" t="str"/>
      <x:c r="M81" s="35" t="str"/>
    </x:row>
    <x:row r="82">
      <x:c r="A82" s="33" t="str">
        <x:v>gpu</x:v>
      </x:c>
      <x:c r="B82" s="34" t="str">
        <x:v>gpu-4060ti-16</x:v>
      </x:c>
      <x:c r="C82" s="34" t="str">
        <x:v>GeForce RTX 4060 Ti 16GB</x:v>
      </x:c>
      <x:c r="D82" s="34" t="str">
        <x:v>NVIDIA</x:v>
      </x:c>
      <x:c r="E82" s="82" t="n">
        <x:v>449</x:v>
      </x:c>
      <x:c r="F82" s="34" t="str">
        <x:v>USD</x:v>
      </x:c>
      <x:c r="G82" s="34" t="str">
        <x:v>reference</x:v>
      </x:c>
      <x:c r="H82" s="34" t="str">
        <x:v>baseline seed</x:v>
      </x:c>
      <x:c r="I82" s="34" t="str">
        <x:v>chipset=RTX 4060 Ti; vramGb=16; tdpWatts=165; lengthMm=250; gamingScore1080p=81; gamingScore1440p=70; gamingScore4k=52; aiScore=75; cuda=true</x:v>
      </x:c>
      <x:c r="J82" s="34" t="str">
        <x:v>16GB, CUDA</x:v>
      </x:c>
      <x:c r="K82" s="34" t="str">
        <x:v>16GB graphics card for modern GPU workloads.</x:v>
      </x:c>
      <x:c r="L82" s="34" t="str"/>
      <x:c r="M82" s="35" t="str"/>
    </x:row>
    <x:row r="83">
      <x:c r="A83" s="33" t="str">
        <x:v>gpu</x:v>
      </x:c>
      <x:c r="B83" s="34" t="str">
        <x:v>gpu-4070s</x:v>
      </x:c>
      <x:c r="C83" s="34" t="str">
        <x:v>GeForce RTX 4070 Super</x:v>
      </x:c>
      <x:c r="D83" s="34" t="str">
        <x:v>NVIDIA</x:v>
      </x:c>
      <x:c r="E83" s="82" t="n">
        <x:v>599</x:v>
      </x:c>
      <x:c r="F83" s="34" t="str">
        <x:v>USD</x:v>
      </x:c>
      <x:c r="G83" s="34" t="str">
        <x:v>reference</x:v>
      </x:c>
      <x:c r="H83" s="34" t="str">
        <x:v>baseline seed</x:v>
      </x:c>
      <x:c r="I83" s="34" t="str">
        <x:v>chipset=RTX 4070 Super; vramGb=12; tdpWatts=220; lengthMm=267; gamingScore1080p=92; gamingScore1440p=87; gamingScore4k=70; aiScore=78; cuda=true</x:v>
      </x:c>
      <x:c r="J83" s="34" t="str">
        <x:v>12GB, CUDA</x:v>
      </x:c>
      <x:c r="K83" s="34" t="str">
        <x:v>12GB graphics card for modern GPU workloads.</x:v>
      </x:c>
      <x:c r="L83" s="34" t="str"/>
      <x:c r="M83" s="35" t="str"/>
    </x:row>
    <x:row r="84">
      <x:c r="A84" s="33" t="str">
        <x:v>gpu</x:v>
      </x:c>
      <x:c r="B84" s="34" t="str">
        <x:v>gpu-4070tis</x:v>
      </x:c>
      <x:c r="C84" s="34" t="str">
        <x:v>GeForce RTX 4070 Ti Super</x:v>
      </x:c>
      <x:c r="D84" s="34" t="str">
        <x:v>NVIDIA</x:v>
      </x:c>
      <x:c r="E84" s="82" t="n">
        <x:v>799</x:v>
      </x:c>
      <x:c r="F84" s="34" t="str">
        <x:v>USD</x:v>
      </x:c>
      <x:c r="G84" s="34" t="str">
        <x:v>reference</x:v>
      </x:c>
      <x:c r="H84" s="34" t="str">
        <x:v>baseline seed</x:v>
      </x:c>
      <x:c r="I84" s="34" t="str">
        <x:v>chipset=RTX 4070 Ti Super; vramGb=16; tdpWatts=285; lengthMm=285; gamingScore1080p=97; gamingScore1440p=94; gamingScore4k=84; aiScore=87; cuda=true</x:v>
      </x:c>
      <x:c r="J84" s="34" t="str">
        <x:v>16GB, CUDA</x:v>
      </x:c>
      <x:c r="K84" s="34" t="str">
        <x:v>16GB graphics card for modern GPU workloads.</x:v>
      </x:c>
      <x:c r="L84" s="34" t="str"/>
      <x:c r="M84" s="35" t="str"/>
    </x:row>
    <x:row r="85">
      <x:c r="A85" s="33" t="str">
        <x:v>gpu</x:v>
      </x:c>
      <x:c r="B85" s="34" t="str">
        <x:v>gpu-4080s</x:v>
      </x:c>
      <x:c r="C85" s="34" t="str">
        <x:v>GeForce RTX 4080 Super</x:v>
      </x:c>
      <x:c r="D85" s="34" t="str">
        <x:v>NVIDIA</x:v>
      </x:c>
      <x:c r="E85" s="82" t="n">
        <x:v>999</x:v>
      </x:c>
      <x:c r="F85" s="34" t="str">
        <x:v>USD</x:v>
      </x:c>
      <x:c r="G85" s="34" t="str">
        <x:v>reference</x:v>
      </x:c>
      <x:c r="H85" s="34" t="str">
        <x:v>baseline seed</x:v>
      </x:c>
      <x:c r="I85" s="34" t="str">
        <x:v>chipset=RTX 4080 Super; vramGb=16; tdpWatts=320; lengthMm=310; gamingScore1080p=100; gamingScore1440p=100; gamingScore4k=95; aiScore=92; cuda=true</x:v>
      </x:c>
      <x:c r="J85" s="34" t="str">
        <x:v>16GB, CUDA</x:v>
      </x:c>
      <x:c r="K85" s="34" t="str">
        <x:v>16GB graphics card for modern GPU workloads.</x:v>
      </x:c>
      <x:c r="L85" s="34" t="str"/>
      <x:c r="M85" s="35" t="str"/>
    </x:row>
    <x:row r="86">
      <x:c r="A86" s="33" t="str">
        <x:v>gpu</x:v>
      </x:c>
      <x:c r="B86" s="34" t="str">
        <x:v>gpu-4090</x:v>
      </x:c>
      <x:c r="C86" s="34" t="str">
        <x:v>GeForce RTX 4090</x:v>
      </x:c>
      <x:c r="D86" s="34" t="str">
        <x:v>NVIDIA</x:v>
      </x:c>
      <x:c r="E86" s="82" t="n">
        <x:v>1799</x:v>
      </x:c>
      <x:c r="F86" s="34" t="str">
        <x:v>USD</x:v>
      </x:c>
      <x:c r="G86" s="34" t="str">
        <x:v>reference</x:v>
      </x:c>
      <x:c r="H86" s="34" t="str">
        <x:v>baseline seed</x:v>
      </x:c>
      <x:c r="I86" s="34" t="str">
        <x:v>chipset=RTX 4090; vramGb=24; tdpWatts=450; lengthMm=336; gamingScore1080p=100; gamingScore1440p=100; gamingScore4k=100; aiScore=100; cuda=true</x:v>
      </x:c>
      <x:c r="J86" s="34" t="str">
        <x:v>24GB, CUDA</x:v>
      </x:c>
      <x:c r="K86" s="34" t="str">
        <x:v>24GB graphics card for modern GPU workloads.</x:v>
      </x:c>
      <x:c r="L86" s="34" t="str"/>
      <x:c r="M86" s="35" t="str"/>
    </x:row>
    <x:row r="87">
      <x:c r="A87" s="33" t="str">
        <x:v>gpu</x:v>
      </x:c>
      <x:c r="B87" s="34" t="str">
        <x:v>gpu-4090-aero-white</x:v>
      </x:c>
      <x:c r="C87" s="34" t="str">
        <x:v>Gigabyte AERO OC GeForce RTX 4090</x:v>
      </x:c>
      <x:c r="D87" s="34" t="str">
        <x:v>NVIDIA</x:v>
      </x:c>
      <x:c r="E87" s="82" t="n">
        <x:v>1899</x:v>
      </x:c>
      <x:c r="F87" s="34" t="str">
        <x:v>USD</x:v>
      </x:c>
      <x:c r="G87" s="34" t="str">
        <x:v>reference</x:v>
      </x:c>
      <x:c r="H87" s="34" t="str">
        <x:v>baseline seed</x:v>
      </x:c>
      <x:c r="I87" s="34" t="str">
        <x:v>chipset=RTX 4090; vramGb=24; tdpWatts=450; lengthMm=340; gamingScore1080p=100; gamingScore1440p=100; gamingScore4k=100; aiScore=100; cuda=true</x:v>
      </x:c>
      <x:c r="J87" s="34" t="str">
        <x:v>24GB, CUDA, white, rgb</x:v>
      </x:c>
      <x:c r="K87" s="34" t="str">
        <x:v>24GB graphics card for modern GPU workloads.</x:v>
      </x:c>
      <x:c r="L87" s="34" t="str"/>
      <x:c r="M87" s="35" t="str"/>
    </x:row>
    <x:row r="88">
      <x:c r="A88" s="33" t="str">
        <x:v>gpu</x:v>
      </x:c>
      <x:c r="B88" s="34" t="str">
        <x:v>gpu-5090</x:v>
      </x:c>
      <x:c r="C88" s="34" t="str">
        <x:v>GeForce RTX 5090 Founders Edition</x:v>
      </x:c>
      <x:c r="D88" s="34" t="str">
        <x:v>NVIDIA</x:v>
      </x:c>
      <x:c r="E88" s="82" t="n">
        <x:v>1999</x:v>
      </x:c>
      <x:c r="F88" s="34" t="str">
        <x:v>USD</x:v>
      </x:c>
      <x:c r="G88" s="34" t="str">
        <x:v>msrp</x:v>
      </x:c>
      <x:c r="H88" s="34" t="str">
        <x:v>2026-06-28</x:v>
      </x:c>
      <x:c r="I88" s="34" t="str">
        <x:v>chipset=RTX 5090; vramGb=32; tdpWatts=575; lengthMm=304; gamingScore1080p=100; gamingScore1440p=100; gamingScore4k=100; aiScore=100; cuda=true</x:v>
      </x:c>
      <x:c r="J88" s="34" t="str">
        <x:v>32GB, CUDA, blackwell</x:v>
      </x:c>
      <x:c r="K88" s="34" t="str">
        <x:v>32GB graphics card for modern GPU workloads.</x:v>
      </x:c>
      <x:c r="L88" s="34" t="str">
        <x:v>https://www.nvidia.com/en-us/geforce/graphics-cards/50-series/rtx-5090/</x:v>
      </x:c>
      <x:c r="M88" s="35" t="str">
        <x:v>https://www.nvidia.com/en-us/geforce/graphics-cards/50-series/rtx-5090/</x:v>
      </x:c>
    </x:row>
    <x:row r="89">
      <x:c r="A89" s="33" t="str">
        <x:v>gpu</x:v>
      </x:c>
      <x:c r="B89" s="34" t="str">
        <x:v>gpu-7800xt</x:v>
      </x:c>
      <x:c r="C89" s="34" t="str">
        <x:v>Radeon RX 7800 XT</x:v>
      </x:c>
      <x:c r="D89" s="34" t="str">
        <x:v>AMD</x:v>
      </x:c>
      <x:c r="E89" s="82" t="n">
        <x:v>499</x:v>
      </x:c>
      <x:c r="F89" s="34" t="str">
        <x:v>USD</x:v>
      </x:c>
      <x:c r="G89" s="34" t="str">
        <x:v>reference</x:v>
      </x:c>
      <x:c r="H89" s="34" t="str">
        <x:v>baseline seed</x:v>
      </x:c>
      <x:c r="I89" s="34" t="str">
        <x:v>chipset=RX 7800 XT; vramGb=16; tdpWatts=263; lengthMm=267; gamingScore1080p=93; gamingScore1440p=86; gamingScore4k=69; aiScore=60; cuda=false</x:v>
      </x:c>
      <x:c r="J89" s="34" t="str">
        <x:v>16GB, raster</x:v>
      </x:c>
      <x:c r="K89" s="34" t="str">
        <x:v>16GB graphics card for modern GPU workloads.</x:v>
      </x:c>
      <x:c r="L89" s="34" t="str"/>
      <x:c r="M89" s="35" t="str"/>
    </x:row>
    <x:row r="90">
      <x:c r="A90" s="33" t="str">
        <x:v>gpu</x:v>
      </x:c>
      <x:c r="B90" s="34" t="str">
        <x:v>gpu-7900xt</x:v>
      </x:c>
      <x:c r="C90" s="34" t="str">
        <x:v>Radeon RX 7900 XT</x:v>
      </x:c>
      <x:c r="D90" s="34" t="str">
        <x:v>AMD</x:v>
      </x:c>
      <x:c r="E90" s="82" t="n">
        <x:v>699</x:v>
      </x:c>
      <x:c r="F90" s="34" t="str">
        <x:v>USD</x:v>
      </x:c>
      <x:c r="G90" s="34" t="str">
        <x:v>reference</x:v>
      </x:c>
      <x:c r="H90" s="34" t="str">
        <x:v>baseline seed</x:v>
      </x:c>
      <x:c r="I90" s="34" t="str">
        <x:v>chipset=RX 7900 XT; vramGb=20; tdpWatts=315; lengthMm=276; gamingScore1080p=98; gamingScore1440p=95; gamingScore4k=88; aiScore=68; cuda=false</x:v>
      </x:c>
      <x:c r="J90" s="34" t="str">
        <x:v>20GB, raster</x:v>
      </x:c>
      <x:c r="K90" s="34" t="str">
        <x:v>20GB graphics card for modern GPU workloads.</x:v>
      </x:c>
      <x:c r="L90" s="34" t="str"/>
      <x:c r="M90" s="35" t="str"/>
    </x:row>
    <x:row r="91">
      <x:c r="A91" s="33" t="str">
        <x:v>gpu</x:v>
      </x:c>
      <x:c r="B91" s="34" t="str">
        <x:v>gpu-7900xtx</x:v>
      </x:c>
      <x:c r="C91" s="34" t="str">
        <x:v>Radeon RX 7900 XTX</x:v>
      </x:c>
      <x:c r="D91" s="34" t="str">
        <x:v>AMD</x:v>
      </x:c>
      <x:c r="E91" s="82" t="n">
        <x:v>899</x:v>
      </x:c>
      <x:c r="F91" s="34" t="str">
        <x:v>USD</x:v>
      </x:c>
      <x:c r="G91" s="34" t="str">
        <x:v>reference</x:v>
      </x:c>
      <x:c r="H91" s="34" t="str">
        <x:v>baseline seed</x:v>
      </x:c>
      <x:c r="I91" s="34" t="str">
        <x:v>chipset=RX 7900 XTX; vramGb=24; tdpWatts=355; lengthMm=287; gamingScore1080p=100; gamingScore1440p=99; gamingScore4k=94; aiScore=73; cuda=false</x:v>
      </x:c>
      <x:c r="J91" s="34" t="str">
        <x:v>24GB, raster</x:v>
      </x:c>
      <x:c r="K91" s="34" t="str">
        <x:v>24GB graphics card for modern GPU workloads.</x:v>
      </x:c>
      <x:c r="L91" s="34" t="str"/>
      <x:c r="M91" s="35" t="str"/>
    </x:row>
    <x:row r="92">
      <x:c r="A92" s="33" t="str">
        <x:v>gpu</x:v>
      </x:c>
      <x:c r="B92" s="34" t="str">
        <x:v>gpu-5080</x:v>
      </x:c>
      <x:c r="C92" s="34" t="str">
        <x:v>GeForce RTX 5080 Founders Edition</x:v>
      </x:c>
      <x:c r="D92" s="34" t="str">
        <x:v>NVIDIA</x:v>
      </x:c>
      <x:c r="E92" s="82" t="n">
        <x:v>999</x:v>
      </x:c>
      <x:c r="F92" s="34" t="str">
        <x:v>USD</x:v>
      </x:c>
      <x:c r="G92" s="34" t="str">
        <x:v>msrp</x:v>
      </x:c>
      <x:c r="H92" s="34" t="str">
        <x:v>2026-06-28</x:v>
      </x:c>
      <x:c r="I92" s="34" t="str">
        <x:v>chipset=RTX 5080; vramGb=16; tdpWatts=360; lengthMm=304; gamingScore1080p=100; gamingScore1440p=100; gamingScore4k=97; aiScore=96; cuda=true</x:v>
      </x:c>
      <x:c r="J92" s="34" t="str">
        <x:v>16GB, CUDA, blackwell, 4k</x:v>
      </x:c>
      <x:c r="K92" s="34" t="str">
        <x:v>16GB graphics card for modern GPU workloads.</x:v>
      </x:c>
      <x:c r="L92" s="34" t="str">
        <x:v>https://www.nvidia.com/en-us/geforce/graphics-cards/50-series/rtx-5080/</x:v>
      </x:c>
      <x:c r="M92" s="35" t="str">
        <x:v>https://www.nvidia.com/en-us/geforce/graphics-cards/50-series/rtx-5080/</x:v>
      </x:c>
    </x:row>
    <x:row r="93">
      <x:c r="A93" s="33" t="str">
        <x:v>gpu</x:v>
      </x:c>
      <x:c r="B93" s="34" t="str">
        <x:v>gpu-5070ti</x:v>
      </x:c>
      <x:c r="C93" s="34" t="str">
        <x:v>GeForce RTX 5070 Ti 16GB</x:v>
      </x:c>
      <x:c r="D93" s="34" t="str">
        <x:v>NVIDIA</x:v>
      </x:c>
      <x:c r="E93" s="82" t="n">
        <x:v>749</x:v>
      </x:c>
      <x:c r="F93" s="34" t="str">
        <x:v>USD</x:v>
      </x:c>
      <x:c r="G93" s="34" t="str">
        <x:v>msrp</x:v>
      </x:c>
      <x:c r="H93" s="34" t="str">
        <x:v>2026-06-28</x:v>
      </x:c>
      <x:c r="I93" s="34" t="str">
        <x:v>chipset=RTX 5070 Ti; vramGb=16; tdpWatts=300; lengthMm=320; gamingScore1080p=98; gamingScore1440p=96; gamingScore4k=88; aiScore=91; cuda=true</x:v>
      </x:c>
      <x:c r="J93" s="34" t="str">
        <x:v>16GB, CUDA, blackwell, 1440p, 4k</x:v>
      </x:c>
      <x:c r="K93" s="34" t="str">
        <x:v>16GB graphics card for modern GPU workloads.</x:v>
      </x:c>
      <x:c r="L93" s="34" t="str">
        <x:v>https://www.nvidia.com/en-us/geforce/graphics-cards/50-series/rtx-5070-family/</x:v>
      </x:c>
      <x:c r="M93" s="35" t="str">
        <x:v>https://www.nvidia.com/en-us/geforce/graphics-cards/50-series/rtx-5070-family/</x:v>
      </x:c>
    </x:row>
    <x:row r="94">
      <x:c r="A94" s="33" t="str">
        <x:v>gpu</x:v>
      </x:c>
      <x:c r="B94" s="34" t="str">
        <x:v>gpu-5070</x:v>
      </x:c>
      <x:c r="C94" s="34" t="str">
        <x:v>GeForce RTX 5070 Founders Edition</x:v>
      </x:c>
      <x:c r="D94" s="34" t="str">
        <x:v>NVIDIA</x:v>
      </x:c>
      <x:c r="E94" s="82" t="n">
        <x:v>549</x:v>
      </x:c>
      <x:c r="F94" s="34" t="str">
        <x:v>USD</x:v>
      </x:c>
      <x:c r="G94" s="34" t="str">
        <x:v>msrp</x:v>
      </x:c>
      <x:c r="H94" s="34" t="str">
        <x:v>2026-06-28</x:v>
      </x:c>
      <x:c r="I94" s="34" t="str">
        <x:v>chipset=RTX 5070; vramGb=12; tdpWatts=250; lengthMm=242; gamingScore1080p=96; gamingScore1440p=91; gamingScore4k=78; aiScore=84; cuda=true</x:v>
      </x:c>
      <x:c r="J94" s="34" t="str">
        <x:v>12GB, CUDA, blackwell, 1440p</x:v>
      </x:c>
      <x:c r="K94" s="34" t="str">
        <x:v>12GB graphics card for modern GPU workloads.</x:v>
      </x:c>
      <x:c r="L94" s="34" t="str">
        <x:v>https://www.nvidia.com/en-us/geforce/graphics-cards/50-series/rtx-5070-family/</x:v>
      </x:c>
      <x:c r="M94" s="35" t="str">
        <x:v>https://www.nvidia.com/en-us/geforce/graphics-cards/50-series/rtx-5070-family/</x:v>
      </x:c>
    </x:row>
    <x:row r="95">
      <x:c r="A95" s="33" t="str">
        <x:v>gpu</x:v>
      </x:c>
      <x:c r="B95" s="34" t="str">
        <x:v>gpu-5060ti-16</x:v>
      </x:c>
      <x:c r="C95" s="34" t="str">
        <x:v>GeForce RTX 5060 Ti 16GB</x:v>
      </x:c>
      <x:c r="D95" s="34" t="str">
        <x:v>NVIDIA</x:v>
      </x:c>
      <x:c r="E95" s="82" t="n">
        <x:v>429</x:v>
      </x:c>
      <x:c r="F95" s="34" t="str">
        <x:v>USD</x:v>
      </x:c>
      <x:c r="G95" s="34" t="str">
        <x:v>reference</x:v>
      </x:c>
      <x:c r="H95" s="34" t="str">
        <x:v>2026-06-28</x:v>
      </x:c>
      <x:c r="I95" s="34" t="str">
        <x:v>chipset=RTX 5060 Ti; vramGb=16; tdpWatts=180; lengthMm=300; gamingScore1080p=90; gamingScore1440p=82; gamingScore4k=63; aiScore=82; cuda=true</x:v>
      </x:c>
      <x:c r="J95" s="34" t="str">
        <x:v>16GB, CUDA, blackwell, value</x:v>
      </x:c>
      <x:c r="K95" s="34" t="str">
        <x:v>16GB graphics card for modern GPU workloads.</x:v>
      </x:c>
      <x:c r="L95" s="34" t="str">
        <x:v>https://www.nvidia.com/en-us/geforce/graphics-cards/50-series/rtx-5060-family/</x:v>
      </x:c>
      <x:c r="M95" s="35" t="str">
        <x:v>https://www.nvidia.com/en-us/geforce/graphics-cards/50-series/rtx-5060-family/</x:v>
      </x:c>
    </x:row>
    <x:row r="96">
      <x:c r="A96" s="33" t="str">
        <x:v>gpu</x:v>
      </x:c>
      <x:c r="B96" s="34" t="str">
        <x:v>gpu-9070xt</x:v>
      </x:c>
      <x:c r="C96" s="34" t="str">
        <x:v>Radeon RX 9070 XT</x:v>
      </x:c>
      <x:c r="D96" s="34" t="str">
        <x:v>AMD</x:v>
      </x:c>
      <x:c r="E96" s="82" t="n">
        <x:v>599</x:v>
      </x:c>
      <x:c r="F96" s="34" t="str">
        <x:v>USD</x:v>
      </x:c>
      <x:c r="G96" s="34" t="str">
        <x:v>msrp</x:v>
      </x:c>
      <x:c r="H96" s="34" t="str">
        <x:v>2026-06-28</x:v>
      </x:c>
      <x:c r="I96" s="34" t="str">
        <x:v>chipset=RX 9070 XT; vramGb=16; tdpWatts=304; lengthMm=320; gamingScore1080p=99; gamingScore1440p=97; gamingScore4k=91; aiScore=78; cuda=false</x:v>
      </x:c>
      <x:c r="J96" s="34" t="str">
        <x:v>16GB, raster, rdna4, 4k</x:v>
      </x:c>
      <x:c r="K96" s="34" t="str">
        <x:v>16GB graphics card for modern GPU workloads.</x:v>
      </x:c>
      <x:c r="L96" s="34" t="str">
        <x:v>https://www.amd.com/en/products/graphics/desktops/radeon/9000-series/amd-radeon-rx-9070xt.html</x:v>
      </x:c>
      <x:c r="M96" s="35" t="str">
        <x:v>https://www.amd.com/en/newsroom/press-releases/2025-2-28-amd-unveils-next-generation-amd-rdna-4-architectu.html</x:v>
      </x:c>
    </x:row>
    <x:row r="97">
      <x:c r="A97" s="33" t="str">
        <x:v>gpu</x:v>
      </x:c>
      <x:c r="B97" s="34" t="str">
        <x:v>gpu-9070</x:v>
      </x:c>
      <x:c r="C97" s="34" t="str">
        <x:v>Radeon RX 9070</x:v>
      </x:c>
      <x:c r="D97" s="34" t="str">
        <x:v>AMD</x:v>
      </x:c>
      <x:c r="E97" s="82" t="n">
        <x:v>549</x:v>
      </x:c>
      <x:c r="F97" s="34" t="str">
        <x:v>USD</x:v>
      </x:c>
      <x:c r="G97" s="34" t="str">
        <x:v>msrp</x:v>
      </x:c>
      <x:c r="H97" s="34" t="str">
        <x:v>2026-06-28</x:v>
      </x:c>
      <x:c r="I97" s="34" t="str">
        <x:v>chipset=RX 9070; vramGb=16; tdpWatts=220; lengthMm=300; gamingScore1080p=97; gamingScore1440p=94; gamingScore4k=84; aiScore=74; cuda=false</x:v>
      </x:c>
      <x:c r="J97" s="34" t="str">
        <x:v>16GB, raster, rdna4, 1440p</x:v>
      </x:c>
      <x:c r="K97" s="34" t="str">
        <x:v>16GB graphics card for modern GPU workloads.</x:v>
      </x:c>
      <x:c r="L97" s="34" t="str">
        <x:v>https://www.amd.com/en/products/graphics/desktops/radeon.html</x:v>
      </x:c>
      <x:c r="M97" s="35" t="str">
        <x:v>https://www.amd.com/en/newsroom/press-releases/2025-2-28-amd-unveils-next-generation-amd-rdna-4-architectu.html</x:v>
      </x:c>
    </x:row>
    <x:row r="98">
      <x:c r="A98" s="33" t="str">
        <x:v>gpu</x:v>
      </x:c>
      <x:c r="B98" s="34" t="str">
        <x:v>gpu-9060xt-16</x:v>
      </x:c>
      <x:c r="C98" s="34" t="str">
        <x:v>Radeon RX 9060 XT 16GB</x:v>
      </x:c>
      <x:c r="D98" s="34" t="str">
        <x:v>AMD</x:v>
      </x:c>
      <x:c r="E98" s="82" t="n">
        <x:v>349</x:v>
      </x:c>
      <x:c r="F98" s="34" t="str">
        <x:v>USD</x:v>
      </x:c>
      <x:c r="G98" s="34" t="str">
        <x:v>msrp</x:v>
      </x:c>
      <x:c r="H98" s="34" t="str">
        <x:v>2026-06-28</x:v>
      </x:c>
      <x:c r="I98" s="34" t="str">
        <x:v>chipset=RX 9060 XT; vramGb=16; tdpWatts=160; lengthMm=280; gamingScore1080p=89; gamingScore1440p=80; gamingScore4k=60; aiScore=68; cuda=false</x:v>
      </x:c>
      <x:c r="J98" s="34" t="str">
        <x:v>16GB, raster, rdna4, value</x:v>
      </x:c>
      <x:c r="K98" s="34" t="str">
        <x:v>16GB graphics card for modern GPU workloads.</x:v>
      </x:c>
      <x:c r="L98" s="34" t="str">
        <x:v>https://www.amd.com/en/products/graphics/desktops/radeon.html</x:v>
      </x:c>
      <x:c r="M98" s="35" t="str">
        <x:v>https://www.amd.com/en/newsroom/press-releases/2025-5-20-amd-introduces-new-radeon-graphics-cards-and-ryzen.html</x:v>
      </x:c>
    </x:row>
    <x:row r="99">
      <x:c r="A99" s="33" t="str">
        <x:v>gpu</x:v>
      </x:c>
      <x:c r="B99" s="34" t="str">
        <x:v>gpu-arc-b580</x:v>
      </x:c>
      <x:c r="C99" s="34" t="str">
        <x:v>Intel Arc B580 Limited Edition</x:v>
      </x:c>
      <x:c r="D99" s="34" t="str">
        <x:v>Intel</x:v>
      </x:c>
      <x:c r="E99" s="82" t="n">
        <x:v>249</x:v>
      </x:c>
      <x:c r="F99" s="34" t="str">
        <x:v>USD</x:v>
      </x:c>
      <x:c r="G99" s="34" t="str">
        <x:v>msrp</x:v>
      </x:c>
      <x:c r="H99" s="34" t="str">
        <x:v>2026-06-28</x:v>
      </x:c>
      <x:c r="I99" s="34" t="str">
        <x:v>chipset=Arc B580; vramGb=12; tdpWatts=190; lengthMm=272; gamingScore1080p=86; gamingScore1440p=76; gamingScore4k=55; aiScore=63; cuda=false</x:v>
      </x:c>
      <x:c r="J99" s="34" t="str">
        <x:v>12GB, raster, xe2, value, av1</x:v>
      </x:c>
      <x:c r="K99" s="34" t="str">
        <x:v>12GB graphics card for modern GPU workloads.</x:v>
      </x:c>
      <x:c r="L99" s="34" t="str">
        <x:v>https://www.intel.com/content/www/us/en/products/sku/241598/intel-arc-b580-graphics/specifications.html</x:v>
      </x:c>
      <x:c r="M99" s="35" t="str">
        <x:v>https://www.intel.com/content/www/us/en/products/sku/241598/intel-arc-b580-graphics/ordering.html</x:v>
      </x:c>
    </x:row>
    <x:row r="100">
      <x:c r="A100" s="33" t="str">
        <x:v>gpu</x:v>
      </x:c>
      <x:c r="B100" s="34" t="str">
        <x:v>hf-video-card-38946</x:v>
      </x:c>
      <x:c r="C100" s="34" t="str">
        <x:v>MSI GAMING</x:v>
      </x:c>
      <x:c r="D100" s="34" t="str">
        <x:v>MSI</x:v>
      </x:c>
      <x:c r="E100" s="82" t="n">
        <x:v>506.23</x:v>
      </x:c>
      <x:c r="F100" s="34" t="str">
        <x:v>USD</x:v>
      </x:c>
      <x:c r="G100" s="34" t="str">
        <x:v>reference</x:v>
      </x:c>
      <x:c r="H100" s="34" t="str">
        <x:v>2026-06-28</x:v>
      </x:c>
      <x:c r="I100" s="34" t="str">
        <x:v>chipset=GeForce GTX 970; vramGb=4; tdpWatts=142; lengthMm=269; gamingScore1080p=84; gamingScore1440p=76; gamingScore4k=64; aiScore=69; cuda=true</x:v>
      </x:c>
      <x:c r="J100" s="34" t="str">
        <x:v>4GB, CUDA, dataset</x:v>
      </x:c>
      <x:c r="K100" s="34" t="str">
        <x:v>4GB graphics card; physical specifications are source-linked and relative workload scores are derived for ranking.</x:v>
      </x:c>
      <x:c r="L100" s="34" t="str">
        <x:v>https://fr.pcpartpicker.com/product/2j4NnQ/msi-video-card-gtx970gaming4g</x:v>
      </x:c>
      <x:c r="M100" s="35" t="str">
        <x:v>https://fr.pcpartpicker.com/product/2j4NnQ/msi-video-card-gtx970gaming4g</x:v>
      </x:c>
    </x:row>
    <x:row r="101">
      <x:c r="A101" s="33" t="str">
        <x:v>gpu</x:v>
      </x:c>
      <x:c r="B101" s="34" t="str">
        <x:v>hf-video-card-447814</x:v>
      </x:c>
      <x:c r="C101" s="34" t="str">
        <x:v>XFX Speedster MERC 310 Black Edition</x:v>
      </x:c>
      <x:c r="D101" s="34" t="str">
        <x:v>XFX</x:v>
      </x:c>
      <x:c r="E101" s="82" t="n">
        <x:v>1024.95</x:v>
      </x:c>
      <x:c r="F101" s="34" t="str">
        <x:v>USD</x:v>
      </x:c>
      <x:c r="G101" s="34" t="str">
        <x:v>reference</x:v>
      </x:c>
      <x:c r="H101" s="34" t="str">
        <x:v>2026-06-28</x:v>
      </x:c>
      <x:c r="I101" s="34" t="str">
        <x:v>chipset=Radeon RX 7900 XTX; vramGb=24; tdpWatts=287; lengthMm=344; gamingScore1080p=100; gamingScore1440p=97; gamingScore4k=85; aiScore=100; cuda=false</x:v>
      </x:c>
      <x:c r="J101" s="34" t="str">
        <x:v>24GB, raster, dataset</x:v>
      </x:c>
      <x:c r="K101" s="34" t="str">
        <x:v>24GB graphics card; physical specifications are source-linked and relative workload scores are derived for ranking.</x:v>
      </x:c>
      <x:c r="L101" s="34" t="str">
        <x:v>https://fr.pcpartpicker.com/product/GtXJ7P/xfx-speedster-merc-310-black-edition-radeon-rx-7900-xtx-24-gb-video-card-rx-79xmercb9</x:v>
      </x:c>
      <x:c r="M101" s="35" t="str">
        <x:v>https://fr.pcpartpicker.com/product/GtXJ7P/xfx-speedster-merc-310-black-edition-radeon-rx-7900-xtx-24-gb-video-card-rx-79xmercb9</x:v>
      </x:c>
    </x:row>
    <x:row r="102">
      <x:c r="A102" s="33" t="str">
        <x:v>gpu</x:v>
      </x:c>
      <x:c r="B102" s="34" t="str">
        <x:v>hf-video-card-354847</x:v>
      </x:c>
      <x:c r="C102" s="34" t="str">
        <x:v>EVGA XC GAMING</x:v>
      </x:c>
      <x:c r="D102" s="34" t="str">
        <x:v>EVGA</x:v>
      </x:c>
      <x:c r="E102" s="82" t="n">
        <x:v>824.78</x:v>
      </x:c>
      <x:c r="F102" s="34" t="str">
        <x:v>USD</x:v>
      </x:c>
      <x:c r="G102" s="34" t="str">
        <x:v>reference</x:v>
      </x:c>
      <x:c r="H102" s="34" t="str">
        <x:v>2026-06-28</x:v>
      </x:c>
      <x:c r="I102" s="34" t="str">
        <x:v>chipset=GeForce RTX 3060 12GB; vramGb=12; tdpWatts=231; lengthMm=202; gamingScore1080p=98; gamingScore1440p=90; gamingScore4k=78; aiScore=92; cuda=true</x:v>
      </x:c>
      <x:c r="J102" s="34" t="str">
        <x:v>12GB, CUDA, dataset</x:v>
      </x:c>
      <x:c r="K102" s="34" t="str">
        <x:v>12GB graphics card; physical specifications are source-linked and relative workload scores are derived for ranking.</x:v>
      </x:c>
      <x:c r="L102" s="34" t="str">
        <x:v>https://fr.pcpartpicker.com/product/LpbTwP/evga-geforce-rtx-3060-12-gb-xc-gaming-video-card-12g-p5-3657-kr</x:v>
      </x:c>
      <x:c r="M102" s="35" t="str">
        <x:v>https://fr.pcpartpicker.com/product/LpbTwP/evga-geforce-rtx-3060-12-gb-xc-gaming-video-card-12g-p5-3657-kr</x:v>
      </x:c>
    </x:row>
    <x:row r="103">
      <x:c r="A103" s="33" t="str">
        <x:v>gpu</x:v>
      </x:c>
      <x:c r="B103" s="34" t="str">
        <x:v>hf-video-card-54157</x:v>
      </x:c>
      <x:c r="C103" s="34" t="str">
        <x:v>EVGA SC GAMING ACX 3.0 Black Edition</x:v>
      </x:c>
      <x:c r="D103" s="34" t="str">
        <x:v>EVGA</x:v>
      </x:c>
      <x:c r="E103" s="82" t="n">
        <x:v>1001.54</x:v>
      </x:c>
      <x:c r="F103" s="34" t="str">
        <x:v>USD</x:v>
      </x:c>
      <x:c r="G103" s="34" t="str">
        <x:v>reference</x:v>
      </x:c>
      <x:c r="H103" s="34" t="str">
        <x:v>2026-06-28</x:v>
      </x:c>
      <x:c r="I103" s="34" t="str">
        <x:v>chipset=GeForce GTX 1070; vramGb=8; tdpWatts=280; lengthMm=267; gamingScore1080p=100; gamingScore1440p=96; gamingScore4k=84; aiScore=89; cuda=true</x:v>
      </x:c>
      <x:c r="J103" s="34" t="str">
        <x:v>8GB, CUDA, dataset</x:v>
      </x:c>
      <x:c r="K103" s="34" t="str">
        <x:v>8GB graphics card; physical specifications are source-linked and relative workload scores are derived for ranking.</x:v>
      </x:c>
      <x:c r="L103" s="34" t="str">
        <x:v>https://fr.pcpartpicker.com/product/ph38TW/evga-geforce-gtx-1070-8gb-sc-gaming-video-card-08g-p4-5173-kr</x:v>
      </x:c>
      <x:c r="M103" s="35" t="str">
        <x:v>https://fr.pcpartpicker.com/product/ph38TW/evga-geforce-gtx-1070-8gb-sc-gaming-video-card-08g-p4-5173-kr</x:v>
      </x:c>
    </x:row>
    <x:row r="104">
      <x:c r="A104" s="33" t="str">
        <x:v>gpu</x:v>
      </x:c>
      <x:c r="B104" s="34" t="str">
        <x:v>hf-video-card-254796</x:v>
      </x:c>
      <x:c r="C104" s="34" t="str">
        <x:v>PowerColor Red Devil</x:v>
      </x:c>
      <x:c r="D104" s="34" t="str">
        <x:v>PowerColor</x:v>
      </x:c>
      <x:c r="E104" s="82" t="n">
        <x:v>1774.1</x:v>
      </x:c>
      <x:c r="F104" s="34" t="str">
        <x:v>USD</x:v>
      </x:c>
      <x:c r="G104" s="34" t="str">
        <x:v>reference</x:v>
      </x:c>
      <x:c r="H104" s="34" t="str">
        <x:v>2026-06-28</x:v>
      </x:c>
      <x:c r="I104" s="34" t="str">
        <x:v>chipset=Radeon RX 5700 XT; vramGb=8; tdpWatts=497; lengthMm=300; gamingScore1080p=100; gamingScore1440p=100; gamingScore4k=88; aiScore=79; cuda=false</x:v>
      </x:c>
      <x:c r="J104" s="34" t="str">
        <x:v>8GB, raster, dataset</x:v>
      </x:c>
      <x:c r="K104" s="34" t="str">
        <x:v>8GB graphics card; physical specifications are source-linked and relative workload scores are derived for ranking.</x:v>
      </x:c>
      <x:c r="L104" s="34" t="str">
        <x:v>https://fr.pcpartpicker.com/product/vK4BD3/powercolor-radeon-rx-5700-xt-8-gb-red-devil-video-card-axrx-5700xt-8gbd6-3dheoc</x:v>
      </x:c>
      <x:c r="M104" s="35" t="str">
        <x:v>https://fr.pcpartpicker.com/product/vK4BD3/powercolor-radeon-rx-5700-xt-8-gb-red-devil-video-card-axrx-5700xt-8gbd6-3dheoc</x:v>
      </x:c>
    </x:row>
    <x:row r="105">
      <x:c r="A105" s="33" t="str">
        <x:v>gpu</x:v>
      </x:c>
      <x:c r="B105" s="34" t="str">
        <x:v>hf-video-card-264847</x:v>
      </x:c>
      <x:c r="C105" s="34" t="str">
        <x:v>Gigabyte OC</x:v>
      </x:c>
      <x:c r="D105" s="34" t="str">
        <x:v>Gigabyte</x:v>
      </x:c>
      <x:c r="E105" s="82" t="n">
        <x:v>604.81</x:v>
      </x:c>
      <x:c r="F105" s="34" t="str">
        <x:v>USD</x:v>
      </x:c>
      <x:c r="G105" s="34" t="str">
        <x:v>reference</x:v>
      </x:c>
      <x:c r="H105" s="34" t="str">
        <x:v>2026-06-28</x:v>
      </x:c>
      <x:c r="I105" s="34" t="str">
        <x:v>chipset=GeForce GTX 1660 SUPER; vramGb=6; tdpWatts=169; lengthMm=226; gamingScore1080p=89; gamingScore1440p=81; gamingScore4k=69; aiScore=75; cuda=true</x:v>
      </x:c>
      <x:c r="J105" s="34" t="str">
        <x:v>6GB, CUDA, dataset</x:v>
      </x:c>
      <x:c r="K105" s="34" t="str">
        <x:v>6GB graphics card; physical specifications are source-linked and relative workload scores are derived for ranking.</x:v>
      </x:c>
      <x:c r="L105" s="34" t="str">
        <x:v>https://fr.pcpartpicker.com/product/CnpmP6/gigabyte-geforce-gtx-1660-super-6-gb-oc-video-card-gv-n166soc-6gd</x:v>
      </x:c>
      <x:c r="M105" s="35" t="str">
        <x:v>https://fr.pcpartpicker.com/product/CnpmP6/gigabyte-geforce-gtx-1660-super-6-gb-oc-video-card-gv-n166soc-6gd</x:v>
      </x:c>
    </x:row>
    <x:row r="106">
      <x:c r="A106" s="33" t="str">
        <x:v>gpu</x:v>
      </x:c>
      <x:c r="B106" s="34" t="str">
        <x:v>hf-video-card-447835</x:v>
      </x:c>
      <x:c r="C106" s="34" t="str">
        <x:v>Sapphire NITRO+</x:v>
      </x:c>
      <x:c r="D106" s="34" t="str">
        <x:v>Sapphire</x:v>
      </x:c>
      <x:c r="E106" s="82" t="n">
        <x:v>1938.16</x:v>
      </x:c>
      <x:c r="F106" s="34" t="str">
        <x:v>USD</x:v>
      </x:c>
      <x:c r="G106" s="34" t="str">
        <x:v>reference</x:v>
      </x:c>
      <x:c r="H106" s="34" t="str">
        <x:v>2026-06-28</x:v>
      </x:c>
      <x:c r="I106" s="34" t="str">
        <x:v>chipset=Radeon RX 7900 XTX; vramGb=24; tdpWatts=500; lengthMm=320; gamingScore1080p=100; gamingScore1440p=100; gamingScore4k=88; aiScore=100; cuda=false</x:v>
      </x:c>
      <x:c r="J106" s="34" t="str">
        <x:v>24GB, raster, dataset</x:v>
      </x:c>
      <x:c r="K106" s="34" t="str">
        <x:v>24GB graphics card; physical specifications are source-linked and relative workload scores are derived for ranking.</x:v>
      </x:c>
      <x:c r="L106" s="34" t="str">
        <x:v>https://fr.pcpartpicker.com/product/F3fnTW/sapphire-nitro-radeon-rx-7900-xtx-24-gb-video-card-11322-01-20g</x:v>
      </x:c>
      <x:c r="M106" s="35" t="str">
        <x:v>https://fr.pcpartpicker.com/product/F3fnTW/sapphire-nitro-radeon-rx-7900-xtx-24-gb-video-card-11322-01-20g</x:v>
      </x:c>
    </x:row>
    <x:row r="107">
      <x:c r="A107" s="33" t="str">
        <x:v>gpu</x:v>
      </x:c>
      <x:c r="B107" s="34" t="str">
        <x:v>hf-video-card-248709</x:v>
      </x:c>
      <x:c r="C107" s="34" t="str">
        <x:v>MSI GAMING X</x:v>
      </x:c>
      <x:c r="D107" s="34" t="str">
        <x:v>MSI</x:v>
      </x:c>
      <x:c r="E107" s="82" t="n">
        <x:v>1071.69</x:v>
      </x:c>
      <x:c r="F107" s="34" t="str">
        <x:v>USD</x:v>
      </x:c>
      <x:c r="G107" s="34" t="str">
        <x:v>reference</x:v>
      </x:c>
      <x:c r="H107" s="34" t="str">
        <x:v>2026-06-28</x:v>
      </x:c>
      <x:c r="I107" s="34" t="str">
        <x:v>chipset=GeForce RTX 2060 SUPER; vramGb=8; tdpWatts=300; lengthMm=248; gamingScore1080p=100; gamingScore1440p=98; gamingScore4k=86; aiScore=90; cuda=true</x:v>
      </x:c>
      <x:c r="J107" s="34" t="str">
        <x:v>8GB, CUDA, dataset</x:v>
      </x:c>
      <x:c r="K107" s="34" t="str">
        <x:v>8GB graphics card; physical specifications are source-linked and relative workload scores are derived for ranking.</x:v>
      </x:c>
      <x:c r="L107" s="34" t="str">
        <x:v>https://fr.pcpartpicker.com/product/Wzyqqs/msi-geforce-rtx-2060-super-8-gb-gaming-x-video-card-rtx-2060-super-gaming-x</x:v>
      </x:c>
      <x:c r="M107" s="35" t="str">
        <x:v>https://fr.pcpartpicker.com/product/Wzyqqs/msi-geforce-rtx-2060-super-8-gb-gaming-x-video-card-rtx-2060-super-gaming-x</x:v>
      </x:c>
    </x:row>
    <x:row r="108">
      <x:c r="A108" s="33" t="str">
        <x:v>gpu</x:v>
      </x:c>
      <x:c r="B108" s="34" t="str">
        <x:v>hf-video-card-276484</x:v>
      </x:c>
      <x:c r="C108" s="34" t="str">
        <x:v>EVGA KO ULTRA GAMING</x:v>
      </x:c>
      <x:c r="D108" s="34" t="str">
        <x:v>EVGA</x:v>
      </x:c>
      <x:c r="E108" s="82" t="n">
        <x:v>354.57</x:v>
      </x:c>
      <x:c r="F108" s="34" t="str">
        <x:v>USD</x:v>
      </x:c>
      <x:c r="G108" s="34" t="str">
        <x:v>reference</x:v>
      </x:c>
      <x:c r="H108" s="34" t="str">
        <x:v>2026-06-28</x:v>
      </x:c>
      <x:c r="I108" s="34" t="str">
        <x:v>chipset=GeForce RTX 2060; vramGb=6; tdpWatts=99; lengthMm=202; gamingScore1080p=76; gamingScore1440p=68; gamingScore4k=56; aiScore=67; cuda=true</x:v>
      </x:c>
      <x:c r="J108" s="34" t="str">
        <x:v>6GB, CUDA, dataset</x:v>
      </x:c>
      <x:c r="K108" s="34" t="str">
        <x:v>6GB graphics card; physical specifications are source-linked and relative workload scores are derived for ranking.</x:v>
      </x:c>
      <x:c r="L108" s="34" t="str">
        <x:v>https://fr.pcpartpicker.com/product/2H7p99/evga-geforce-rtx-2060-6-gb-ko-ultra-gaming-video-card-06g-p4-2068-kr</x:v>
      </x:c>
      <x:c r="M108" s="35" t="str">
        <x:v>https://fr.pcpartpicker.com/product/2H7p99/evga-geforce-rtx-2060-6-gb-ko-ultra-gaming-video-card-06g-p4-2068-kr</x:v>
      </x:c>
    </x:row>
    <x:row r="109">
      <x:c r="A109" s="33" t="str">
        <x:v>gpu</x:v>
      </x:c>
      <x:c r="B109" s="34" t="str">
        <x:v>hf-video-card-187905</x:v>
      </x:c>
      <x:c r="C109" s="34" t="str">
        <x:v>XFX GTS XXX</x:v>
      </x:c>
      <x:c r="D109" s="34" t="str">
        <x:v>XFX</x:v>
      </x:c>
      <x:c r="E109" s="82" t="n">
        <x:v>815.89</x:v>
      </x:c>
      <x:c r="F109" s="34" t="str">
        <x:v>USD</x:v>
      </x:c>
      <x:c r="G109" s="34" t="str">
        <x:v>reference</x:v>
      </x:c>
      <x:c r="H109" s="34" t="str">
        <x:v>2026-06-28</x:v>
      </x:c>
      <x:c r="I109" s="34" t="str">
        <x:v>chipset=Radeon RX 580; vramGb=8; tdpWatts=228; lengthMm=270; gamingScore1080p=97; gamingScore1440p=89; gamingScore4k=77; aiScore=73; cuda=false</x:v>
      </x:c>
      <x:c r="J109" s="34" t="str">
        <x:v>8GB, raster, dataset</x:v>
      </x:c>
      <x:c r="K109" s="34" t="str">
        <x:v>8GB graphics card; physical specifications are source-linked and relative workload scores are derived for ranking.</x:v>
      </x:c>
      <x:c r="L109" s="34" t="str">
        <x:v>https://fr.pcpartpicker.com/product/MsWfrH/xfx-gts-xxx-radeon-rx-580-8-gb-video-card-rx-580p8dfd6</x:v>
      </x:c>
      <x:c r="M109" s="35" t="str">
        <x:v>https://fr.pcpartpicker.com/product/MsWfrH/xfx-gts-xxx-radeon-rx-580-8-gb-video-card-rx-580p8dfd6</x:v>
      </x:c>
    </x:row>
    <x:row r="110">
      <x:c r="A110" s="33" t="str">
        <x:v>gpu</x:v>
      </x:c>
      <x:c r="B110" s="34" t="str">
        <x:v>hf-video-card-487791</x:v>
      </x:c>
      <x:c r="C110" s="34" t="str">
        <x:v>Gigabyte GAMING OC</x:v>
      </x:c>
      <x:c r="D110" s="34" t="str">
        <x:v>Gigabyte</x:v>
      </x:c>
      <x:c r="E110" s="82" t="n">
        <x:v>1110.73</x:v>
      </x:c>
      <x:c r="F110" s="34" t="str">
        <x:v>USD</x:v>
      </x:c>
      <x:c r="G110" s="34" t="str">
        <x:v>reference</x:v>
      </x:c>
      <x:c r="H110" s="34" t="str">
        <x:v>2026-06-28</x:v>
      </x:c>
      <x:c r="I110" s="34" t="str">
        <x:v>chipset=Radeon RX 7800 XT; vramGb=16; tdpWatts=311; lengthMm=302; gamingScore1080p=100; gamingScore1440p=100; gamingScore4k=88; aiScore=94; cuda=false</x:v>
      </x:c>
      <x:c r="J110" s="34" t="str">
        <x:v>16GB, raster, dataset</x:v>
      </x:c>
      <x:c r="K110" s="34" t="str">
        <x:v>16GB graphics card; physical specifications are source-linked and relative workload scores are derived for ranking.</x:v>
      </x:c>
      <x:c r="L110" s="34" t="str">
        <x:v>https://fr.pcpartpicker.com/product/mHpQzy/gigabyte-gaming-oc-radeon-rx-7800-xt-16-gb-video-card-gv-r78xtgaming-oc-16gd</x:v>
      </x:c>
      <x:c r="M110" s="35" t="str">
        <x:v>https://fr.pcpartpicker.com/product/mHpQzy/gigabyte-gaming-oc-radeon-rx-7800-xt-16-gb-video-card-gv-r78xtgaming-oc-16gd</x:v>
      </x:c>
    </x:row>
    <x:row r="111">
      <x:c r="A111" s="33" t="str">
        <x:v>gpu</x:v>
      </x:c>
      <x:c r="B111" s="34" t="str">
        <x:v>hf-video-card-388973</x:v>
      </x:c>
      <x:c r="C111" s="34" t="str">
        <x:v>ASRock Challenger D</x:v>
      </x:c>
      <x:c r="D111" s="34" t="str">
        <x:v>ASRock</x:v>
      </x:c>
      <x:c r="E111" s="82" t="n">
        <x:v>473.08</x:v>
      </x:c>
      <x:c r="F111" s="34" t="str">
        <x:v>USD</x:v>
      </x:c>
      <x:c r="G111" s="34" t="str">
        <x:v>reference</x:v>
      </x:c>
      <x:c r="H111" s="34" t="str">
        <x:v>2026-06-28</x:v>
      </x:c>
      <x:c r="I111" s="34" t="str">
        <x:v>chipset=Radeon RX 6600; vramGb=8; tdpWatts=132; lengthMm=269; gamingScore1080p=83; gamingScore1440p=75; gamingScore4k=63; aiScore=63; cuda=false</x:v>
      </x:c>
      <x:c r="J111" s="34" t="str">
        <x:v>8GB, raster, dataset</x:v>
      </x:c>
      <x:c r="K111" s="34" t="str">
        <x:v>8GB graphics card; physical specifications are source-linked and relative workload scores are derived for ranking.</x:v>
      </x:c>
      <x:c r="L111" s="34" t="str">
        <x:v>https://fr.pcpartpicker.com/product/D9ytt6/asrock-radeon-rx-6600-8-gb-challenger-d-video-card-rx6600-cld-8g</x:v>
      </x:c>
      <x:c r="M111" s="35" t="str">
        <x:v>https://fr.pcpartpicker.com/product/D9ytt6/asrock-radeon-rx-6600-8-gb-challenger-d-video-card-rx6600-cld-8g</x:v>
      </x:c>
    </x:row>
    <x:row r="112">
      <x:c r="A112" s="33" t="str">
        <x:v>gpu</x:v>
      </x:c>
      <x:c r="B112" s="34" t="str">
        <x:v>hf-video-card-487901</x:v>
      </x:c>
      <x:c r="C112" s="34" t="str">
        <x:v>Sapphire PULSE</x:v>
      </x:c>
      <x:c r="D112" s="34" t="str">
        <x:v>Sapphire</x:v>
      </x:c>
      <x:c r="E112" s="82" t="n">
        <x:v>959.84</x:v>
      </x:c>
      <x:c r="F112" s="34" t="str">
        <x:v>USD</x:v>
      </x:c>
      <x:c r="G112" s="34" t="str">
        <x:v>reference</x:v>
      </x:c>
      <x:c r="H112" s="34" t="str">
        <x:v>2026-06-28</x:v>
      </x:c>
      <x:c r="I112" s="34" t="str">
        <x:v>chipset=Radeon RX 7800 XT; vramGb=16; tdpWatts=269; lengthMm=280; gamingScore1080p=100; gamingScore1440p=95; gamingScore4k=83; aiScore=90; cuda=false</x:v>
      </x:c>
      <x:c r="J112" s="34" t="str">
        <x:v>16GB, raster, dataset</x:v>
      </x:c>
      <x:c r="K112" s="34" t="str">
        <x:v>16GB graphics card; physical specifications are source-linked and relative workload scores are derived for ranking.</x:v>
      </x:c>
      <x:c r="L112" s="34" t="str">
        <x:v>https://fr.pcpartpicker.com/product/fcBzK8/sapphire-pulse-radeon-rx-7800-xt-16-gb-video-card-11330-02-20g</x:v>
      </x:c>
      <x:c r="M112" s="35" t="str">
        <x:v>https://fr.pcpartpicker.com/product/fcBzK8/sapphire-pulse-radeon-rx-7800-xt-16-gb-video-card-11330-02-20g</x:v>
      </x:c>
    </x:row>
    <x:row r="113">
      <x:c r="A113" s="33" t="str">
        <x:v>gpu</x:v>
      </x:c>
      <x:c r="B113" s="34" t="str">
        <x:v>hf-video-card-371601</x:v>
      </x:c>
      <x:c r="C113" s="34" t="str">
        <x:v>EVGA FTW3 ULTRA GAMING LE iCX3</x:v>
      </x:c>
      <x:c r="D113" s="34" t="str">
        <x:v>EVGA</x:v>
      </x:c>
      <x:c r="E113" s="82" t="n">
        <x:v>2273.17</x:v>
      </x:c>
      <x:c r="F113" s="34" t="str">
        <x:v>USD</x:v>
      </x:c>
      <x:c r="G113" s="34" t="str">
        <x:v>reference</x:v>
      </x:c>
      <x:c r="H113" s="34" t="str">
        <x:v>2026-06-28</x:v>
      </x:c>
      <x:c r="I113" s="34" t="str">
        <x:v>chipset=GeForce RTX 3080 Ti; vramGb=12; tdpWatts=500; lengthMm=300; gamingScore1080p=100; gamingScore1440p=100; gamingScore4k=88; aiScore=99; cuda=true</x:v>
      </x:c>
      <x:c r="J113" s="34" t="str">
        <x:v>12GB, CUDA, dataset</x:v>
      </x:c>
      <x:c r="K113" s="34" t="str">
        <x:v>12GB graphics card; physical specifications are source-linked and relative workload scores are derived for ranking.</x:v>
      </x:c>
      <x:c r="L113" s="34" t="str">
        <x:v>https://fr.pcpartpicker.com/product/FFPQzy/evga-geforce-rtx-3080-ti-12-gb-ftw3-ultra-gaming-le-icx3-video-card-12g-p5-3967-kr</x:v>
      </x:c>
      <x:c r="M113" s="35" t="str">
        <x:v>https://fr.pcpartpicker.com/product/FFPQzy/evga-geforce-rtx-3080-ti-12-gb-ftw3-ultra-gaming-le-icx3-video-card-12g-p5-3967-kr</x:v>
      </x:c>
    </x:row>
    <x:row r="114">
      <x:c r="A114" s="33" t="str">
        <x:v>gpu</x:v>
      </x:c>
      <x:c r="B114" s="34" t="str">
        <x:v>hf-video-card-372709</x:v>
      </x:c>
      <x:c r="C114" s="34" t="str">
        <x:v>EVGA FTW3 ULTRA GAMING</x:v>
      </x:c>
      <x:c r="D114" s="34" t="str">
        <x:v>EVGA</x:v>
      </x:c>
      <x:c r="E114" s="82" t="n">
        <x:v>1013.88</x:v>
      </x:c>
      <x:c r="F114" s="34" t="str">
        <x:v>USD</x:v>
      </x:c>
      <x:c r="G114" s="34" t="str">
        <x:v>reference</x:v>
      </x:c>
      <x:c r="H114" s="34" t="str">
        <x:v>2026-06-28</x:v>
      </x:c>
      <x:c r="I114" s="34" t="str">
        <x:v>chipset=GeForce RTX 3070 Ti; vramGb=8; tdpWatts=284; lengthMm=300; gamingScore1080p=100; gamingScore1440p=96; gamingScore4k=84; aiScore=89; cuda=true</x:v>
      </x:c>
      <x:c r="J114" s="34" t="str">
        <x:v>8GB, CUDA, dataset</x:v>
      </x:c>
      <x:c r="K114" s="34" t="str">
        <x:v>8GB graphics card; physical specifications are source-linked and relative workload scores are derived for ranking.</x:v>
      </x:c>
      <x:c r="L114" s="34" t="str">
        <x:v>https://fr.pcpartpicker.com/product/M2rRsY/evga-geforce-rtx-3070-ti-8-gb-ftw3-ultra-gaming-video-card-08g-p5-3797-kl</x:v>
      </x:c>
      <x:c r="M114" s="35" t="str">
        <x:v>https://fr.pcpartpicker.com/product/M2rRsY/evga-geforce-rtx-3070-ti-8-gb-ftw3-ultra-gaming-video-card-08g-p5-3797-kl</x:v>
      </x:c>
    </x:row>
    <x:row r="115">
      <x:c r="A115" s="33" t="str">
        <x:v>gpu</x:v>
      </x:c>
      <x:c r="B115" s="34" t="str">
        <x:v>hf-video-card-19588</x:v>
      </x:c>
      <x:c r="C115" s="34" t="str">
        <x:v>EVGA Superclocked</x:v>
      </x:c>
      <x:c r="D115" s="34" t="str">
        <x:v>EVGA</x:v>
      </x:c>
      <x:c r="E115" s="82" t="n">
        <x:v>1137.82</x:v>
      </x:c>
      <x:c r="F115" s="34" t="str">
        <x:v>USD</x:v>
      </x:c>
      <x:c r="G115" s="34" t="str">
        <x:v>reference</x:v>
      </x:c>
      <x:c r="H115" s="34" t="str">
        <x:v>2026-06-28</x:v>
      </x:c>
      <x:c r="I115" s="34" t="str">
        <x:v>chipset=GeForce GTX 780; vramGb=3; tdpWatts=319; lengthMm=266; gamingScore1080p=100; gamingScore1440p=100; gamingScore4k=88; aiScore=82; cuda=true</x:v>
      </x:c>
      <x:c r="J115" s="34" t="str">
        <x:v>3GB, CUDA, dataset</x:v>
      </x:c>
      <x:c r="K115" s="34" t="str">
        <x:v>3GB graphics card; physical specifications are source-linked and relative workload scores are derived for ranking.</x:v>
      </x:c>
      <x:c r="L115" s="34" t="str">
        <x:v>https://fr.pcpartpicker.com/product/BtMFf7/evga-video-card-03gp42783kr</x:v>
      </x:c>
      <x:c r="M115" s="35" t="str">
        <x:v>https://fr.pcpartpicker.com/product/BtMFf7/evga-video-card-03gp42783kr</x:v>
      </x:c>
    </x:row>
    <x:row r="116">
      <x:c r="A116" s="33" t="str">
        <x:v>gpu</x:v>
      </x:c>
      <x:c r="B116" s="34" t="str">
        <x:v>hf-video-card-573186</x:v>
      </x:c>
      <x:c r="C116" s="34" t="str">
        <x:v>ASRock Steel Legend</x:v>
      </x:c>
      <x:c r="D116" s="34" t="str">
        <x:v>ASRock</x:v>
      </x:c>
      <x:c r="E116" s="82" t="n">
        <x:v>796.64</x:v>
      </x:c>
      <x:c r="F116" s="34" t="str">
        <x:v>USD</x:v>
      </x:c>
      <x:c r="G116" s="34" t="str">
        <x:v>reference</x:v>
      </x:c>
      <x:c r="H116" s="34" t="str">
        <x:v>2026-06-28</x:v>
      </x:c>
      <x:c r="I116" s="34" t="str">
        <x:v>chipset=Radeon RX 9070 XT; vramGb=16; tdpWatts=223; lengthMm=298; gamingScore1080p=97; gamingScore1440p=89; gamingScore4k=77; aiScore=86; cuda=false</x:v>
      </x:c>
      <x:c r="J116" s="34" t="str">
        <x:v>16GB, raster, dataset</x:v>
      </x:c>
      <x:c r="K116" s="34" t="str">
        <x:v>16GB graphics card; physical specifications are source-linked and relative workload scores are derived for ranking.</x:v>
      </x:c>
      <x:c r="L116" s="34" t="str">
        <x:v>https://fr.pcpartpicker.com/product/RVWmP6/asrock-steel-legend-radeon-rx-9070-xt-16-gb-video-card-rx9070xt-sl-16g</x:v>
      </x:c>
      <x:c r="M116" s="35" t="str">
        <x:v>https://fr.pcpartpicker.com/product/RVWmP6/asrock-steel-legend-radeon-rx-9070-xt-16-gb-video-card-rx9070xt-sl-16g</x:v>
      </x:c>
    </x:row>
    <x:row r="117">
      <x:c r="A117" s="33" t="str">
        <x:v>gpu</x:v>
      </x:c>
      <x:c r="B117" s="34" t="str">
        <x:v>hf-video-card-465836</x:v>
      </x:c>
      <x:c r="C117" s="34" t="str">
        <x:v>Gigabyte WINDFORCE OC</x:v>
      </x:c>
      <x:c r="D117" s="34" t="str">
        <x:v>Gigabyte</x:v>
      </x:c>
      <x:c r="E117" s="82" t="n">
        <x:v>1128.69</x:v>
      </x:c>
      <x:c r="F117" s="34" t="str">
        <x:v>USD</x:v>
      </x:c>
      <x:c r="G117" s="34" t="str">
        <x:v>reference</x:v>
      </x:c>
      <x:c r="H117" s="34" t="str">
        <x:v>2026-06-28</x:v>
      </x:c>
      <x:c r="I117" s="34" t="str">
        <x:v>chipset=GeForce RTX 4070; vramGb=12; tdpWatts=316; lengthMm=261; gamingScore1080p=100; gamingScore1440p=100; gamingScore4k=88; aiScore=99; cuda=true</x:v>
      </x:c>
      <x:c r="J117" s="34" t="str">
        <x:v>12GB, CUDA, dataset</x:v>
      </x:c>
      <x:c r="K117" s="34" t="str">
        <x:v>12GB graphics card; physical specifications are source-linked and relative workload scores are derived for ranking.</x:v>
      </x:c>
      <x:c r="L117" s="34" t="str">
        <x:v>https://fr.pcpartpicker.com/product/FnLdnQ/gigabyte-windforce-oc-geforce-rtx-4070-12-gb-video-card-gv-n4070wf3oc-12gd</x:v>
      </x:c>
      <x:c r="M117" s="35" t="str">
        <x:v>https://fr.pcpartpicker.com/product/FnLdnQ/gigabyte-windforce-oc-geforce-rtx-4070-12-gb-video-card-gv-n4070wf3oc-12gd</x:v>
      </x:c>
    </x:row>
    <x:row r="118">
      <x:c r="A118" s="33" t="str">
        <x:v>gpu</x:v>
      </x:c>
      <x:c r="B118" s="34" t="str">
        <x:v>hf-video-card-565953</x:v>
      </x:c>
      <x:c r="C118" s="34" t="str">
        <x:v>NVIDIA Founders Edition</x:v>
      </x:c>
      <x:c r="D118" s="34" t="str">
        <x:v>NVIDIA</x:v>
      </x:c>
      <x:c r="E118" s="82" t="n">
        <x:v>1710.14</x:v>
      </x:c>
      <x:c r="F118" s="34" t="str">
        <x:v>USD</x:v>
      </x:c>
      <x:c r="G118" s="34" t="str">
        <x:v>reference</x:v>
      </x:c>
      <x:c r="H118" s="34" t="str">
        <x:v>2026-06-28</x:v>
      </x:c>
      <x:c r="I118" s="34" t="str">
        <x:v>chipset=GeForce RTX 5080; vramGb=16; tdpWatts=479; lengthMm=304; gamingScore1080p=100; gamingScore1440p=100; gamingScore4k=88; aiScore=100; cuda=true</x:v>
      </x:c>
      <x:c r="J118" s="34" t="str">
        <x:v>16GB, CUDA, dataset</x:v>
      </x:c>
      <x:c r="K118" s="34" t="str">
        <x:v>16GB graphics card; physical specifications are source-linked and relative workload scores are derived for ranking.</x:v>
      </x:c>
      <x:c r="L118" s="34" t="str">
        <x:v>https://fr.pcpartpicker.com/product/87WmP6/nvidia-founders-edition-geforce-rtx-5080-16-gb-video-card-900-1g144-2545-000</x:v>
      </x:c>
      <x:c r="M118" s="35" t="str">
        <x:v>https://fr.pcpartpicker.com/product/87WmP6/nvidia-founders-edition-geforce-rtx-5080-16-gb-video-card-900-1g144-2545-000</x:v>
      </x:c>
    </x:row>
    <x:row r="119">
      <x:c r="A119" s="33" t="str">
        <x:v>gpu</x:v>
      </x:c>
      <x:c r="B119" s="34" t="str">
        <x:v>hf-video-card-573197</x:v>
      </x:c>
      <x:c r="C119" s="34" t="str">
        <x:v>Asus PRIME OC</x:v>
      </x:c>
      <x:c r="D119" s="34" t="str">
        <x:v>Asus</x:v>
      </x:c>
      <x:c r="E119" s="82" t="n">
        <x:v>823.02</x:v>
      </x:c>
      <x:c r="F119" s="34" t="str">
        <x:v>USD</x:v>
      </x:c>
      <x:c r="G119" s="34" t="str">
        <x:v>reference</x:v>
      </x:c>
      <x:c r="H119" s="34" t="str">
        <x:v>2026-06-28</x:v>
      </x:c>
      <x:c r="I119" s="34" t="str">
        <x:v>chipset=Radeon RX 9070 XT; vramGb=16; tdpWatts=230; lengthMm=312; gamingScore1080p=98; gamingScore1440p=90; gamingScore4k=78; aiScore=87; cuda=false</x:v>
      </x:c>
      <x:c r="J119" s="34" t="str">
        <x:v>16GB, raster, dataset</x:v>
      </x:c>
      <x:c r="K119" s="34" t="str">
        <x:v>16GB graphics card; physical specifications are source-linked and relative workload scores are derived for ranking.</x:v>
      </x:c>
      <x:c r="L119" s="34" t="str">
        <x:v>https://fr.pcpartpicker.com/product/WcHp99/asus-prime-oc-radeon-rx-9070-xt-16-gb-video-card-prime-rx9070xt-o16g</x:v>
      </x:c>
      <x:c r="M119" s="35" t="str">
        <x:v>https://fr.pcpartpicker.com/product/WcHp99/asus-prime-oc-radeon-rx-9070-xt-16-gb-video-card-prime-rx9070xt-o16g</x:v>
      </x:c>
    </x:row>
    <x:row r="120">
      <x:c r="A120" s="33" t="str">
        <x:v>gpu</x:v>
      </x:c>
      <x:c r="B120" s="34" t="str">
        <x:v>hf-video-card-269119</x:v>
      </x:c>
      <x:c r="C120" s="34" t="str">
        <x:v>EVGA SC ULTRA GAMING</x:v>
      </x:c>
      <x:c r="D120" s="34" t="str">
        <x:v>EVGA</x:v>
      </x:c>
      <x:c r="E120" s="82" t="n">
        <x:v>860.75</x:v>
      </x:c>
      <x:c r="F120" s="34" t="str">
        <x:v>USD</x:v>
      </x:c>
      <x:c r="G120" s="34" t="str">
        <x:v>reference</x:v>
      </x:c>
      <x:c r="H120" s="34" t="str">
        <x:v>2026-06-28</x:v>
      </x:c>
      <x:c r="I120" s="34" t="str">
        <x:v>chipset=GeForce GTX 1650 SUPER; vramGb=4; tdpWatts=241; lengthMm=202; gamingScore1080p=99; gamingScore1440p=91; gamingScore4k=79; aiScore=78; cuda=true</x:v>
      </x:c>
      <x:c r="J120" s="34" t="str">
        <x:v>4GB, CUDA, dataset</x:v>
      </x:c>
      <x:c r="K120" s="34" t="str">
        <x:v>4GB graphics card; physical specifications are source-linked and relative workload scores are derived for ranking.</x:v>
      </x:c>
      <x:c r="L120" s="34" t="str">
        <x:v>https://fr.pcpartpicker.com/product/LBrYcf/evga-geforce-gtx-1650-super-4-gb-sc-ultra-gaming-video-card-04g-p4-1357-kr</x:v>
      </x:c>
      <x:c r="M120" s="35" t="str">
        <x:v>https://fr.pcpartpicker.com/product/LBrYcf/evga-geforce-gtx-1650-super-4-gb-sc-ultra-gaming-video-card-04g-p4-1357-kr</x:v>
      </x:c>
    </x:row>
    <x:row r="121">
      <x:c r="A121" s="33" t="str">
        <x:v>gpu</x:v>
      </x:c>
      <x:c r="B121" s="34" t="str">
        <x:v>hf-video-card-62558</x:v>
      </x:c>
      <x:c r="C121" s="34" t="str">
        <x:v>EVGA SSC GAMING ACX 3.0</x:v>
      </x:c>
      <x:c r="D121" s="34" t="str">
        <x:v>EVGA</x:v>
      </x:c>
      <x:c r="E121" s="82" t="n">
        <x:v>637.13</x:v>
      </x:c>
      <x:c r="F121" s="34" t="str">
        <x:v>USD</x:v>
      </x:c>
      <x:c r="G121" s="34" t="str">
        <x:v>reference</x:v>
      </x:c>
      <x:c r="H121" s="34" t="str">
        <x:v>2026-06-28</x:v>
      </x:c>
      <x:c r="I121" s="34" t="str">
        <x:v>chipset=GeForce GTX 1050 Ti; vramGb=4; tdpWatts=178; lengthMm=229; gamingScore1080p=90; gamingScore1440p=82; gamingScore4k=70; aiScore=73; cuda=true</x:v>
      </x:c>
      <x:c r="J121" s="34" t="str">
        <x:v>4GB, CUDA, dataset</x:v>
      </x:c>
      <x:c r="K121" s="34" t="str">
        <x:v>4GB graphics card; physical specifications are source-linked and relative workload scores are derived for ranking.</x:v>
      </x:c>
      <x:c r="L121" s="34" t="str">
        <x:v>https://fr.pcpartpicker.com/product/D44NnQ/evga-geforce-gtx-1050-ti-4gb-ssc-gaming-acx-30-video-card-04g-p4-6255-kr</x:v>
      </x:c>
      <x:c r="M121" s="35" t="str">
        <x:v>https://fr.pcpartpicker.com/product/D44NnQ/evga-geforce-gtx-1050-ti-4gb-ssc-gaming-acx-30-video-card-04g-p4-6255-kr</x:v>
      </x:c>
    </x:row>
    <x:row r="122">
      <x:c r="A122" s="33" t="str">
        <x:v>gpu</x:v>
      </x:c>
      <x:c r="B122" s="34" t="str">
        <x:v>hf-video-card-447839</x:v>
      </x:c>
      <x:c r="C122" s="34" t="str">
        <x:v>XFX Speedster MERC 310</x:v>
      </x:c>
      <x:c r="D122" s="34" t="str">
        <x:v>XFX</x:v>
      </x:c>
      <x:c r="E122" s="82" t="n">
        <x:v>1458.06</x:v>
      </x:c>
      <x:c r="F122" s="34" t="str">
        <x:v>USD</x:v>
      </x:c>
      <x:c r="G122" s="34" t="str">
        <x:v>reference</x:v>
      </x:c>
      <x:c r="H122" s="34" t="str">
        <x:v>2026-06-28</x:v>
      </x:c>
      <x:c r="I122" s="34" t="str">
        <x:v>chipset=Radeon RX 7900 XT; vramGb=20; tdpWatts=408; lengthMm=344; gamingScore1080p=100; gamingScore1440p=100; gamingScore4k=88; aiScore=100; cuda=false</x:v>
      </x:c>
      <x:c r="J122" s="34" t="str">
        <x:v>20GB, raster, dataset</x:v>
      </x:c>
      <x:c r="K122" s="34" t="str">
        <x:v>20GB graphics card; physical specifications are source-linked and relative workload scores are derived for ranking.</x:v>
      </x:c>
      <x:c r="L122" s="34" t="str">
        <x:v>https://fr.pcpartpicker.com/product/7dNxFT/xfx-speedster-merc-310-radeon-rx-7900-xt-20-gb-video-card-rx-79tmercu9</x:v>
      </x:c>
      <x:c r="M122" s="35" t="str">
        <x:v>https://fr.pcpartpicker.com/product/7dNxFT/xfx-speedster-merc-310-radeon-rx-7900-xt-20-gb-video-card-rx-79tmercu9</x:v>
      </x:c>
    </x:row>
    <x:row r="123">
      <x:c r="A123" s="33" t="str">
        <x:v>gpu</x:v>
      </x:c>
      <x:c r="B123" s="34" t="str">
        <x:v>hf-video-card-587597</x:v>
      </x:c>
      <x:c r="C123" s="34" t="str">
        <x:v>XFX Swift OC</x:v>
      </x:c>
      <x:c r="D123" s="34" t="str">
        <x:v>XFX</x:v>
      </x:c>
      <x:c r="E123" s="82" t="n">
        <x:v>511.9</x:v>
      </x:c>
      <x:c r="F123" s="34" t="str">
        <x:v>USD</x:v>
      </x:c>
      <x:c r="G123" s="34" t="str">
        <x:v>reference</x:v>
      </x:c>
      <x:c r="H123" s="34" t="str">
        <x:v>2026-06-28</x:v>
      </x:c>
      <x:c r="I123" s="34" t="str">
        <x:v>chipset=Radeon RX 9060 XT; vramGb=16; tdpWatts=143; lengthMm=290; gamingScore1080p=85; gamingScore1440p=77; gamingScore4k=65; aiScore=79; cuda=false</x:v>
      </x:c>
      <x:c r="J123" s="34" t="str">
        <x:v>16GB, raster, dataset</x:v>
      </x:c>
      <x:c r="K123" s="34" t="str">
        <x:v>16GB graphics card; physical specifications are source-linked and relative workload scores are derived for ranking.</x:v>
      </x:c>
      <x:c r="L123" s="34" t="str">
        <x:v>https://fr.pcpartpicker.com/product/cD7MnQ/xfx-swift-oc-radeon-rx-9060-xt-16-gb-video-card-rx-96ts316b7</x:v>
      </x:c>
      <x:c r="M123" s="35" t="str">
        <x:v>https://fr.pcpartpicker.com/product/cD7MnQ/xfx-swift-oc-radeon-rx-9060-xt-16-gb-video-card-rx-96ts316b7</x:v>
      </x:c>
    </x:row>
    <x:row r="124">
      <x:c r="A124" s="33" t="str">
        <x:v>gpu</x:v>
      </x:c>
      <x:c r="B124" s="34" t="str">
        <x:v>hf-video-card-404010</x:v>
      </x:c>
      <x:c r="C124" s="34" t="str">
        <x:v>Gigabyte GAMING OC Rev 2.0</x:v>
      </x:c>
      <x:c r="D124" s="34" t="str">
        <x:v>Gigabyte</x:v>
      </x:c>
      <x:c r="E124" s="82" t="n">
        <x:v>772.11</x:v>
      </x:c>
      <x:c r="F124" s="34" t="str">
        <x:v>USD</x:v>
      </x:c>
      <x:c r="G124" s="34" t="str">
        <x:v>reference</x:v>
      </x:c>
      <x:c r="H124" s="34" t="str">
        <x:v>2026-06-28</x:v>
      </x:c>
      <x:c r="I124" s="34" t="str">
        <x:v>chipset=GeForce RTX 3060 12GB; vramGb=12; tdpWatts=216; lengthMm=282; gamingScore1080p=96; gamingScore1440p=88; gamingScore4k=76; aiScore=91; cuda=true</x:v>
      </x:c>
      <x:c r="J124" s="34" t="str">
        <x:v>12GB, CUDA, dataset</x:v>
      </x:c>
      <x:c r="K124" s="34" t="str">
        <x:v>12GB graphics card; physical specifications are source-linked and relative workload scores are derived for ranking.</x:v>
      </x:c>
      <x:c r="L124" s="34" t="str">
        <x:v>https://fr.pcpartpicker.com/product/GzgFf7/gigabyte-gaming-oc-rev-20-geforce-rtx-3060-12gb-12-gb-video-card-gv-n3060gaming-oc-12gd-rev-20</x:v>
      </x:c>
      <x:c r="M124" s="35" t="str">
        <x:v>https://fr.pcpartpicker.com/product/GzgFf7/gigabyte-gaming-oc-rev-20-geforce-rtx-3060-12gb-12-gb-video-card-gv-n3060gaming-oc-12gd-rev-20</x:v>
      </x:c>
    </x:row>
    <x:row r="125">
      <x:c r="A125" s="33" t="str">
        <x:v>gpu</x:v>
      </x:c>
      <x:c r="B125" s="34" t="str">
        <x:v>hf-video-card-318043</x:v>
      </x:c>
      <x:c r="C125" s="34" t="str">
        <x:v>Asus STRIX GAMING OC</x:v>
      </x:c>
      <x:c r="D125" s="34" t="str">
        <x:v>Asus</x:v>
      </x:c>
      <x:c r="E125" s="82" t="n">
        <x:v>2257.39</x:v>
      </x:c>
      <x:c r="F125" s="34" t="str">
        <x:v>USD</x:v>
      </x:c>
      <x:c r="G125" s="34" t="str">
        <x:v>reference</x:v>
      </x:c>
      <x:c r="H125" s="34" t="str">
        <x:v>2026-06-28</x:v>
      </x:c>
      <x:c r="I125" s="34" t="str">
        <x:v>chipset=GeForce RTX 3090; vramGb=24; tdpWatts=500; lengthMm=318; gamingScore1080p=100; gamingScore1440p=100; gamingScore4k=88; aiScore=100; cuda=true</x:v>
      </x:c>
      <x:c r="J125" s="34" t="str">
        <x:v>24GB, CUDA, dataset</x:v>
      </x:c>
      <x:c r="K125" s="34" t="str">
        <x:v>24GB graphics card; physical specifications are source-linked and relative workload scores are derived for ranking.</x:v>
      </x:c>
      <x:c r="L125" s="34" t="str">
        <x:v>https://fr.pcpartpicker.com/product/fzVG3C/asus-geforce-rtx-3090-24-gb-strix-gaming-oc-video-card-rog-strix-rtx3090-o24g-gaming</x:v>
      </x:c>
      <x:c r="M125" s="35" t="str">
        <x:v>https://fr.pcpartpicker.com/product/fzVG3C/asus-geforce-rtx-3090-24-gb-strix-gaming-oc-video-card-rog-strix-rtx3090-o24g-gaming</x:v>
      </x:c>
    </x:row>
    <x:row r="126">
      <x:c r="A126" s="33" t="str">
        <x:v>gpu</x:v>
      </x:c>
      <x:c r="B126" s="34" t="str">
        <x:v>hf-video-card-574001</x:v>
      </x:c>
      <x:c r="C126" s="34" t="str">
        <x:v>XFX Swift</x:v>
      </x:c>
      <x:c r="D126" s="34" t="str">
        <x:v>XFX</x:v>
      </x:c>
      <x:c r="E126" s="82" t="n">
        <x:v>756.91</x:v>
      </x:c>
      <x:c r="F126" s="34" t="str">
        <x:v>USD</x:v>
      </x:c>
      <x:c r="G126" s="34" t="str">
        <x:v>reference</x:v>
      </x:c>
      <x:c r="H126" s="34" t="str">
        <x:v>2026-06-28</x:v>
      </x:c>
      <x:c r="I126" s="34" t="str">
        <x:v>chipset=Radeon RX 9070 XT; vramGb=16; tdpWatts=212; lengthMm=325; gamingScore1080p=95; gamingScore1440p=87; gamingScore4k=75; aiScore=85; cuda=false</x:v>
      </x:c>
      <x:c r="J126" s="34" t="str">
        <x:v>16GB, raster, dataset</x:v>
      </x:c>
      <x:c r="K126" s="34" t="str">
        <x:v>16GB graphics card; physical specifications are source-linked and relative workload scores are derived for ranking.</x:v>
      </x:c>
      <x:c r="L126" s="34" t="str">
        <x:v>https://fr.pcpartpicker.com/product/T7RnTW/xfx-swift-radeon-rx-9070-xt-16-gb-video-card-rx-97tswf3b9</x:v>
      </x:c>
      <x:c r="M126" s="35" t="str">
        <x:v>https://fr.pcpartpicker.com/product/T7RnTW/xfx-swift-radeon-rx-9070-xt-16-gb-video-card-rx-97tswf3b9</x:v>
      </x:c>
    </x:row>
    <x:row r="127">
      <x:c r="A127" s="33" t="str">
        <x:v>gpu</x:v>
      </x:c>
      <x:c r="B127" s="34" t="str">
        <x:v>hf-video-card-506014</x:v>
      </x:c>
      <x:c r="C127" s="34" t="str">
        <x:v>Asus DUAL OC</x:v>
      </x:c>
      <x:c r="D127" s="34" t="str">
        <x:v>Asus</x:v>
      </x:c>
      <x:c r="E127" s="82" t="n">
        <x:v>1242.7</x:v>
      </x:c>
      <x:c r="F127" s="34" t="str">
        <x:v>USD</x:v>
      </x:c>
      <x:c r="G127" s="34" t="str">
        <x:v>reference</x:v>
      </x:c>
      <x:c r="H127" s="34" t="str">
        <x:v>2026-06-28</x:v>
      </x:c>
      <x:c r="I127" s="34" t="str">
        <x:v>chipset=GeForce RTX 4070 SUPER; vramGb=12; tdpWatts=348; lengthMm=267; gamingScore1080p=100; gamingScore1440p=100; gamingScore4k=88; aiScore=99; cuda=true</x:v>
      </x:c>
      <x:c r="J127" s="34" t="str">
        <x:v>12GB, CUDA, dataset</x:v>
      </x:c>
      <x:c r="K127" s="34" t="str">
        <x:v>12GB graphics card; physical specifications are source-linked and relative workload scores are derived for ranking.</x:v>
      </x:c>
      <x:c r="L127" s="34" t="str">
        <x:v>https://fr.pcpartpicker.com/product/Hc7scf/asus-dual-oc-geforce-rtx-4070-super-12-gb-video-card-dual-rtx4070s-o12g</x:v>
      </x:c>
      <x:c r="M127" s="35" t="str">
        <x:v>https://fr.pcpartpicker.com/product/Hc7scf/asus-dual-oc-geforce-rtx-4070-super-12-gb-video-card-dual-rtx4070s-o12g</x:v>
      </x:c>
    </x:row>
    <x:row r="128">
      <x:c r="A128" s="33" t="str">
        <x:v>gpu</x:v>
      </x:c>
      <x:c r="B128" s="34" t="str">
        <x:v>hf-video-card-53849</x:v>
      </x:c>
      <x:c r="C128" s="34" t="str">
        <x:v>Asus TURBO-GTX1070-8G</x:v>
      </x:c>
      <x:c r="D128" s="34" t="str">
        <x:v>Asus</x:v>
      </x:c>
      <x:c r="E128" s="82" t="n">
        <x:v>952.34</x:v>
      </x:c>
      <x:c r="F128" s="34" t="str">
        <x:v>USD</x:v>
      </x:c>
      <x:c r="G128" s="34" t="str">
        <x:v>reference</x:v>
      </x:c>
      <x:c r="H128" s="34" t="str">
        <x:v>2026-06-28</x:v>
      </x:c>
      <x:c r="I128" s="34" t="str">
        <x:v>chipset=GeForce GTX 1070; vramGb=8; tdpWatts=267; lengthMm=267; gamingScore1080p=100; gamingScore1440p=94; gamingScore4k=82; aiScore=88; cuda=true</x:v>
      </x:c>
      <x:c r="J128" s="34" t="str">
        <x:v>8GB, CUDA, dataset</x:v>
      </x:c>
      <x:c r="K128" s="34" t="str">
        <x:v>8GB graphics card; physical specifications are source-linked and relative workload scores are derived for ranking.</x:v>
      </x:c>
      <x:c r="L128" s="34" t="str">
        <x:v>https://fr.pcpartpicker.com/product/jygPxr/asus-geforce-gtx-1070-8gb-video-card-turbo-gtx1070-8g</x:v>
      </x:c>
      <x:c r="M128" s="35" t="str">
        <x:v>https://fr.pcpartpicker.com/product/jygPxr/asus-geforce-gtx-1070-8gb-video-card-turbo-gtx1070-8g</x:v>
      </x:c>
    </x:row>
    <x:row r="129">
      <x:c r="A129" s="33" t="str">
        <x:v>gpu</x:v>
      </x:c>
      <x:c r="B129" s="34" t="str">
        <x:v>hf-video-card-354854</x:v>
      </x:c>
      <x:c r="C129" s="34" t="str">
        <x:v>Zotac GAMING Twin Edge OC</x:v>
      </x:c>
      <x:c r="D129" s="34" t="str">
        <x:v>Zotac</x:v>
      </x:c>
      <x:c r="E129" s="82" t="n">
        <x:v>741.05</x:v>
      </x:c>
      <x:c r="F129" s="34" t="str">
        <x:v>USD</x:v>
      </x:c>
      <x:c r="G129" s="34" t="str">
        <x:v>reference</x:v>
      </x:c>
      <x:c r="H129" s="34" t="str">
        <x:v>2026-06-28</x:v>
      </x:c>
      <x:c r="I129" s="34" t="str">
        <x:v>chipset=GeForce RTX 3060 12GB; vramGb=12; tdpWatts=207; lengthMm=224; gamingScore1080p=95; gamingScore1440p=87; gamingScore4k=75; aiScore=90; cuda=true</x:v>
      </x:c>
      <x:c r="J129" s="34" t="str">
        <x:v>12GB, CUDA, dataset</x:v>
      </x:c>
      <x:c r="K129" s="34" t="str">
        <x:v>12GB graphics card; physical specifications are source-linked and relative workload scores are derived for ranking.</x:v>
      </x:c>
      <x:c r="L129" s="34" t="str">
        <x:v>https://fr.pcpartpicker.com/product/sM8bt6/zotac-geforce-rtx-3060-12-gb-gaming-twin-edge-oc-video-card-zt-a30600h-10m</x:v>
      </x:c>
      <x:c r="M129" s="35" t="str">
        <x:v>https://fr.pcpartpicker.com/product/sM8bt6/zotac-geforce-rtx-3060-12-gb-gaming-twin-edge-oc-video-card-zt-a30600h-10m</x:v>
      </x:c>
    </x:row>
    <x:row r="130">
      <x:c r="A130" s="33" t="str">
        <x:v>gpu</x:v>
      </x:c>
      <x:c r="B130" s="34" t="str">
        <x:v>hf-video-card-573501</x:v>
      </x:c>
      <x:c r="C130" s="34" t="str">
        <x:v>PNY OC</x:v>
      </x:c>
      <x:c r="D130" s="34" t="str">
        <x:v>PNY</x:v>
      </x:c>
      <x:c r="E130" s="82" t="n">
        <x:v>751.3</x:v>
      </x:c>
      <x:c r="F130" s="34" t="str">
        <x:v>USD</x:v>
      </x:c>
      <x:c r="G130" s="34" t="str">
        <x:v>reference</x:v>
      </x:c>
      <x:c r="H130" s="34" t="str">
        <x:v>2026-06-28</x:v>
      </x:c>
      <x:c r="I130" s="34" t="str">
        <x:v>chipset=GeForce RTX 5070; vramGb=12; tdpWatts=210; lengthMm=300; gamingScore1080p=95; gamingScore1440p=87; gamingScore4k=75; aiScore=90; cuda=true</x:v>
      </x:c>
      <x:c r="J130" s="34" t="str">
        <x:v>12GB, CUDA, dataset</x:v>
      </x:c>
      <x:c r="K130" s="34" t="str">
        <x:v>12GB graphics card; physical specifications are source-linked and relative workload scores are derived for ranking.</x:v>
      </x:c>
      <x:c r="L130" s="34" t="str">
        <x:v>https://fr.pcpartpicker.com/product/P89nTW/pny-oc-geforce-rtx-5070-12-gb-video-card-vcg507012tfxpb1-o</x:v>
      </x:c>
      <x:c r="M130" s="35" t="str">
        <x:v>https://fr.pcpartpicker.com/product/P89nTW/pny-oc-geforce-rtx-5070-12-gb-video-card-vcg507012tfxpb1-o</x:v>
      </x:c>
    </x:row>
    <x:row r="131">
      <x:c r="A131" s="33" t="str">
        <x:v>gpu</x:v>
      </x:c>
      <x:c r="B131" s="34" t="str">
        <x:v>ca-newegg-gpu-asus-rog-astral-geforce-rtx-5090-32gb-gddr7-oc-edition-rog-astral-rtx5</x:v>
      </x:c>
      <x:c r="C131" s="34" t="str">
        <x:v>ASUS ROG Astral GeForce RTX 5090 32GB GDDR7 OC Edition ROG-ASTRAL-RTX5090-O32G-GAMING DLSS 4.0 PCI Express 5.0 Graphics Card</x:v>
      </x:c>
      <x:c r="D131" s="34" t="str">
        <x:v>ASUS</x:v>
      </x:c>
      <x:c r="E131" s="82" t="n">
        <x:v>4230.65</x:v>
      </x:c>
      <x:c r="F131" s="34" t="str">
        <x:v>USD</x:v>
      </x:c>
      <x:c r="G131" s="34" t="str">
        <x:v>retail</x:v>
      </x:c>
      <x:c r="H131" s="34" t="str">
        <x:v>2026-06-29</x:v>
      </x:c>
      <x:c r="I131" s="34" t="str">
        <x:v>chipset=RTX 5090; vramGb=32; tdpWatts=575; lengthMm=360; gamingScore1080p=100; gamingScore1440p=100; gamingScore4k=88; aiScore=100; cuda=true</x:v>
      </x:c>
      <x:c r="J131" s="34" t="str">
        <x:v>32GB, CUDA, ca-retail</x:v>
      </x:c>
      <x:c r="K131" s="34" t="str">
        <x:v>32GB graphics card from CA retailer; relative workload scores derived for ranking.</x:v>
      </x:c>
      <x:c r="L131" s="34" t="str">
        <x:v>https://www.newegg.ca/p/14-126-751</x:v>
      </x:c>
      <x:c r="M131" s="35" t="str">
        <x:v>https://www.newegg.ca/p/14-126-751</x:v>
      </x:c>
    </x:row>
    <x:row r="132">
      <x:c r="A132" s="33" t="str">
        <x:v>gpu</x:v>
      </x:c>
      <x:c r="B132" s="34" t="str">
        <x:v>ca-newegg-gpu-msi-suprim-geforce-rtx-5090-graphics-card-rtx-5090-32g-suprim-liquid-s</x:v>
      </x:c>
      <x:c r="C132" s="34" t="str">
        <x:v>MSI Suprim GeForce RTX 5090 Graphics Card RTX 5090 32G SUPRIM LIQUID SOC</x:v>
      </x:c>
      <x:c r="D132" s="34" t="str">
        <x:v>MSI</x:v>
      </x:c>
      <x:c r="E132" s="82" t="n">
        <x:v>4209.5</x:v>
      </x:c>
      <x:c r="F132" s="34" t="str">
        <x:v>USD</x:v>
      </x:c>
      <x:c r="G132" s="34" t="str">
        <x:v>retail</x:v>
      </x:c>
      <x:c r="H132" s="34" t="str">
        <x:v>2026-06-29</x:v>
      </x:c>
      <x:c r="I132" s="34" t="str">
        <x:v>chipset=RTX 5090; vramGb=32; tdpWatts=575; lengthMm=360; gamingScore1080p=100; gamingScore1440p=100; gamingScore4k=88; aiScore=100; cuda=true</x:v>
      </x:c>
      <x:c r="J132" s="34" t="str">
        <x:v>32GB, CUDA, ca-retail, quiet</x:v>
      </x:c>
      <x:c r="K132" s="34" t="str">
        <x:v>32GB graphics card from CA retailer; relative workload scores derived for ranking.</x:v>
      </x:c>
      <x:c r="L132" s="34" t="str">
        <x:v>https://www.newegg.ca/p/14-137-916</x:v>
      </x:c>
      <x:c r="M132" s="35" t="str">
        <x:v>https://www.newegg.ca/p/14-137-916</x:v>
      </x:c>
    </x:row>
    <x:row r="133">
      <x:c r="A133" s="33" t="str">
        <x:v>gpu</x:v>
      </x:c>
      <x:c r="B133" s="34" t="str">
        <x:v>ca-newegg-gpu-gigabyte-aorus-geforce-rtx-5090-graphics-card-gv-n5090aorus-m-32gd</x:v>
      </x:c>
      <x:c r="C133" s="34" t="str">
        <x:v>GIGABYTE AORUS GeForce RTX 5090 Graphics Card GV-N5090AORUS M-32GD</x:v>
      </x:c>
      <x:c r="D133" s="34" t="str">
        <x:v>GIGABYTE</x:v>
      </x:c>
      <x:c r="E133" s="82" t="n">
        <x:v>4887.05</x:v>
      </x:c>
      <x:c r="F133" s="34" t="str">
        <x:v>USD</x:v>
      </x:c>
      <x:c r="G133" s="34" t="str">
        <x:v>retail</x:v>
      </x:c>
      <x:c r="H133" s="34" t="str">
        <x:v>2026-06-29</x:v>
      </x:c>
      <x:c r="I133" s="34" t="str">
        <x:v>chipset=RTX 5090; vramGb=32; tdpWatts=575; lengthMm=360; gamingScore1080p=100; gamingScore1440p=100; gamingScore4k=88; aiScore=100; cuda=true</x:v>
      </x:c>
      <x:c r="J133" s="34" t="str">
        <x:v>32GB, CUDA, ca-retail</x:v>
      </x:c>
      <x:c r="K133" s="34" t="str">
        <x:v>32GB graphics card from CA retailer; relative workload scores derived for ranking.</x:v>
      </x:c>
      <x:c r="L133" s="34" t="str">
        <x:v>https://www.newegg.ca/p/9SIAHEBKS13780</x:v>
      </x:c>
      <x:c r="M133" s="35" t="str">
        <x:v>https://www.newegg.ca/p/9SIAHEBKS13780</x:v>
      </x:c>
    </x:row>
    <x:row r="134">
      <x:c r="A134" s="33" t="str">
        <x:v>gpu</x:v>
      </x:c>
      <x:c r="B134" s="34" t="str">
        <x:v>ca-newegg-gpu-gigabyte-aorus-geforce-rtx-5090-graphics-card-gv-n5090aorusst-ice-32gd</x:v>
      </x:c>
      <x:c r="C134" s="34" t="str">
        <x:v>GIGABYTE AORUS GeForce RTX 5090 Graphics Card GV-N5090AORUSST ICE-32GD</x:v>
      </x:c>
      <x:c r="D134" s="34" t="str">
        <x:v>GIGABYTE</x:v>
      </x:c>
      <x:c r="E134" s="82" t="n">
        <x:v>5469.47</x:v>
      </x:c>
      <x:c r="F134" s="34" t="str">
        <x:v>USD</x:v>
      </x:c>
      <x:c r="G134" s="34" t="str">
        <x:v>retail</x:v>
      </x:c>
      <x:c r="H134" s="34" t="str">
        <x:v>2026-06-29</x:v>
      </x:c>
      <x:c r="I134" s="34" t="str">
        <x:v>chipset=RTX 5090; vramGb=32; tdpWatts=575; lengthMm=360; gamingScore1080p=100; gamingScore1440p=100; gamingScore4k=88; aiScore=100; cuda=true</x:v>
      </x:c>
      <x:c r="J134" s="34" t="str">
        <x:v>32GB, CUDA, ca-retail</x:v>
      </x:c>
      <x:c r="K134" s="34" t="str">
        <x:v>32GB graphics card from CA retailer; relative workload scores derived for ranking.</x:v>
      </x:c>
      <x:c r="L134" s="34" t="str">
        <x:v>https://www.newegg.ca/p/9SIAHEBKJM4161</x:v>
      </x:c>
      <x:c r="M134" s="35" t="str">
        <x:v>https://www.newegg.ca/p/9SIAHEBKJM4161</x:v>
      </x:c>
    </x:row>
    <x:row r="135">
      <x:c r="A135" s="33" t="str">
        <x:v>gpu</x:v>
      </x:c>
      <x:c r="B135" s="34" t="str">
        <x:v>ca-newegg-gpu-asus-rog-astral-geforce-rtx-5090-graphics-card-rog-astral-rtx5090-o32g</x:v>
      </x:c>
      <x:c r="C135" s="34" t="str">
        <x:v>ASUS ROG Astral GeForce RTX 5090 Graphics Card ROG-ASTRAL-RTX5090-O32G-WHITE</x:v>
      </x:c>
      <x:c r="D135" s="34" t="str">
        <x:v>ASUS</x:v>
      </x:c>
      <x:c r="E135" s="82" t="n">
        <x:v>5922.22</x:v>
      </x:c>
      <x:c r="F135" s="34" t="str">
        <x:v>USD</x:v>
      </x:c>
      <x:c r="G135" s="34" t="str">
        <x:v>retail</x:v>
      </x:c>
      <x:c r="H135" s="34" t="str">
        <x:v>2026-06-29</x:v>
      </x:c>
      <x:c r="I135" s="34" t="str">
        <x:v>chipset=RTX 5090; vramGb=32; tdpWatts=575; lengthMm=360; gamingScore1080p=100; gamingScore1440p=100; gamingScore4k=88; aiScore=100; cuda=true</x:v>
      </x:c>
      <x:c r="J135" s="34" t="str">
        <x:v>32GB, CUDA, ca-retail, white</x:v>
      </x:c>
      <x:c r="K135" s="34" t="str">
        <x:v>32GB graphics card from CA retailer; relative workload scores derived for ranking.</x:v>
      </x:c>
      <x:c r="L135" s="34" t="str">
        <x:v>https://www.newegg.ca/p/9SIC5R2KTF4827</x:v>
      </x:c>
      <x:c r="M135" s="35" t="str">
        <x:v>https://www.newegg.ca/p/9SIC5R2KTF4827</x:v>
      </x:c>
    </x:row>
    <x:row r="136">
      <x:c r="A136" s="33" t="str">
        <x:v>gpu</x:v>
      </x:c>
      <x:c r="B136" s="34" t="str">
        <x:v>ca-newegg-gpu-pny-geforce-rtx-5090-oc-32gb-512-bit-gddr7-dlss-4-0-pci-express-5-0-x1</x:v>
      </x:c>
      <x:c r="C136" s="34" t="str">
        <x:v>PNY GeForce RTX 5090 OC 32GB 512-Bit GDDR7 DLSS 4.0 PCI Express 5.0 x16 Graphics Card VCG509032TFXPB1-O</x:v>
      </x:c>
      <x:c r="D136" s="34" t="str">
        <x:v>PNY Technologies, Inc.</x:v>
      </x:c>
      <x:c r="E136" s="82" t="n">
        <x:v>4794.74</x:v>
      </x:c>
      <x:c r="F136" s="34" t="str">
        <x:v>USD</x:v>
      </x:c>
      <x:c r="G136" s="34" t="str">
        <x:v>retail</x:v>
      </x:c>
      <x:c r="H136" s="34" t="str">
        <x:v>2026-06-29</x:v>
      </x:c>
      <x:c r="I136" s="34" t="str">
        <x:v>chipset=RTX 5090; vramGb=32; tdpWatts=575; lengthMm=360; gamingScore1080p=100; gamingScore1440p=100; gamingScore4k=88; aiScore=100; cuda=true</x:v>
      </x:c>
      <x:c r="J136" s="34" t="str">
        <x:v>32GB, CUDA, ca-retail</x:v>
      </x:c>
      <x:c r="K136" s="34" t="str">
        <x:v>32GB graphics card from CA retailer; relative workload scores derived for ranking.</x:v>
      </x:c>
      <x:c r="L136" s="34" t="str">
        <x:v>https://www.newegg.ca/p/1FT-000P-00662</x:v>
      </x:c>
      <x:c r="M136" s="35" t="str">
        <x:v>https://www.newegg.ca/p/1FT-000P-00662</x:v>
      </x:c>
    </x:row>
    <x:row r="137">
      <x:c r="A137" s="33" t="str">
        <x:v>gpu</x:v>
      </x:c>
      <x:c r="B137" s="34" t="str">
        <x:v>ca-newegg-gpu-msi-suprim-geforce-rtx-5090-graphics-card-rtx-5090-32g-suprim-soc</x:v>
      </x:c>
      <x:c r="C137" s="34" t="str">
        <x:v>MSI Suprim GeForce RTX 5090 Graphics Card RTX 5090 32G SUPRIM SOC</x:v>
      </x:c>
      <x:c r="D137" s="34" t="str">
        <x:v>MSI</x:v>
      </x:c>
      <x:c r="E137" s="82" t="n">
        <x:v>6345.28</x:v>
      </x:c>
      <x:c r="F137" s="34" t="str">
        <x:v>USD</x:v>
      </x:c>
      <x:c r="G137" s="34" t="str">
        <x:v>retail</x:v>
      </x:c>
      <x:c r="H137" s="34" t="str">
        <x:v>2026-06-29</x:v>
      </x:c>
      <x:c r="I137" s="34" t="str">
        <x:v>chipset=RTX 5090; vramGb=32; tdpWatts=575; lengthMm=360; gamingScore1080p=100; gamingScore1440p=100; gamingScore4k=88; aiScore=100; cuda=true</x:v>
      </x:c>
      <x:c r="J137" s="34" t="str">
        <x:v>32GB, CUDA, ca-retail, quiet</x:v>
      </x:c>
      <x:c r="K137" s="34" t="str">
        <x:v>32GB graphics card from CA retailer; relative workload scores derived for ranking.</x:v>
      </x:c>
      <x:c r="L137" s="34" t="str">
        <x:v>https://www.newegg.ca/p/9SIC3DSKNH2655</x:v>
      </x:c>
      <x:c r="M137" s="35" t="str">
        <x:v>https://www.newegg.ca/p/9SIC3DSKNH2655</x:v>
      </x:c>
    </x:row>
    <x:row r="138">
      <x:c r="A138" s="33" t="str">
        <x:v>gpu</x:v>
      </x:c>
      <x:c r="B138" s="34" t="str">
        <x:v>ca-newegg-gpu-asus-rog-astral-with-detachable-gc-hpwr-adapter-geforce-rtx-5090-32gb-</x:v>
      </x:c>
      <x:c r="C138" s="34" t="str">
        <x:v>ASUS ROG Astral with Detachable GC-HPWR Adapter GeForce RTX 5090 32GB GDDR7 PCI Express 5.0 ATX Graphics Card ROG-ASTRAL-RTX5090-O32G-BTF-GAMING</x:v>
      </x:c>
      <x:c r="D138" s="34" t="str">
        <x:v>ASUS</x:v>
      </x:c>
      <x:c r="E138" s="82" t="n">
        <x:v>4230.65</x:v>
      </x:c>
      <x:c r="F138" s="34" t="str">
        <x:v>USD</x:v>
      </x:c>
      <x:c r="G138" s="34" t="str">
        <x:v>retail</x:v>
      </x:c>
      <x:c r="H138" s="34" t="str">
        <x:v>2026-06-29</x:v>
      </x:c>
      <x:c r="I138" s="34" t="str">
        <x:v>chipset=RTX 5090; vramGb=32; tdpWatts=575; lengthMm=360; gamingScore1080p=100; gamingScore1440p=100; gamingScore4k=88; aiScore=100; cuda=true</x:v>
      </x:c>
      <x:c r="J138" s="34" t="str">
        <x:v>32GB, CUDA, ca-retail</x:v>
      </x:c>
      <x:c r="K138" s="34" t="str">
        <x:v>32GB graphics card from CA retailer; relative workload scores derived for ranking.</x:v>
      </x:c>
      <x:c r="L138" s="34" t="str">
        <x:v>https://www.newegg.ca/p/14-126-824</x:v>
      </x:c>
      <x:c r="M138" s="35" t="str">
        <x:v>https://www.newegg.ca/p/14-126-824</x:v>
      </x:c>
    </x:row>
    <x:row r="139">
      <x:c r="A139" s="33" t="str">
        <x:v>gpu</x:v>
      </x:c>
      <x:c r="B139" s="34" t="str">
        <x:v>ca-newegg-gpu-zotac-solid-oc-white-edition-geforce-rtx-5090-32gb-512-bit-gddr7-pci-e</x:v>
      </x:c>
      <x:c r="C139" s="34" t="str">
        <x:v>ZOTAC SOLID OC White Edition GeForce RTX 5090 32GB 512-Bit GDDR7 PCI Express 5.0 x16 DLSS 4.0 Graphics Card ZT-B50900Q-10P SOLID OC White Edition</x:v>
      </x:c>
      <x:c r="D139" s="34" t="str">
        <x:v>ZOTAC</x:v>
      </x:c>
      <x:c r="E139" s="82" t="n">
        <x:v>5640.87</x:v>
      </x:c>
      <x:c r="F139" s="34" t="str">
        <x:v>USD</x:v>
      </x:c>
      <x:c r="G139" s="34" t="str">
        <x:v>retail</x:v>
      </x:c>
      <x:c r="H139" s="34" t="str">
        <x:v>2026-06-29</x:v>
      </x:c>
      <x:c r="I139" s="34" t="str">
        <x:v>chipset=RTX 5090; vramGb=32; tdpWatts=575; lengthMm=360; gamingScore1080p=100; gamingScore1440p=100; gamingScore4k=88; aiScore=100; cuda=true</x:v>
      </x:c>
      <x:c r="J139" s="34" t="str">
        <x:v>32GB, CUDA, ca-retail, white</x:v>
      </x:c>
      <x:c r="K139" s="34" t="str">
        <x:v>32GB graphics card from CA retailer; relative workload scores derived for ranking.</x:v>
      </x:c>
      <x:c r="L139" s="34" t="str">
        <x:v>https://www.newegg.ca/p/9SIBP4ZKFR0649</x:v>
      </x:c>
      <x:c r="M139" s="35" t="str">
        <x:v>https://www.newegg.ca/p/9SIBP4ZKFR0649</x:v>
      </x:c>
    </x:row>
    <x:row r="140">
      <x:c r="A140" s="33" t="str">
        <x:v>gpu</x:v>
      </x:c>
      <x:c r="B140" s="34" t="str">
        <x:v>ca-newegg-gpu-pny-argb-oc-geforce-rtx-5090-32gb-512-bit-gddr7-dlss-4-0-pci-express-5</x:v>
      </x:c>
      <x:c r="C140" s="34" t="str">
        <x:v>PNY ARGB OC GeForce RTX 5090 32GB 512-Bit GDDR7 DLSS 4.0 PCI Express 5.0 x16 Graphics Card VCG509032TFXXPB1-O</x:v>
      </x:c>
      <x:c r="D140" s="34" t="str">
        <x:v>PNY Technologies, Inc.</x:v>
      </x:c>
      <x:c r="E140" s="82" t="n">
        <x:v>5287.27</x:v>
      </x:c>
      <x:c r="F140" s="34" t="str">
        <x:v>USD</x:v>
      </x:c>
      <x:c r="G140" s="34" t="str">
        <x:v>retail</x:v>
      </x:c>
      <x:c r="H140" s="34" t="str">
        <x:v>2026-06-29</x:v>
      </x:c>
      <x:c r="I140" s="34" t="str">
        <x:v>chipset=RTX 5090; vramGb=32; tdpWatts=575; lengthMm=360; gamingScore1080p=100; gamingScore1440p=100; gamingScore4k=88; aiScore=100; cuda=true</x:v>
      </x:c>
      <x:c r="J140" s="34" t="str">
        <x:v>32GB, CUDA, ca-retail, rgb</x:v>
      </x:c>
      <x:c r="K140" s="34" t="str">
        <x:v>32GB graphics card from CA retailer; relative workload scores derived for ranking.</x:v>
      </x:c>
      <x:c r="L140" s="34" t="str">
        <x:v>https://www.newegg.ca/p/9SIC3DSKNH2635</x:v>
      </x:c>
      <x:c r="M140" s="35" t="str">
        <x:v>https://www.newegg.ca/p/9SIC3DSKNH2635</x:v>
      </x:c>
    </x:row>
    <x:row r="141">
      <x:c r="A141" s="33" t="str">
        <x:v>gpu</x:v>
      </x:c>
      <x:c r="B141" s="34" t="str">
        <x:v>ca-newegg-gpu-msi-lightning-geforce-rtx-5090-graphics-rtx-5090-32g-lightning-z</x:v>
      </x:c>
      <x:c r="C141" s="34" t="str">
        <x:v>MSI LIGHTNING GeForce RTX 5090 Graphics RTX 5090 32G LIGHTNING Z</x:v>
      </x:c>
      <x:c r="D141" s="34" t="str">
        <x:v>MSI</x:v>
      </x:c>
      <x:c r="E141" s="82" t="n">
        <x:v>7744.15</x:v>
      </x:c>
      <x:c r="F141" s="34" t="str">
        <x:v>USD</x:v>
      </x:c>
      <x:c r="G141" s="34" t="str">
        <x:v>retail</x:v>
      </x:c>
      <x:c r="H141" s="34" t="str">
        <x:v>2026-06-29</x:v>
      </x:c>
      <x:c r="I141" s="34" t="str">
        <x:v>chipset=RTX 5090; vramGb=32; tdpWatts=575; lengthMm=360; gamingScore1080p=100; gamingScore1440p=100; gamingScore4k=88; aiScore=100; cuda=true</x:v>
      </x:c>
      <x:c r="J141" s="34" t="str">
        <x:v>32GB, CUDA, ca-retail</x:v>
      </x:c>
      <x:c r="K141" s="34" t="str">
        <x:v>32GB graphics card from CA retailer; relative workload scores derived for ranking.</x:v>
      </x:c>
      <x:c r="L141" s="34" t="str">
        <x:v>https://www.newegg.ca/p/9SIAHEBKUM2201</x:v>
      </x:c>
      <x:c r="M141" s="35" t="str">
        <x:v>https://www.newegg.ca/p/9SIAHEBKUM2201</x:v>
      </x:c>
    </x:row>
    <x:row r="142">
      <x:c r="A142" s="33" t="str">
        <x:v>gpu</x:v>
      </x:c>
      <x:c r="B142" s="34" t="str">
        <x:v>ca-newegg-gpu-gigabyte-aorus-geforce-rtx-5090-graphics-card-gv-n5090aorusx-wb-32gd</x:v>
      </x:c>
      <x:c r="C142" s="34" t="str">
        <x:v>GIGABYTE AORUS GeForce RTX 5090 Graphics Card GV-N5090AORUSX WB-32GD</x:v>
      </x:c>
      <x:c r="D142" s="34" t="str">
        <x:v>GIGABYTE</x:v>
      </x:c>
      <x:c r="E142" s="82" t="n">
        <x:v>5585.81</x:v>
      </x:c>
      <x:c r="F142" s="34" t="str">
        <x:v>USD</x:v>
      </x:c>
      <x:c r="G142" s="34" t="str">
        <x:v>retail</x:v>
      </x:c>
      <x:c r="H142" s="34" t="str">
        <x:v>2026-06-29</x:v>
      </x:c>
      <x:c r="I142" s="34" t="str">
        <x:v>chipset=RTX 5090; vramGb=32; tdpWatts=575; lengthMm=360; gamingScore1080p=100; gamingScore1440p=100; gamingScore4k=88; aiScore=100; cuda=true</x:v>
      </x:c>
      <x:c r="J142" s="34" t="str">
        <x:v>32GB, CUDA, ca-retail</x:v>
      </x:c>
      <x:c r="K142" s="34" t="str">
        <x:v>32GB graphics card from CA retailer; relative workload scores derived for ranking.</x:v>
      </x:c>
      <x:c r="L142" s="34" t="str">
        <x:v>https://www.newegg.ca/p/9SIAHEBKKH0686</x:v>
      </x:c>
      <x:c r="M142" s="35" t="str">
        <x:v>https://www.newegg.ca/p/9SIAHEBKKH0686</x:v>
      </x:c>
    </x:row>
    <x:row r="143">
      <x:c r="A143" s="33" t="str">
        <x:v>gpu</x:v>
      </x:c>
      <x:c r="B143" s="34" t="str">
        <x:v>ca-newegg-gpu-gigabyte-windforce-geforce-rtx-5090-graphics-card-gv-n5090wf3oc-32gd</x:v>
      </x:c>
      <x:c r="C143" s="34" t="str">
        <x:v>GIGABYTE WINDFORCE GeForce RTX 5090 Graphics Card GV-N5090WF3OC-32GD</x:v>
      </x:c>
      <x:c r="D143" s="34" t="str">
        <x:v>GIGABYTE</x:v>
      </x:c>
      <x:c r="E143" s="82" t="n">
        <x:v>5358.83</x:v>
      </x:c>
      <x:c r="F143" s="34" t="str">
        <x:v>USD</x:v>
      </x:c>
      <x:c r="G143" s="34" t="str">
        <x:v>retail</x:v>
      </x:c>
      <x:c r="H143" s="34" t="str">
        <x:v>2026-06-29</x:v>
      </x:c>
      <x:c r="I143" s="34" t="str">
        <x:v>chipset=RTX 5090; vramGb=32; tdpWatts=575; lengthMm=360; gamingScore1080p=100; gamingScore1440p=100; gamingScore4k=88; aiScore=100; cuda=true</x:v>
      </x:c>
      <x:c r="J143" s="34" t="str">
        <x:v>32GB, CUDA, ca-retail</x:v>
      </x:c>
      <x:c r="K143" s="34" t="str">
        <x:v>32GB graphics card from CA retailer; relative workload scores derived for ranking.</x:v>
      </x:c>
      <x:c r="L143" s="34" t="str">
        <x:v>https://www.newegg.ca/p/9SIBP4ZKYN1766</x:v>
      </x:c>
      <x:c r="M143" s="35" t="str">
        <x:v>https://www.newegg.ca/p/9SIBP4ZKYN1766</x:v>
      </x:c>
    </x:row>
    <x:row r="144">
      <x:c r="A144" s="33" t="str">
        <x:v>gpu</x:v>
      </x:c>
      <x:c r="B144" s="34" t="str">
        <x:v>ca-newegg-gpu-gigabyte-aorus-geforce-rtx-5090-graphics-card-aorus-rtx-5090-ai-box</x:v>
      </x:c>
      <x:c r="C144" s="34" t="str">
        <x:v>GIGABYTE AORUS GeForce RTX 5090 Graphics Card AORUS RTX 5090 AI BOX</x:v>
      </x:c>
      <x:c r="D144" s="34" t="str">
        <x:v>GIGABYTE</x:v>
      </x:c>
      <x:c r="E144" s="82" t="n">
        <x:v>6003.94</x:v>
      </x:c>
      <x:c r="F144" s="34" t="str">
        <x:v>USD</x:v>
      </x:c>
      <x:c r="G144" s="34" t="str">
        <x:v>retail</x:v>
      </x:c>
      <x:c r="H144" s="34" t="str">
        <x:v>2026-06-29</x:v>
      </x:c>
      <x:c r="I144" s="34" t="str">
        <x:v>chipset=RTX 5090; vramGb=32; tdpWatts=575; lengthMm=360; gamingScore1080p=100; gamingScore1440p=100; gamingScore4k=88; aiScore=100; cuda=true</x:v>
      </x:c>
      <x:c r="J144" s="34" t="str">
        <x:v>32GB, CUDA, ca-retail</x:v>
      </x:c>
      <x:c r="K144" s="34" t="str">
        <x:v>32GB graphics card from CA retailer; relative workload scores derived for ranking.</x:v>
      </x:c>
      <x:c r="L144" s="34" t="str">
        <x:v>https://www.newegg.ca/p/9SIAHEBKRY2925</x:v>
      </x:c>
      <x:c r="M144" s="35" t="str">
        <x:v>https://www.newegg.ca/p/9SIAHEBKRY2925</x:v>
      </x:c>
    </x:row>
    <x:row r="145">
      <x:c r="A145" s="33" t="str">
        <x:v>gpu</x:v>
      </x:c>
      <x:c r="B145" s="34" t="str">
        <x:v>ca-newegg-gpu-gigabyte-aorus-geforce-rtx-5090-graphics-card-gv-n5090aorusx-w-32gd</x:v>
      </x:c>
      <x:c r="C145" s="34" t="str">
        <x:v>GIGABYTE AORUS GeForce RTX 5090 Graphics Card GV-N5090AORUSX W-32GD</x:v>
      </x:c>
      <x:c r="D145" s="34" t="str">
        <x:v>GIGABYTE</x:v>
      </x:c>
      <x:c r="E145" s="82" t="n">
        <x:v>5424.34</x:v>
      </x:c>
      <x:c r="F145" s="34" t="str">
        <x:v>USD</x:v>
      </x:c>
      <x:c r="G145" s="34" t="str">
        <x:v>retail</x:v>
      </x:c>
      <x:c r="H145" s="34" t="str">
        <x:v>2026-06-29</x:v>
      </x:c>
      <x:c r="I145" s="34" t="str">
        <x:v>chipset=RTX 5090; vramGb=32; tdpWatts=575; lengthMm=360; gamingScore1080p=100; gamingScore1440p=100; gamingScore4k=88; aiScore=100; cuda=true</x:v>
      </x:c>
      <x:c r="J145" s="34" t="str">
        <x:v>32GB, CUDA, ca-retail</x:v>
      </x:c>
      <x:c r="K145" s="34" t="str">
        <x:v>32GB graphics card from CA retailer; relative workload scores derived for ranking.</x:v>
      </x:c>
      <x:c r="L145" s="34" t="str">
        <x:v>https://www.newegg.ca/p/9SIAHEBKJY4234</x:v>
      </x:c>
      <x:c r="M145" s="35" t="str">
        <x:v>https://www.newegg.ca/p/9SIAHEBKJY4234</x:v>
      </x:c>
    </x:row>
    <x:row r="146">
      <x:c r="A146" s="33" t="str">
        <x:v>gpu</x:v>
      </x:c>
      <x:c r="B146" s="34" t="str">
        <x:v>ca-newegg-gpu-asus-rog-astral-lc-geforce-rtx-5090-32gb-gddr7-oc-edition-rog-astral-l</x:v>
      </x:c>
      <x:c r="C146" s="34" t="str">
        <x:v>ASUS ROG Astral LC GeForce RTX 5090 32GB GDDR7 OC Edition ROG-ASTRAL-LC-RTX5090-O32G-GAMING DLSS 4.0 PCI Express 5.0 Graphics Card</x:v>
      </x:c>
      <x:c r="D146" s="34" t="str">
        <x:v>ASUS</x:v>
      </x:c>
      <x:c r="E146" s="82" t="n">
        <x:v>6435.89</x:v>
      </x:c>
      <x:c r="F146" s="34" t="str">
        <x:v>USD</x:v>
      </x:c>
      <x:c r="G146" s="34" t="str">
        <x:v>retail</x:v>
      </x:c>
      <x:c r="H146" s="34" t="str">
        <x:v>2026-06-29</x:v>
      </x:c>
      <x:c r="I146" s="34" t="str">
        <x:v>chipset=RTX 5090; vramGb=32; tdpWatts=575; lengthMm=360; gamingScore1080p=100; gamingScore1440p=100; gamingScore4k=88; aiScore=100; cuda=true</x:v>
      </x:c>
      <x:c r="J146" s="34" t="str">
        <x:v>32GB, CUDA, ca-retail</x:v>
      </x:c>
      <x:c r="K146" s="34" t="str">
        <x:v>32GB graphics card from CA retailer; relative workload scores derived for ranking.</x:v>
      </x:c>
      <x:c r="L146" s="34" t="str">
        <x:v>https://www.newegg.ca/p/9SIC6VJKX70555</x:v>
      </x:c>
      <x:c r="M146" s="35" t="str">
        <x:v>https://www.newegg.ca/p/9SIC6VJKX70784</x:v>
      </x:c>
    </x:row>
    <x:row r="147">
      <x:c r="A147" s="33" t="str">
        <x:v>gpu</x:v>
      </x:c>
      <x:c r="B147" s="34" t="str">
        <x:v>ca-newegg-gpu-gigabyte-aorus-geforce-rtx-5090-graphics-card-gv-n5090aorusm-ice-32gd</x:v>
      </x:c>
      <x:c r="C147" s="34" t="str">
        <x:v>GIGABYTE AORUS GeForce RTX 5090 Graphics Card GV-N5090AORUSM ICE-32GD</x:v>
      </x:c>
      <x:c r="D147" s="34" t="str">
        <x:v>GIGABYTE</x:v>
      </x:c>
      <x:c r="E147" s="82" t="n">
        <x:v>4019.12</x:v>
      </x:c>
      <x:c r="F147" s="34" t="str">
        <x:v>USD</x:v>
      </x:c>
      <x:c r="G147" s="34" t="str">
        <x:v>retail</x:v>
      </x:c>
      <x:c r="H147" s="34" t="str">
        <x:v>2026-06-29</x:v>
      </x:c>
      <x:c r="I147" s="34" t="str">
        <x:v>chipset=RTX 5090; vramGb=32; tdpWatts=575; lengthMm=360; gamingScore1080p=100; gamingScore1440p=100; gamingScore4k=88; aiScore=100; cuda=true</x:v>
      </x:c>
      <x:c r="J147" s="34" t="str">
        <x:v>32GB, CUDA, ca-retail</x:v>
      </x:c>
      <x:c r="K147" s="34" t="str">
        <x:v>32GB graphics card from CA retailer; relative workload scores derived for ranking.</x:v>
      </x:c>
      <x:c r="L147" s="34" t="str">
        <x:v>https://www.newegg.ca/p/14-932-765</x:v>
      </x:c>
      <x:c r="M147" s="35" t="str">
        <x:v>https://www.newegg.ca/p/14-932-765</x:v>
      </x:c>
    </x:row>
    <x:row r="148">
      <x:c r="A148" s="33" t="str">
        <x:v>gpu</x:v>
      </x:c>
      <x:c r="B148" s="34" t="str">
        <x:v>ca-newegg-gpu-gigabyte-gaming-geforce-rtx-5090-graphics-card-gv-n5090gaming-oc-32gd</x:v>
      </x:c>
      <x:c r="C148" s="34" t="str">
        <x:v>GIGABYTE Gaming GeForce RTX 5090 Graphics Card GV-N5090GAMING OC-32GD</x:v>
      </x:c>
      <x:c r="D148" s="34" t="str">
        <x:v>GIGABYTE</x:v>
      </x:c>
      <x:c r="E148" s="82" t="n">
        <x:v>3807.59</x:v>
      </x:c>
      <x:c r="F148" s="34" t="str">
        <x:v>USD</x:v>
      </x:c>
      <x:c r="G148" s="34" t="str">
        <x:v>retail</x:v>
      </x:c>
      <x:c r="H148" s="34" t="str">
        <x:v>2026-06-29</x:v>
      </x:c>
      <x:c r="I148" s="34" t="str">
        <x:v>chipset=RTX 5090; vramGb=32; tdpWatts=575; lengthMm=360; gamingScore1080p=100; gamingScore1440p=100; gamingScore4k=88; aiScore=100; cuda=true</x:v>
      </x:c>
      <x:c r="J148" s="34" t="str">
        <x:v>32GB, CUDA, ca-retail</x:v>
      </x:c>
      <x:c r="K148" s="34" t="str">
        <x:v>32GB graphics card from CA retailer; relative workload scores derived for ranking.</x:v>
      </x:c>
      <x:c r="L148" s="34" t="str">
        <x:v>https://www.newegg.ca/p/14-932-761</x:v>
      </x:c>
      <x:c r="M148" s="35" t="str">
        <x:v>https://www.newegg.ca/p/14-932-761R</x:v>
      </x:c>
    </x:row>
    <x:row r="149">
      <x:c r="A149" s="33" t="str">
        <x:v>gpu</x:v>
      </x:c>
      <x:c r="B149" s="34" t="str">
        <x:v>ca-newegg-gpu-msi-gaming-geforce-rtx-5090-graphics-card-rtx-5090-32g-gaming-trio-oc</x:v>
      </x:c>
      <x:c r="C149" s="34" t="str">
        <x:v>MSI Gaming GeForce RTX 5090 Graphics Card RTX 5090 32G GAMING TRIO OC</x:v>
      </x:c>
      <x:c r="D149" s="34" t="str">
        <x:v>MSI</x:v>
      </x:c>
      <x:c r="E149" s="82" t="n">
        <x:v>3983.86</x:v>
      </x:c>
      <x:c r="F149" s="34" t="str">
        <x:v>USD</x:v>
      </x:c>
      <x:c r="G149" s="34" t="str">
        <x:v>retail</x:v>
      </x:c>
      <x:c r="H149" s="34" t="str">
        <x:v>2026-06-29</x:v>
      </x:c>
      <x:c r="I149" s="34" t="str">
        <x:v>chipset=RTX 5090; vramGb=32; tdpWatts=575; lengthMm=360; gamingScore1080p=100; gamingScore1440p=100; gamingScore4k=88; aiScore=100; cuda=true</x:v>
      </x:c>
      <x:c r="J149" s="34" t="str">
        <x:v>32GB, CUDA, ca-retail</x:v>
      </x:c>
      <x:c r="K149" s="34" t="str">
        <x:v>32GB graphics card from CA retailer; relative workload scores derived for ranking.</x:v>
      </x:c>
      <x:c r="L149" s="34" t="str">
        <x:v>https://www.newegg.ca/p/14-137-919</x:v>
      </x:c>
      <x:c r="M149" s="35" t="str">
        <x:v>https://www.newegg.ca/p/14-137-919</x:v>
      </x:c>
    </x:row>
    <x:row r="150">
      <x:c r="A150" s="33" t="str">
        <x:v>gpu</x:v>
      </x:c>
      <x:c r="B150" s="34" t="str">
        <x:v>ca-newegg-gpu-msi-ventus-geforce-rtx-5090-graphics-card-rtx-5090-32g-ventus-3x-oc</x:v>
      </x:c>
      <x:c r="C150" s="34" t="str">
        <x:v>MSI Ventus GeForce RTX 5090 Graphics Card RTX 5090 32G VENTUS 3X OC</x:v>
      </x:c>
      <x:c r="D150" s="34" t="str">
        <x:v>MSI</x:v>
      </x:c>
      <x:c r="E150" s="82" t="n">
        <x:v>3814.64</x:v>
      </x:c>
      <x:c r="F150" s="34" t="str">
        <x:v>USD</x:v>
      </x:c>
      <x:c r="G150" s="34" t="str">
        <x:v>retail</x:v>
      </x:c>
      <x:c r="H150" s="34" t="str">
        <x:v>2026-06-29</x:v>
      </x:c>
      <x:c r="I150" s="34" t="str">
        <x:v>chipset=RTX 5090; vramGb=32; tdpWatts=575; lengthMm=360; gamingScore1080p=100; gamingScore1440p=100; gamingScore4k=88; aiScore=100; cuda=true</x:v>
      </x:c>
      <x:c r="J150" s="34" t="str">
        <x:v>32GB, CUDA, ca-retail</x:v>
      </x:c>
      <x:c r="K150" s="34" t="str">
        <x:v>32GB graphics card from CA retailer; relative workload scores derived for ranking.</x:v>
      </x:c>
      <x:c r="L150" s="34" t="str">
        <x:v>https://www.newegg.ca/p/14-137-920</x:v>
      </x:c>
      <x:c r="M150" s="35" t="str">
        <x:v>https://www.newegg.ca/p/14-137-920</x:v>
      </x:c>
    </x:row>
    <x:row r="151">
      <x:c r="A151" s="33" t="str">
        <x:v>gpu</x:v>
      </x:c>
      <x:c r="B151" s="34" t="str">
        <x:v>ca-newegg-gpu-zotac-solid-oc-geforce-rtx-5090-graphics-card-rtx-5090-solid-oc</x:v>
      </x:c>
      <x:c r="C151" s="34" t="str">
        <x:v>ZOTAC SOLID OC GeForce RTX 5090 Graphics Card RTX 5090 SOLID OC</x:v>
      </x:c>
      <x:c r="D151" s="34" t="str">
        <x:v>ZOTAC</x:v>
      </x:c>
      <x:c r="E151" s="82" t="n">
        <x:v>4089.63</x:v>
      </x:c>
      <x:c r="F151" s="34" t="str">
        <x:v>USD</x:v>
      </x:c>
      <x:c r="G151" s="34" t="str">
        <x:v>retail</x:v>
      </x:c>
      <x:c r="H151" s="34" t="str">
        <x:v>2026-06-29</x:v>
      </x:c>
      <x:c r="I151" s="34" t="str">
        <x:v>chipset=RTX 5090; vramGb=32; tdpWatts=575; lengthMm=360; gamingScore1080p=100; gamingScore1440p=100; gamingScore4k=88; aiScore=100; cuda=true</x:v>
      </x:c>
      <x:c r="J151" s="34" t="str">
        <x:v>32GB, CUDA, ca-retail</x:v>
      </x:c>
      <x:c r="K151" s="34" t="str">
        <x:v>32GB graphics card from CA retailer; relative workload scores derived for ranking.</x:v>
      </x:c>
      <x:c r="L151" s="34" t="str">
        <x:v>https://www.newegg.ca/p/9SIADGEKYH7721</x:v>
      </x:c>
      <x:c r="M151" s="35" t="str">
        <x:v>https://www.newegg.ca/p/9SIADGEKYH7721</x:v>
      </x:c>
    </x:row>
    <x:row r="152">
      <x:c r="A152" s="33" t="str">
        <x:v>gpu</x:v>
      </x:c>
      <x:c r="B152" s="34" t="str">
        <x:v>ca-newegg-gpu-gigabyte-windforce-geforce-rtx-5090-graphics-card-gv-n5090wf3-32gd</x:v>
      </x:c>
      <x:c r="C152" s="34" t="str">
        <x:v>GIGABYTE WINDFORCE GeForce RTX 5090 Graphics Card GV-N5090WF3-32GD</x:v>
      </x:c>
      <x:c r="D152" s="34" t="str">
        <x:v>GIGABYTE</x:v>
      </x:c>
      <x:c r="E152" s="82" t="n">
        <x:v>5358.83</x:v>
      </x:c>
      <x:c r="F152" s="34" t="str">
        <x:v>USD</x:v>
      </x:c>
      <x:c r="G152" s="34" t="str">
        <x:v>retail</x:v>
      </x:c>
      <x:c r="H152" s="34" t="str">
        <x:v>2026-06-29</x:v>
      </x:c>
      <x:c r="I152" s="34" t="str">
        <x:v>chipset=RTX 5090; vramGb=32; tdpWatts=575; lengthMm=360; gamingScore1080p=100; gamingScore1440p=100; gamingScore4k=88; aiScore=100; cuda=true</x:v>
      </x:c>
      <x:c r="J152" s="34" t="str">
        <x:v>32GB, CUDA, ca-retail</x:v>
      </x:c>
      <x:c r="K152" s="34" t="str">
        <x:v>32GB graphics card from CA retailer; relative workload scores derived for ranking.</x:v>
      </x:c>
      <x:c r="L152" s="34" t="str">
        <x:v>https://www.newegg.ca/p/9SIBP4ZKYN1759</x:v>
      </x:c>
      <x:c r="M152" s="35" t="str">
        <x:v>https://www.newegg.ca/p/9SIBP4ZKYN1759</x:v>
      </x:c>
    </x:row>
    <x:row r="153">
      <x:c r="A153" s="33" t="str">
        <x:v>gpu</x:v>
      </x:c>
      <x:c r="B153" s="34" t="str">
        <x:v>ca-newegg-gpu-asus-rog-astral-geforce-rtx-5090-32gb-gddr7-pci-express-5-0-graphics-c</x:v>
      </x:c>
      <x:c r="C153" s="34" t="str">
        <x:v>ASUS ROG Astral GeForce RTX 5090 32GB GDDR7 PCI Express 5.0 Graphics Card ROG-ASTRAL-RTX5090-32G-WHITE</x:v>
      </x:c>
      <x:c r="D153" s="34" t="str">
        <x:v>ASUS</x:v>
      </x:c>
      <x:c r="E153" s="82" t="n">
        <x:v>6402.39</x:v>
      </x:c>
      <x:c r="F153" s="34" t="str">
        <x:v>USD</x:v>
      </x:c>
      <x:c r="G153" s="34" t="str">
        <x:v>retail</x:v>
      </x:c>
      <x:c r="H153" s="34" t="str">
        <x:v>2026-06-29</x:v>
      </x:c>
      <x:c r="I153" s="34" t="str">
        <x:v>chipset=RTX 5090; vramGb=32; tdpWatts=575; lengthMm=360; gamingScore1080p=100; gamingScore1440p=100; gamingScore4k=88; aiScore=100; cuda=true</x:v>
      </x:c>
      <x:c r="J153" s="34" t="str">
        <x:v>32GB, CUDA, ca-retail, white</x:v>
      </x:c>
      <x:c r="K153" s="34" t="str">
        <x:v>32GB graphics card from CA retailer; relative workload scores derived for ranking.</x:v>
      </x:c>
      <x:c r="L153" s="34" t="str">
        <x:v>https://www.newegg.ca/p/9SIBP4ZKNX1617</x:v>
      </x:c>
      <x:c r="M153" s="35" t="str">
        <x:v>https://www.newegg.ca/p/9SIBP4ZKNX1617</x:v>
      </x:c>
    </x:row>
    <x:row r="154">
      <x:c r="A154" s="33" t="str">
        <x:v>gpu</x:v>
      </x:c>
      <x:c r="B154" s="34" t="str">
        <x:v>ca-newegg-gpu-msi-ventus-geforce-rtx-5090-graphics-card-rtx-5090-32g-ventus-3x</x:v>
      </x:c>
      <x:c r="C154" s="34" t="str">
        <x:v>MSI Ventus GeForce RTX 5090 Graphics Card RTX 5090 32G VENTUS 3X</x:v>
      </x:c>
      <x:c r="D154" s="34" t="str">
        <x:v>MSI</x:v>
      </x:c>
      <x:c r="E154" s="82" t="n">
        <x:v>5569.66</x:v>
      </x:c>
      <x:c r="F154" s="34" t="str">
        <x:v>USD</x:v>
      </x:c>
      <x:c r="G154" s="34" t="str">
        <x:v>retail</x:v>
      </x:c>
      <x:c r="H154" s="34" t="str">
        <x:v>2026-06-29</x:v>
      </x:c>
      <x:c r="I154" s="34" t="str">
        <x:v>chipset=RTX 5090; vramGb=32; tdpWatts=575; lengthMm=360; gamingScore1080p=100; gamingScore1440p=100; gamingScore4k=88; aiScore=100; cuda=true</x:v>
      </x:c>
      <x:c r="J154" s="34" t="str">
        <x:v>32GB, CUDA, ca-retail</x:v>
      </x:c>
      <x:c r="K154" s="34" t="str">
        <x:v>32GB graphics card from CA retailer; relative workload scores derived for ranking.</x:v>
      </x:c>
      <x:c r="L154" s="34" t="str">
        <x:v>https://www.newegg.ca/p/9SIC3DSKNH2658</x:v>
      </x:c>
      <x:c r="M154" s="35" t="str">
        <x:v>https://www.newegg.ca/p/9SIC3DSKNH2658</x:v>
      </x:c>
    </x:row>
    <x:row r="155">
      <x:c r="A155" s="33" t="str">
        <x:v>gpu</x:v>
      </x:c>
      <x:c r="B155" s="34" t="str">
        <x:v>ca-newegg-gpu-msi-vanguard-geforce-rtx-5090-graphics-card-rtx-5090-32g-vanguard-soc</x:v>
      </x:c>
      <x:c r="C155" s="34" t="str">
        <x:v>MSI VANGUARD GeForce RTX 5090 Graphics Card RTX 5090 32G VANGUARD SOC</x:v>
      </x:c>
      <x:c r="D155" s="34" t="str">
        <x:v>MSI</x:v>
      </x:c>
      <x:c r="E155" s="82" t="n">
        <x:v>6063.24</x:v>
      </x:c>
      <x:c r="F155" s="34" t="str">
        <x:v>USD</x:v>
      </x:c>
      <x:c r="G155" s="34" t="str">
        <x:v>retail</x:v>
      </x:c>
      <x:c r="H155" s="34" t="str">
        <x:v>2026-06-29</x:v>
      </x:c>
      <x:c r="I155" s="34" t="str">
        <x:v>chipset=RTX 5090; vramGb=32; tdpWatts=575; lengthMm=360; gamingScore1080p=100; gamingScore1440p=100; gamingScore4k=88; aiScore=100; cuda=true</x:v>
      </x:c>
      <x:c r="J155" s="34" t="str">
        <x:v>32GB, CUDA, ca-retail</x:v>
      </x:c>
      <x:c r="K155" s="34" t="str">
        <x:v>32GB graphics card from CA retailer; relative workload scores derived for ranking.</x:v>
      </x:c>
      <x:c r="L155" s="34" t="str">
        <x:v>https://www.newegg.ca/p/9SIC3DSKNH2654</x:v>
      </x:c>
      <x:c r="M155" s="35" t="str">
        <x:v>https://www.newegg.ca/p/9SIC3DSKNH2654</x:v>
      </x:c>
    </x:row>
    <x:row r="156">
      <x:c r="A156" s="33" t="str">
        <x:v>gpu</x:v>
      </x:c>
      <x:c r="B156" s="34" t="str">
        <x:v>ca-newegg-gpu-gigabyte-aorus-geforce-rtx-5090-master-ice-32g-gv-n5090aorusm-ice-32gd</x:v>
      </x:c>
      <x:c r="C156" s="34" t="str">
        <x:v>Gigabyte AORUS GeForce RTX 5090 MASTER ICE 32G GV-N5090AORUSM ICE-32GD GDDR7 video card</x:v>
      </x:c>
      <x:c r="D156" s="34" t="str">
        <x:v>GIGABYTE</x:v>
      </x:c>
      <x:c r="E156" s="82" t="n">
        <x:v>4987.17</x:v>
      </x:c>
      <x:c r="F156" s="34" t="str">
        <x:v>USD</x:v>
      </x:c>
      <x:c r="G156" s="34" t="str">
        <x:v>retail</x:v>
      </x:c>
      <x:c r="H156" s="34" t="str">
        <x:v>2026-06-29</x:v>
      </x:c>
      <x:c r="I156" s="34" t="str">
        <x:v>chipset=RTX 5090; vramGb=32; tdpWatts=575; lengthMm=360; gamingScore1080p=100; gamingScore1440p=100; gamingScore4k=88; aiScore=100; cuda=true</x:v>
      </x:c>
      <x:c r="J156" s="34" t="str">
        <x:v>32GB, CUDA, ca-retail, rgb, quiet</x:v>
      </x:c>
      <x:c r="K156" s="34" t="str">
        <x:v>32GB graphics card from CA retailer; relative workload scores derived for ranking.</x:v>
      </x:c>
      <x:c r="L156" s="34" t="str">
        <x:v>https://www.newegg.ca/p/9SIAHEBKNZ5108</x:v>
      </x:c>
      <x:c r="M156" s="35" t="str">
        <x:v>https://www.newegg.ca/p/9SIAHEBKNZ5108</x:v>
      </x:c>
    </x:row>
    <x:row r="157">
      <x:c r="A157" s="33" t="str">
        <x:v>gpu</x:v>
      </x:c>
      <x:c r="B157" s="34" t="str">
        <x:v>ca-newegg-gpu-asus-rog-astral-geforce-rtx-5090-32gb-gddr7-oc-dhahab-edition-rog-astr</x:v>
      </x:c>
      <x:c r="C157" s="34" t="str">
        <x:v>ASUS ROG Astral GeForce RTX 5090 32GB GDDR7 OC DHAHAB Edition ROG-ASTRAL-RTX5090-O32G-DHAHAB-EDITION DLSS 4.0 PCI Express 5.0 Graphics Card</x:v>
      </x:c>
      <x:c r="D157" s="34" t="str">
        <x:v>ASUS</x:v>
      </x:c>
      <x:c r="E157" s="82" t="n">
        <x:v>8424.3</x:v>
      </x:c>
      <x:c r="F157" s="34" t="str">
        <x:v>USD</x:v>
      </x:c>
      <x:c r="G157" s="34" t="str">
        <x:v>retail</x:v>
      </x:c>
      <x:c r="H157" s="34" t="str">
        <x:v>2026-06-29</x:v>
      </x:c>
      <x:c r="I157" s="34" t="str">
        <x:v>chipset=RTX 5090; vramGb=32; tdpWatts=575; lengthMm=360; gamingScore1080p=100; gamingScore1440p=100; gamingScore4k=88; aiScore=100; cuda=true</x:v>
      </x:c>
      <x:c r="J157" s="34" t="str">
        <x:v>32GB, CUDA, ca-retail</x:v>
      </x:c>
      <x:c r="K157" s="34" t="str">
        <x:v>32GB graphics card from CA retailer; relative workload scores derived for ranking.</x:v>
      </x:c>
      <x:c r="L157" s="34" t="str">
        <x:v>https://www.newegg.ca/p/9SIC6VJKX71165</x:v>
      </x:c>
      <x:c r="M157" s="35" t="str">
        <x:v>https://www.newegg.ca/p/9SIC6VJKX71165</x:v>
      </x:c>
    </x:row>
    <x:row r="158">
      <x:c r="A158" s="33" t="str">
        <x:v>gpu</x:v>
      </x:c>
      <x:c r="B158" s="34" t="str">
        <x:v>ca-newegg-gpu-asus-rog-astral-btf-geforce-rtx-5090-24gb-gddr7-btf-oc-edition-graphic</x:v>
      </x:c>
      <x:c r="C158" s="34" t="str">
        <x:v>ASUS ROG Astral BTF GeForce RTX 5090 24GB GDDR7 BTF OC Edition Graphics Card,  ROG-ASTRAL-RTX5090DV2-O24G-BTF,  DLSS 4.0 PCI Express 5.0 Video Card, OpenGL® 4.6</x:v>
      </x:c>
      <x:c r="D158" s="34" t="str">
        <x:v>ASUS</x:v>
      </x:c>
      <x:c r="E158" s="82" t="n">
        <x:v>5640.87</x:v>
      </x:c>
      <x:c r="F158" s="34" t="str">
        <x:v>USD</x:v>
      </x:c>
      <x:c r="G158" s="34" t="str">
        <x:v>retail</x:v>
      </x:c>
      <x:c r="H158" s="34" t="str">
        <x:v>2026-06-29</x:v>
      </x:c>
      <x:c r="I158" s="34" t="str">
        <x:v>chipset=RTX 5090; vramGb=24; tdpWatts=575; lengthMm=360; gamingScore1080p=100; gamingScore1440p=100; gamingScore4k=88; aiScore=100; cuda=true</x:v>
      </x:c>
      <x:c r="J158" s="34" t="str">
        <x:v>24GB, CUDA, ca-retail</x:v>
      </x:c>
      <x:c r="K158" s="34" t="str">
        <x:v>24GB graphics card from CA retailer; relative workload scores derived for ranking.</x:v>
      </x:c>
      <x:c r="L158" s="34" t="str">
        <x:v>https://www.newegg.ca/p/9SIBP4ZKUP1351</x:v>
      </x:c>
      <x:c r="M158" s="35" t="str">
        <x:v>https://www.newegg.ca/p/9SIBP4ZKUP1351</x:v>
      </x:c>
    </x:row>
    <x:row r="159">
      <x:c r="A159" s="33" t="str">
        <x:v>gpu</x:v>
      </x:c>
      <x:c r="B159" s="34" t="str">
        <x:v>ca-newegg-gpu-asus-rog-astral-lc-geforce-rtx-5090-32gb-gddr7-edition-rog-astral-lc-r</x:v>
      </x:c>
      <x:c r="C159" s="34" t="str">
        <x:v>ASUS ROG Astral LC GeForce RTX 5090 32GB GDDR7  Edition ROG-ASTRAL-LC-RTX5090-32G-GAMING DLSS 4.0 PCI Express 5.0 Graphics Card</x:v>
      </x:c>
      <x:c r="D159" s="34" t="str">
        <x:v>ASUS</x:v>
      </x:c>
      <x:c r="E159" s="82" t="n">
        <x:v>6387.24</x:v>
      </x:c>
      <x:c r="F159" s="34" t="str">
        <x:v>USD</x:v>
      </x:c>
      <x:c r="G159" s="34" t="str">
        <x:v>retail</x:v>
      </x:c>
      <x:c r="H159" s="34" t="str">
        <x:v>2026-06-29</x:v>
      </x:c>
      <x:c r="I159" s="34" t="str">
        <x:v>chipset=RTX 5090; vramGb=32; tdpWatts=575; lengthMm=360; gamingScore1080p=100; gamingScore1440p=100; gamingScore4k=88; aiScore=100; cuda=true</x:v>
      </x:c>
      <x:c r="J159" s="34" t="str">
        <x:v>32GB, CUDA, ca-retail</x:v>
      </x:c>
      <x:c r="K159" s="34" t="str">
        <x:v>32GB graphics card from CA retailer; relative workload scores derived for ranking.</x:v>
      </x:c>
      <x:c r="L159" s="34" t="str">
        <x:v>https://www.newegg.ca/p/9SIC6VJKX78354</x:v>
      </x:c>
      <x:c r="M159" s="35" t="str">
        <x:v>https://www.newegg.ca/p/9SIC6VJKX78354</x:v>
      </x:c>
    </x:row>
    <x:row r="160">
      <x:c r="A160" s="33" t="str">
        <x:v>gpu</x:v>
      </x:c>
      <x:c r="B160" s="34" t="str">
        <x:v>ca-newegg-gpu-asus-rog-astral-btf-geforce-rtx-5090-24gb-gddr7-btf-edition-graphics-c</x:v>
      </x:c>
      <x:c r="C160" s="34" t="str">
        <x:v>ASUS ROG Astral BTF GeForce RTX 5090 24GB GDDR7 BTF Edition Graphics Card,  ROG-ASTRAL-RTX5090DV2-O24G-BTF,  DLSS 4.0 PCI Express 5.0 Video Card, OpenGL® 4.6</x:v>
      </x:c>
      <x:c r="D160" s="34" t="str">
        <x:v>ASUS</x:v>
      </x:c>
      <x:c r="E160" s="82" t="n">
        <x:v>5640.87</x:v>
      </x:c>
      <x:c r="F160" s="34" t="str">
        <x:v>USD</x:v>
      </x:c>
      <x:c r="G160" s="34" t="str">
        <x:v>retail</x:v>
      </x:c>
      <x:c r="H160" s="34" t="str">
        <x:v>2026-06-29</x:v>
      </x:c>
      <x:c r="I160" s="34" t="str">
        <x:v>chipset=RTX 5090; vramGb=24; tdpWatts=575; lengthMm=360; gamingScore1080p=100; gamingScore1440p=100; gamingScore4k=88; aiScore=100; cuda=true</x:v>
      </x:c>
      <x:c r="J160" s="34" t="str">
        <x:v>24GB, CUDA, ca-retail</x:v>
      </x:c>
      <x:c r="K160" s="34" t="str">
        <x:v>24GB graphics card from CA retailer; relative workload scores derived for ranking.</x:v>
      </x:c>
      <x:c r="L160" s="34" t="str">
        <x:v>https://www.newegg.ca/p/9SIBP4ZKUP1348</x:v>
      </x:c>
      <x:c r="M160" s="35" t="str">
        <x:v>https://www.newegg.ca/p/9SIBP4ZKUP1348</x:v>
      </x:c>
    </x:row>
    <x:row r="161">
      <x:c r="A161" s="33" t="str">
        <x:v>gpu</x:v>
      </x:c>
      <x:c r="B161" s="34" t="str">
        <x:v>ca-newegg-gpu-zotac-solid-white-edition-geforce-rtx-5090-32gb-512-bit-gddr7-pci-expr</x:v>
      </x:c>
      <x:c r="C161" s="34" t="str">
        <x:v>ZOTAC SOLID  White Edition GeForce RTX 5090 32GB 512-Bit GDDR7 PCI Express 5.0 x16 DLSS 4.0 Graphics Card  SOLID  White Edition</x:v>
      </x:c>
      <x:c r="D161" s="34" t="str">
        <x:v>ZOTAC</x:v>
      </x:c>
      <x:c r="E161" s="82" t="n">
        <x:v>5640.87</x:v>
      </x:c>
      <x:c r="F161" s="34" t="str">
        <x:v>USD</x:v>
      </x:c>
      <x:c r="G161" s="34" t="str">
        <x:v>retail</x:v>
      </x:c>
      <x:c r="H161" s="34" t="str">
        <x:v>2026-06-29</x:v>
      </x:c>
      <x:c r="I161" s="34" t="str">
        <x:v>chipset=RTX 5090; vramGb=32; tdpWatts=575; lengthMm=360; gamingScore1080p=100; gamingScore1440p=100; gamingScore4k=88; aiScore=100; cuda=true</x:v>
      </x:c>
      <x:c r="J161" s="34" t="str">
        <x:v>32GB, CUDA, ca-retail, white</x:v>
      </x:c>
      <x:c r="K161" s="34" t="str">
        <x:v>32GB graphics card from CA retailer; relative workload scores derived for ranking.</x:v>
      </x:c>
      <x:c r="L161" s="34" t="str">
        <x:v>https://www.newegg.ca/p/9SIBP4ZKS87027</x:v>
      </x:c>
      <x:c r="M161" s="35" t="str">
        <x:v>https://www.newegg.ca/p/9SIBP4ZKS87027</x:v>
      </x:c>
    </x:row>
    <x:row r="162">
      <x:c r="A162" s="33" t="str">
        <x:v>gpu</x:v>
      </x:c>
      <x:c r="B162" s="34" t="str">
        <x:v>ca-newegg-gpu-gigabyte-aorus-geforce-rtx-5090-stealth-ice-32g-gddr7-pci-express-5-0-</x:v>
      </x:c>
      <x:c r="C162" s="34" t="str">
        <x:v>GIGABYTE AORUS GeForce RTX 5090 STEALTH ICE 32G GDDR7 PCI Express 5.0 ATX Graphics Card GV-N5090AORUSM ICE-32GD</x:v>
      </x:c>
      <x:c r="D162" s="34" t="str">
        <x:v>GIGABYTE</x:v>
      </x:c>
      <x:c r="E162" s="82" t="n">
        <x:v>5852.41</x:v>
      </x:c>
      <x:c r="F162" s="34" t="str">
        <x:v>USD</x:v>
      </x:c>
      <x:c r="G162" s="34" t="str">
        <x:v>retail</x:v>
      </x:c>
      <x:c r="H162" s="34" t="str">
        <x:v>2026-06-29</x:v>
      </x:c>
      <x:c r="I162" s="34" t="str">
        <x:v>chipset=RTX 5090; vramGb=32; tdpWatts=575; lengthMm=360; gamingScore1080p=100; gamingScore1440p=100; gamingScore4k=88; aiScore=100; cuda=true</x:v>
      </x:c>
      <x:c r="J162" s="34" t="str">
        <x:v>32GB, CUDA, ca-retail</x:v>
      </x:c>
      <x:c r="K162" s="34" t="str">
        <x:v>32GB graphics card from CA retailer; relative workload scores derived for ranking.</x:v>
      </x:c>
      <x:c r="L162" s="34" t="str">
        <x:v>https://www.newegg.ca/p/9SIBP4ZKYN1749</x:v>
      </x:c>
      <x:c r="M162" s="35" t="str">
        <x:v>https://www.newegg.ca/p/9SIBP4ZKYN1749</x:v>
      </x:c>
    </x:row>
    <x:row r="163">
      <x:c r="A163" s="33" t="str">
        <x:v>gpu</x:v>
      </x:c>
      <x:c r="B163" s="34" t="str">
        <x:v>ca-newegg-gpu-asus-tuf-gaming-geforce-rtx-5090d-24gb-gddr7graphics-card-pci-express-</x:v>
      </x:c>
      <x:c r="C163" s="34" t="str">
        <x:v>ASUS TUF Gaming GeForce RTX 5090D 24GB GDDR7Graphics Card , PCI-Express 5.0 DLSS 4.0 Graphics Card, TUF-RTX5090DV2-O24G-GAMING</x:v>
      </x:c>
      <x:c r="D163" s="34" t="str">
        <x:v>ASUS</x:v>
      </x:c>
      <x:c r="E163" s="82" t="n">
        <x:v>4653.72</x:v>
      </x:c>
      <x:c r="F163" s="34" t="str">
        <x:v>USD</x:v>
      </x:c>
      <x:c r="G163" s="34" t="str">
        <x:v>retail</x:v>
      </x:c>
      <x:c r="H163" s="34" t="str">
        <x:v>2026-06-29</x:v>
      </x:c>
      <x:c r="I163" s="34" t="str">
        <x:v>chipset=RTX 5090; vramGb=24; tdpWatts=575; lengthMm=360; gamingScore1080p=100; gamingScore1440p=100; gamingScore4k=88; aiScore=100; cuda=true</x:v>
      </x:c>
      <x:c r="J163" s="34" t="str">
        <x:v>24GB, CUDA, ca-retail</x:v>
      </x:c>
      <x:c r="K163" s="34" t="str">
        <x:v>24GB graphics card from CA retailer; relative workload scores derived for ranking.</x:v>
      </x:c>
      <x:c r="L163" s="34" t="str">
        <x:v>https://www.newegg.ca/p/9SIBP4ZKV13974</x:v>
      </x:c>
      <x:c r="M163" s="35" t="str">
        <x:v>https://www.newegg.ca/p/9SIBP4ZKV13974</x:v>
      </x:c>
    </x:row>
    <x:row r="164">
      <x:c r="A164" s="33" t="str">
        <x:v>gpu</x:v>
      </x:c>
      <x:c r="B164" s="34" t="str">
        <x:v>ca-newegg-gpu-asus-tuf-gaming-geforce-rtx-5090d-24gb-gddr7graphics-card-pci-express--1</x:v>
      </x:c>
      <x:c r="C164" s="34" t="str">
        <x:v>ASUS TUF Gaming GeForce RTX 5090D 24GB GDDR7Graphics Card , PCI-Express 5.0 DLSS 4.0 Graphics Card, TUF-RTX5090DV2-24G-GAMING</x:v>
      </x:c>
      <x:c r="D164" s="34" t="str">
        <x:v>ASUS</x:v>
      </x:c>
      <x:c r="E164" s="82" t="n">
        <x:v>4653.72</x:v>
      </x:c>
      <x:c r="F164" s="34" t="str">
        <x:v>USD</x:v>
      </x:c>
      <x:c r="G164" s="34" t="str">
        <x:v>retail</x:v>
      </x:c>
      <x:c r="H164" s="34" t="str">
        <x:v>2026-06-29</x:v>
      </x:c>
      <x:c r="I164" s="34" t="str">
        <x:v>chipset=RTX 5090; vramGb=24; tdpWatts=575; lengthMm=360; gamingScore1080p=100; gamingScore1440p=100; gamingScore4k=88; aiScore=100; cuda=true</x:v>
      </x:c>
      <x:c r="J164" s="34" t="str">
        <x:v>24GB, CUDA, ca-retail</x:v>
      </x:c>
      <x:c r="K164" s="34" t="str">
        <x:v>24GB graphics card from CA retailer; relative workload scores derived for ranking.</x:v>
      </x:c>
      <x:c r="L164" s="34" t="str">
        <x:v>https://www.newegg.ca/p/9SIBP4ZKV13970</x:v>
      </x:c>
      <x:c r="M164" s="35" t="str">
        <x:v>https://www.newegg.ca/p/9SIBP4ZKV13970</x:v>
      </x:c>
    </x:row>
    <x:row r="165">
      <x:c r="A165" s="33" t="str">
        <x:v>gpu</x:v>
      </x:c>
      <x:c r="B165" s="34" t="str">
        <x:v>ca-canadacomputers-gpu-gigabyte-aorus-geforce-rtx-5090-master-ai-gaming-graphics-card</x:v>
      </x:c>
      <x:c r="C165" s="34" t="str">
        <x:v>GIGABYTE AORUS GeForce RTX 5090 MASTER AI Gaming Graphics Card</x:v>
      </x:c>
      <x:c r="D165" s="34" t="str">
        <x:v>GIGABYTE</x:v>
      </x:c>
      <x:c r="E165" s="82" t="n">
        <x:v>4110.78</x:v>
      </x:c>
      <x:c r="F165" s="34" t="str">
        <x:v>USD</x:v>
      </x:c>
      <x:c r="G165" s="34" t="str">
        <x:v>retail</x:v>
      </x:c>
      <x:c r="H165" s="34" t="str">
        <x:v>2026-06-29</x:v>
      </x:c>
      <x:c r="I165" s="34" t="str">
        <x:v>chipset=RTX 5090; vramGb=32; tdpWatts=575; lengthMm=360; gamingScore1080p=100; gamingScore1440p=100; gamingScore4k=88; aiScore=100; cuda=true</x:v>
      </x:c>
      <x:c r="J165" s="34" t="str">
        <x:v>32GB, CUDA, ca-retail</x:v>
      </x:c>
      <x:c r="K165" s="34" t="str">
        <x:v>32GB graphics card from CA retailer; relative workload scores derived for ranking.</x:v>
      </x:c>
      <x:c r="L165" s="34" t="str">
        <x:v>https://www.canadacomputers.com/en/powered-by-nvidia/268188/gigabyte-aorus-geforce-rtx-5090-master-ai-gaming-graphics-card-gv-n5090aorus-m-32gd.html</x:v>
      </x:c>
      <x:c r="M165" s="35" t="str">
        <x:v>https://www.canadacomputers.com/en/powered-by-nvidia/268188/gigabyte-aorus-geforce-rtx-5090-master-ai-gaming-graphics-card-gv-n5090aorus-m-32gd.html</x:v>
      </x:c>
    </x:row>
    <x:row r="166">
      <x:c r="A166" s="33" t="str">
        <x:v>gpu</x:v>
      </x:c>
      <x:c r="B166" s="34" t="str">
        <x:v>ca-canadacomputers-gpu-gigabyte-geforce-rtx-5080-windforce-oc-sff-16g-graphics-card</x:v>
      </x:c>
      <x:c r="C166" s="34" t="str">
        <x:v>GIGABYTE GeForce RTX 5080 WINDFORCE OC SFF 16G Graphics Card</x:v>
      </x:c>
      <x:c r="D166" s="34" t="str">
        <x:v>GIGABYTE</x:v>
      </x:c>
      <x:c r="E166" s="82" t="n">
        <x:v>1374.96</x:v>
      </x:c>
      <x:c r="F166" s="34" t="str">
        <x:v>USD</x:v>
      </x:c>
      <x:c r="G166" s="34" t="str">
        <x:v>retail</x:v>
      </x:c>
      <x:c r="H166" s="34" t="str">
        <x:v>2026-06-29</x:v>
      </x:c>
      <x:c r="I166" s="34" t="str">
        <x:v>chipset=RTX 5080; vramGb=16; tdpWatts=360; lengthMm=340; gamingScore1080p=100; gamingScore1440p=100; gamingScore4k=88; aiScore=100; cuda=true</x:v>
      </x:c>
      <x:c r="J166" s="34" t="str">
        <x:v>16GB, CUDA, ca-retail, sff</x:v>
      </x:c>
      <x:c r="K166" s="34" t="str">
        <x:v>16GB graphics card from CA retailer; relative workload scores derived for ranking.</x:v>
      </x:c>
      <x:c r="L166" s="34" t="str">
        <x:v>https://www.canadacomputers.com/en/powered-by-nvidia/268141/gigabyte-geforce-rtx-5080-windforce-oc-sff-16g-graphics-card-gv-n5080wf3oc-16gd.html</x:v>
      </x:c>
      <x:c r="M166" s="35" t="str">
        <x:v>https://www.canadacomputers.com/en/powered-by-nvidia/268141/gigabyte-geforce-rtx-5080-windforce-oc-sff-16g-graphics-card-gv-n5080wf3oc-16gd.html</x:v>
      </x:c>
    </x:row>
    <x:row r="167">
      <x:c r="A167" s="33" t="str">
        <x:v>gpu</x:v>
      </x:c>
      <x:c r="B167" s="34" t="str">
        <x:v>ca-canadacomputers-gpu-gigabyte-geforce-rtx-5070-ti-windforce-oc-sff-16g-graphics-card</x:v>
      </x:c>
      <x:c r="C167" s="34" t="str">
        <x:v>GIGABYTE GeForce RTX 5070 Ti WINDFORCE OC SFF 16G Graphics Card</x:v>
      </x:c>
      <x:c r="D167" s="34" t="str">
        <x:v>GIGABYTE</x:v>
      </x:c>
      <x:c r="E167" s="82" t="n">
        <x:v>965.99</x:v>
      </x:c>
      <x:c r="F167" s="34" t="str">
        <x:v>USD</x:v>
      </x:c>
      <x:c r="G167" s="34" t="str">
        <x:v>retail</x:v>
      </x:c>
      <x:c r="H167" s="34" t="str">
        <x:v>2026-06-29</x:v>
      </x:c>
      <x:c r="I167" s="34" t="str">
        <x:v>chipset=RTX 5070 Ti; vramGb=16; tdpWatts=300; lengthMm=330; gamingScore1080p=100; gamingScore1440p=95; gamingScore4k=83; aiScore=100; cuda=true</x:v>
      </x:c>
      <x:c r="J167" s="34" t="str">
        <x:v>16GB, CUDA, ca-retail, sff</x:v>
      </x:c>
      <x:c r="K167" s="34" t="str">
        <x:v>16GB graphics card from CA retailer; relative workload scores derived for ranking.</x:v>
      </x:c>
      <x:c r="L167" s="34" t="str">
        <x:v>https://www.canadacomputers.com/en/powered-by-nvidia/268823/gigabyte-geforce-rtx-5070-ti-windforce-oc-sff-16g-graphics-card-gv-n507twf3oc-16gd.html</x:v>
      </x:c>
      <x:c r="M167" s="35" t="str">
        <x:v>https://www.canadacomputers.com/en/powered-by-nvidia/268823/gigabyte-geforce-rtx-5070-ti-windforce-oc-sff-16g-graphics-card-gv-n507twf3oc-16gd.html</x:v>
      </x:c>
    </x:row>
    <x:row r="168">
      <x:c r="A168" s="33" t="str">
        <x:v>gpu</x:v>
      </x:c>
      <x:c r="B168" s="34" t="str">
        <x:v>ca-canadacomputers-gpu-gigabyte-geforce-rtx-5070-ti-gaming-oc-16g-graphics-card</x:v>
      </x:c>
      <x:c r="C168" s="34" t="str">
        <x:v>GIGABYTE GeForce RTX 5070 Ti GAMING OC 16G  Graphics Card</x:v>
      </x:c>
      <x:c r="D168" s="34" t="str">
        <x:v>GIGABYTE</x:v>
      </x:c>
      <x:c r="E168" s="82" t="n">
        <x:v>1057.66</x:v>
      </x:c>
      <x:c r="F168" s="34" t="str">
        <x:v>USD</x:v>
      </x:c>
      <x:c r="G168" s="34" t="str">
        <x:v>retail</x:v>
      </x:c>
      <x:c r="H168" s="34" t="str">
        <x:v>2026-06-29</x:v>
      </x:c>
      <x:c r="I168" s="34" t="str">
        <x:v>chipset=RTX 5070 Ti; vramGb=16; tdpWatts=300; lengthMm=330; gamingScore1080p=100; gamingScore1440p=98; gamingScore4k=86; aiScore=100; cuda=true</x:v>
      </x:c>
      <x:c r="J168" s="34" t="str">
        <x:v>16GB, CUDA, ca-retail</x:v>
      </x:c>
      <x:c r="K168" s="34" t="str">
        <x:v>16GB graphics card from CA retailer; relative workload scores derived for ranking.</x:v>
      </x:c>
      <x:c r="L168" s="34" t="str">
        <x:v>https://www.canadacomputers.com/en/powered-by-nvidia/268819/gigabyte-geforce-rtx-5070-ti-gaming-oc-16g-graphics-card-gv-n507tgaming-oc-16gd.html</x:v>
      </x:c>
      <x:c r="M168" s="35" t="str">
        <x:v>https://www.canadacomputers.com/en/powered-by-nvidia/268819/gigabyte-geforce-rtx-5070-ti-gaming-oc-16g-graphics-card-gv-n507tgaming-oc-16gd.html</x:v>
      </x:c>
    </x:row>
    <x:row r="169">
      <x:c r="A169" s="33" t="str">
        <x:v>gpu</x:v>
      </x:c>
      <x:c r="B169" s="34" t="str">
        <x:v>ca-canadacomputers-gpu-asus-prime-geforce-rtx-5070-12gb-gddr7-graphics-card</x:v>
      </x:c>
      <x:c r="C169" s="34" t="str">
        <x:v>ASUS Prime GeForce RTX 5070 12GB GDDR7 Graphics Card</x:v>
      </x:c>
      <x:c r="D169" s="34" t="str">
        <x:v>ASUS</x:v>
      </x:c>
      <x:c r="E169" s="82" t="n">
        <x:v>662.8</x:v>
      </x:c>
      <x:c r="F169" s="34" t="str">
        <x:v>USD</x:v>
      </x:c>
      <x:c r="G169" s="34" t="str">
        <x:v>retail</x:v>
      </x:c>
      <x:c r="H169" s="34" t="str">
        <x:v>2026-06-29</x:v>
      </x:c>
      <x:c r="I169" s="34" t="str">
        <x:v>chipset=RTX 5070; vramGb=12; tdpWatts=250; lengthMm=320; gamingScore1080p=91; gamingScore1440p=83; gamingScore4k=71; aiScore=88; cuda=true</x:v>
      </x:c>
      <x:c r="J169" s="34" t="str">
        <x:v>12GB, CUDA, ca-retail</x:v>
      </x:c>
      <x:c r="K169" s="34" t="str">
        <x:v>12GB graphics card from CA retailer; relative workload scores derived for ranking.</x:v>
      </x:c>
      <x:c r="L169" s="34" t="str">
        <x:v>https://www.canadacomputers.com/en/powered-by-nvidia/268300/asus-prime-geforce-rtx-5070-12gb-gddr7-graphics-card-prime-rtx5070-12g.html</x:v>
      </x:c>
      <x:c r="M169" s="35" t="str">
        <x:v>https://www.canadacomputers.com/en/powered-by-nvidia/268300/asus-prime-geforce-rtx-5070-12gb-gddr7-graphics-card-prime-rtx5070-12g.html</x:v>
      </x:c>
    </x:row>
    <x:row r="170">
      <x:c r="A170" s="33" t="str">
        <x:v>gpu</x:v>
      </x:c>
      <x:c r="B170" s="34" t="str">
        <x:v>ca-canadacomputers-gpu-gigabyte-geforce-rtx-5070-gaming-oc-12g-graphics-card</x:v>
      </x:c>
      <x:c r="C170" s="34" t="str">
        <x:v>GIGABYTE GeForce RTX 5070 GAMING OC 12G Graphics Card</x:v>
      </x:c>
      <x:c r="D170" s="34" t="str">
        <x:v>GIGABYTE</x:v>
      </x:c>
      <x:c r="E170" s="82" t="n">
        <x:v>669.85</x:v>
      </x:c>
      <x:c r="F170" s="34" t="str">
        <x:v>USD</x:v>
      </x:c>
      <x:c r="G170" s="34" t="str">
        <x:v>retail</x:v>
      </x:c>
      <x:c r="H170" s="34" t="str">
        <x:v>2026-06-29</x:v>
      </x:c>
      <x:c r="I170" s="34" t="str">
        <x:v>chipset=RTX 5070; vramGb=12; tdpWatts=250; lengthMm=320; gamingScore1080p=92; gamingScore1440p=84; gamingScore4k=72; aiScore=88; cuda=true</x:v>
      </x:c>
      <x:c r="J170" s="34" t="str">
        <x:v>12GB, CUDA, ca-retail</x:v>
      </x:c>
      <x:c r="K170" s="34" t="str">
        <x:v>12GB graphics card from CA retailer; relative workload scores derived for ranking.</x:v>
      </x:c>
      <x:c r="L170" s="34" t="str">
        <x:v>https://www.canadacomputers.com/en/powered-by-nvidia/268826/gigabyte-geforce-rtx-5070-gaming-oc-12g-graphics-card-gv-n5070gaming-oc-12gd.html</x:v>
      </x:c>
      <x:c r="M170" s="35" t="str">
        <x:v>https://www.canadacomputers.com/en/powered-by-nvidia/268826/gigabyte-geforce-rtx-5070-gaming-oc-12g-graphics-card-gv-n5070gaming-oc-12gd.html</x:v>
      </x:c>
    </x:row>
    <x:row r="171">
      <x:c r="A171" s="33" t="str">
        <x:v>gpu</x:v>
      </x:c>
      <x:c r="B171" s="34" t="str">
        <x:v>ca-canadacomputers-gpu-gigabyte-geforce-rtx-5060-windforce-8g-graphics-card</x:v>
      </x:c>
      <x:c r="C171" s="34" t="str">
        <x:v>GIGABYTE GeForce RTX 5060 WINDFORCE 8G Graphics Card</x:v>
      </x:c>
      <x:c r="D171" s="34" t="str">
        <x:v>GIGABYTE</x:v>
      </x:c>
      <x:c r="E171" s="82" t="n">
        <x:v>345.5</x:v>
      </x:c>
      <x:c r="F171" s="34" t="str">
        <x:v>USD</x:v>
      </x:c>
      <x:c r="G171" s="34" t="str">
        <x:v>retail</x:v>
      </x:c>
      <x:c r="H171" s="34" t="str">
        <x:v>2026-06-29</x:v>
      </x:c>
      <x:c r="I171" s="34" t="str">
        <x:v>chipset=RTX 5060; vramGb=8; tdpWatts=145; lengthMm=300; gamingScore1080p=76; gamingScore1440p=68; gamingScore4k=56; aiScore=71; cuda=true</x:v>
      </x:c>
      <x:c r="J171" s="34" t="str">
        <x:v>8GB, CUDA, ca-retail</x:v>
      </x:c>
      <x:c r="K171" s="34" t="str">
        <x:v>8GB graphics card from CA retailer; relative workload scores derived for ranking.</x:v>
      </x:c>
      <x:c r="L171" s="34" t="str">
        <x:v>https://www.canadacomputers.com/en/powered-by-nvidia/273663/gigabyte-geforce-rtx-5060-windforce-8g-graphics-card-gv-n5060wf2-8gd.html</x:v>
      </x:c>
      <x:c r="M171" s="35" t="str">
        <x:v>https://www.canadacomputers.com/en/powered-by-nvidia/273663/gigabyte-geforce-rtx-5060-windforce-8g-graphics-card-gv-n5060wf2-8gd.html</x:v>
      </x:c>
    </x:row>
    <x:row r="172">
      <x:c r="A172" s="33" t="str">
        <x:v>motherboard</x:v>
      </x:c>
      <x:c r="B172" s="34" t="str">
        <x:v>mb-b650-atx</x:v>
      </x:c>
      <x:c r="C172" s="34" t="str">
        <x:v>MSI B650 Tomahawk WiFi</x:v>
      </x:c>
      <x:c r="D172" s="34" t="str">
        <x:v>MSI</x:v>
      </x:c>
      <x:c r="E172" s="82" t="n">
        <x:v>199</x:v>
      </x:c>
      <x:c r="F172" s="34" t="str">
        <x:v>USD</x:v>
      </x:c>
      <x:c r="G172" s="34" t="str">
        <x:v>reference</x:v>
      </x:c>
      <x:c r="H172" s="34" t="str">
        <x:v>baseline seed</x:v>
      </x:c>
      <x:c r="I172" s="34" t="str">
        <x:v>socket=AM5; chipset=B650; formFactor=ATX; memoryType=DDR5; maxMemoryGb=192; m2Slots=3; storageInterfaces=NVMe/SATA; cpuTiers=entry/mid/high</x:v>
      </x:c>
      <x:c r="J172" s="34" t="str">
        <x:v>AM5, B650, ATX</x:v>
      </x:c>
      <x:c r="K172" s="34" t="str">
        <x:v>ATX B650 board with 3 M.2 slots.</x:v>
      </x:c>
      <x:c r="L172" s="34" t="str"/>
      <x:c r="M172" s="35" t="str"/>
    </x:row>
    <x:row r="173">
      <x:c r="A173" s="33" t="str">
        <x:v>motherboard</x:v>
      </x:c>
      <x:c r="B173" s="34" t="str">
        <x:v>mb-b650m</x:v>
      </x:c>
      <x:c r="C173" s="34" t="str">
        <x:v>ASRock B650M Pro RS</x:v>
      </x:c>
      <x:c r="D173" s="34" t="str">
        <x:v>ASRock</x:v>
      </x:c>
      <x:c r="E173" s="82" t="n">
        <x:v>139</x:v>
      </x:c>
      <x:c r="F173" s="34" t="str">
        <x:v>USD</x:v>
      </x:c>
      <x:c r="G173" s="34" t="str">
        <x:v>reference</x:v>
      </x:c>
      <x:c r="H173" s="34" t="str">
        <x:v>baseline seed</x:v>
      </x:c>
      <x:c r="I173" s="34" t="str">
        <x:v>socket=AM5; chipset=B650; formFactor=Micro-ATX; memoryType=DDR5; maxMemoryGb=192; m2Slots=2; storageInterfaces=NVMe/SATA; cpuTiers=entry/mid/high</x:v>
      </x:c>
      <x:c r="J173" s="34" t="str">
        <x:v>AM5, B650, Micro-ATX</x:v>
      </x:c>
      <x:c r="K173" s="34" t="str">
        <x:v>Micro-ATX B650 board with 2 M.2 slots.</x:v>
      </x:c>
      <x:c r="L173" s="34" t="str"/>
      <x:c r="M173" s="35" t="str"/>
    </x:row>
    <x:row r="174">
      <x:c r="A174" s="33" t="str">
        <x:v>motherboard</x:v>
      </x:c>
      <x:c r="B174" s="34" t="str">
        <x:v>mb-b650i</x:v>
      </x:c>
      <x:c r="C174" s="34" t="str">
        <x:v>ASUS B650E-I Gaming WiFi</x:v>
      </x:c>
      <x:c r="D174" s="34" t="str">
        <x:v>ASUS</x:v>
      </x:c>
      <x:c r="E174" s="82" t="n">
        <x:v>299</x:v>
      </x:c>
      <x:c r="F174" s="34" t="str">
        <x:v>USD</x:v>
      </x:c>
      <x:c r="G174" s="34" t="str">
        <x:v>reference</x:v>
      </x:c>
      <x:c r="H174" s="34" t="str">
        <x:v>baseline seed</x:v>
      </x:c>
      <x:c r="I174" s="34" t="str">
        <x:v>socket=AM5; chipset=B650E; formFactor=Mini-ITX; memoryType=DDR5; maxMemoryGb=192; m2Slots=2; storageInterfaces=NVMe/SATA; cpuTiers=entry/mid/high/enthusiast</x:v>
      </x:c>
      <x:c r="J174" s="34" t="str">
        <x:v>AM5, B650E, Mini-ITX</x:v>
      </x:c>
      <x:c r="K174" s="34" t="str">
        <x:v>Mini-ITX B650E board with 2 M.2 slots.</x:v>
      </x:c>
      <x:c r="L174" s="34" t="str"/>
      <x:c r="M174" s="35" t="str"/>
    </x:row>
    <x:row r="175">
      <x:c r="A175" s="33" t="str">
        <x:v>motherboard</x:v>
      </x:c>
      <x:c r="B175" s="34" t="str">
        <x:v>mb-x670e</x:v>
      </x:c>
      <x:c r="C175" s="34" t="str">
        <x:v>ASUS ProArt X670E-Creator</x:v>
      </x:c>
      <x:c r="D175" s="34" t="str">
        <x:v>ASUS</x:v>
      </x:c>
      <x:c r="E175" s="82" t="n">
        <x:v>449</x:v>
      </x:c>
      <x:c r="F175" s="34" t="str">
        <x:v>USD</x:v>
      </x:c>
      <x:c r="G175" s="34" t="str">
        <x:v>reference</x:v>
      </x:c>
      <x:c r="H175" s="34" t="str">
        <x:v>baseline seed</x:v>
      </x:c>
      <x:c r="I175" s="34" t="str">
        <x:v>socket=AM5; chipset=X670E; formFactor=ATX; memoryType=DDR5; maxMemoryGb=192; m2Slots=4; storageInterfaces=NVMe/SATA; cpuTiers=mid/high/enthusiast</x:v>
      </x:c>
      <x:c r="J175" s="34" t="str">
        <x:v>AM5, X670E, ATX</x:v>
      </x:c>
      <x:c r="K175" s="34" t="str">
        <x:v>ATX X670E board with 4 M.2 slots.</x:v>
      </x:c>
      <x:c r="L175" s="34" t="str"/>
      <x:c r="M175" s="35" t="str"/>
    </x:row>
    <x:row r="176">
      <x:c r="A176" s="33" t="str">
        <x:v>motherboard</x:v>
      </x:c>
      <x:c r="B176" s="34" t="str">
        <x:v>mb-z790</x:v>
      </x:c>
      <x:c r="C176" s="34" t="str">
        <x:v>MSI Z790 Tomahawk MAX WiFi</x:v>
      </x:c>
      <x:c r="D176" s="34" t="str">
        <x:v>MSI</x:v>
      </x:c>
      <x:c r="E176" s="82" t="n">
        <x:v>279</x:v>
      </x:c>
      <x:c r="F176" s="34" t="str">
        <x:v>USD</x:v>
      </x:c>
      <x:c r="G176" s="34" t="str">
        <x:v>reference</x:v>
      </x:c>
      <x:c r="H176" s="34" t="str">
        <x:v>baseline seed</x:v>
      </x:c>
      <x:c r="I176" s="34" t="str">
        <x:v>socket=LGA1700; chipset=Z790; formFactor=ATX; memoryType=DDR5; maxMemoryGb=192; m2Slots=4; storageInterfaces=NVMe/SATA; cpuTiers=mid/high/enthusiast</x:v>
      </x:c>
      <x:c r="J176" s="34" t="str">
        <x:v>LGA1700, Z790, ATX</x:v>
      </x:c>
      <x:c r="K176" s="34" t="str">
        <x:v>ATX Z790 board with 4 M.2 slots.</x:v>
      </x:c>
      <x:c r="L176" s="34" t="str"/>
      <x:c r="M176" s="35" t="str"/>
    </x:row>
    <x:row r="177">
      <x:c r="A177" s="33" t="str">
        <x:v>motherboard</x:v>
      </x:c>
      <x:c r="B177" s="34" t="str">
        <x:v>mb-z790-a-white</x:v>
      </x:c>
      <x:c r="C177" s="34" t="str">
        <x:v>ASUS ROG Strix Z790-A Gaming WiFi II</x:v>
      </x:c>
      <x:c r="D177" s="34" t="str">
        <x:v>ASUS</x:v>
      </x:c>
      <x:c r="E177" s="82" t="n">
        <x:v>359</x:v>
      </x:c>
      <x:c r="F177" s="34" t="str">
        <x:v>USD</x:v>
      </x:c>
      <x:c r="G177" s="34" t="str">
        <x:v>reference</x:v>
      </x:c>
      <x:c r="H177" s="34" t="str">
        <x:v>baseline seed</x:v>
      </x:c>
      <x:c r="I177" s="34" t="str">
        <x:v>socket=LGA1700; chipset=Z790; formFactor=ATX; memoryType=DDR5; maxMemoryGb=192; m2Slots=5; storageInterfaces=NVMe/SATA; cpuTiers=mid/high/enthusiast</x:v>
      </x:c>
      <x:c r="J177" s="34" t="str">
        <x:v>LGA1700, Z790, ATX, white, rgb</x:v>
      </x:c>
      <x:c r="K177" s="34" t="str">
        <x:v>ATX Z790 board with 5 M.2 slots.</x:v>
      </x:c>
      <x:c r="L177" s="34" t="str"/>
      <x:c r="M177" s="35" t="str"/>
    </x:row>
    <x:row r="178">
      <x:c r="A178" s="33" t="str">
        <x:v>motherboard</x:v>
      </x:c>
      <x:c r="B178" s="34" t="str">
        <x:v>mb-b760</x:v>
      </x:c>
      <x:c r="C178" s="34" t="str">
        <x:v>ASUS TUF B760-Plus WiFi</x:v>
      </x:c>
      <x:c r="D178" s="34" t="str">
        <x:v>ASUS</x:v>
      </x:c>
      <x:c r="E178" s="82" t="n">
        <x:v>189</x:v>
      </x:c>
      <x:c r="F178" s="34" t="str">
        <x:v>USD</x:v>
      </x:c>
      <x:c r="G178" s="34" t="str">
        <x:v>reference</x:v>
      </x:c>
      <x:c r="H178" s="34" t="str">
        <x:v>baseline seed</x:v>
      </x:c>
      <x:c r="I178" s="34" t="str">
        <x:v>socket=LGA1700; chipset=B760; formFactor=ATX; memoryType=DDR5; maxMemoryGb=192; m2Slots=3; storageInterfaces=NVMe/SATA; cpuTiers=entry/mid/high</x:v>
      </x:c>
      <x:c r="J178" s="34" t="str">
        <x:v>LGA1700, B760, ATX</x:v>
      </x:c>
      <x:c r="K178" s="34" t="str">
        <x:v>ATX B760 board with 3 M.2 slots.</x:v>
      </x:c>
      <x:c r="L178" s="34" t="str"/>
      <x:c r="M178" s="35" t="str"/>
    </x:row>
    <x:row r="179">
      <x:c r="A179" s="33" t="str">
        <x:v>motherboard</x:v>
      </x:c>
      <x:c r="B179" s="34" t="str">
        <x:v>mb-b850-plus</x:v>
      </x:c>
      <x:c r="C179" s="34" t="str">
        <x:v>ASUS TUF Gaming B850-Plus WiFi</x:v>
      </x:c>
      <x:c r="D179" s="34" t="str">
        <x:v>ASUS</x:v>
      </x:c>
      <x:c r="E179" s="82" t="n">
        <x:v>229</x:v>
      </x:c>
      <x:c r="F179" s="34" t="str">
        <x:v>USD</x:v>
      </x:c>
      <x:c r="G179" s="34" t="str">
        <x:v>reference</x:v>
      </x:c>
      <x:c r="H179" s="34" t="str">
        <x:v>2026-06-28</x:v>
      </x:c>
      <x:c r="I179" s="34" t="str">
        <x:v>maxMemoryGb=256; socket=AM5; chipset=B850; formFactor=ATX; memoryType=DDR5; m2Slots=3; storageInterfaces=NVMe/SATA; cpuTiers=entry/mid/high/enthusiast</x:v>
      </x:c>
      <x:c r="J179" s="34" t="str">
        <x:v>AM5, B850, ATX, wifi7, pcie5</x:v>
      </x:c>
      <x:c r="K179" s="34" t="str">
        <x:v>ATX B850 board with 3 M.2 slots.</x:v>
      </x:c>
      <x:c r="L179" s="34" t="str">
        <x:v>https://www.asus.com/motherboards-components/motherboards/tuf-gaming/tuf-gaming-b850-plus-wifi/techspec/</x:v>
      </x:c>
      <x:c r="M179" s="35" t="str">
        <x:v>https://www.asus.com/motherboards-components/motherboards/tuf-gaming/tuf-gaming-b850-plus-wifi/techspec/</x:v>
      </x:c>
    </x:row>
    <x:row r="180">
      <x:c r="A180" s="33" t="str">
        <x:v>motherboard</x:v>
      </x:c>
      <x:c r="B180" s="34" t="str">
        <x:v>mb-x870-tomahawk</x:v>
      </x:c>
      <x:c r="C180" s="34" t="str">
        <x:v>MSI MAG X870 Tomahawk WiFi</x:v>
      </x:c>
      <x:c r="D180" s="34" t="str">
        <x:v>MSI</x:v>
      </x:c>
      <x:c r="E180" s="82" t="n">
        <x:v>299</x:v>
      </x:c>
      <x:c r="F180" s="34" t="str">
        <x:v>USD</x:v>
      </x:c>
      <x:c r="G180" s="34" t="str">
        <x:v>reference</x:v>
      </x:c>
      <x:c r="H180" s="34" t="str">
        <x:v>2026-06-28</x:v>
      </x:c>
      <x:c r="I180" s="34" t="str">
        <x:v>maxMemoryGb=256; socket=AM5; chipset=X870; formFactor=ATX; memoryType=DDR5; m2Slots=4; storageInterfaces=NVMe/SATA; cpuTiers=mid/high/enthusiast</x:v>
      </x:c>
      <x:c r="J180" s="34" t="str">
        <x:v>AM5, X870, ATX, wifi7, usb4, pcie5</x:v>
      </x:c>
      <x:c r="K180" s="34" t="str">
        <x:v>ATX X870 board with 4 M.2 slots.</x:v>
      </x:c>
      <x:c r="L180" s="34" t="str">
        <x:v>https://www.msi.com/Motherboard/MAG-X870-TOMAHAWK-WIFI/Specification</x:v>
      </x:c>
      <x:c r="M180" s="35" t="str">
        <x:v>https://www.msi.com/Motherboard/MAG-X870-TOMAHAWK-WIFI/Specification</x:v>
      </x:c>
    </x:row>
    <x:row r="181">
      <x:c r="A181" s="33" t="str">
        <x:v>motherboard</x:v>
      </x:c>
      <x:c r="B181" s="34" t="str">
        <x:v>mb-x870-a-white</x:v>
      </x:c>
      <x:c r="C181" s="34" t="str">
        <x:v>ASUS ROG Strix X870-A Gaming WiFi</x:v>
      </x:c>
      <x:c r="D181" s="34" t="str">
        <x:v>ASUS</x:v>
      </x:c>
      <x:c r="E181" s="82" t="n">
        <x:v>399</x:v>
      </x:c>
      <x:c r="F181" s="34" t="str">
        <x:v>USD</x:v>
      </x:c>
      <x:c r="G181" s="34" t="str">
        <x:v>reference</x:v>
      </x:c>
      <x:c r="H181" s="34" t="str">
        <x:v>2026-06-28</x:v>
      </x:c>
      <x:c r="I181" s="34" t="str">
        <x:v>maxMemoryGb=256; socket=AM5; chipset=X870; formFactor=ATX; memoryType=DDR5; m2Slots=4; storageInterfaces=NVMe/SATA; cpuTiers=mid/high/enthusiast</x:v>
      </x:c>
      <x:c r="J181" s="34" t="str">
        <x:v>AM5, X870, ATX, white, rgb, wifi7, usb4</x:v>
      </x:c>
      <x:c r="K181" s="34" t="str">
        <x:v>ATX X870 board with 4 M.2 slots.</x:v>
      </x:c>
      <x:c r="L181" s="34" t="str">
        <x:v>https://rog.asus.com/motherboards/rog-strix/rog-strix-x870-a-gaming-wifi/spec/</x:v>
      </x:c>
      <x:c r="M181" s="35" t="str">
        <x:v>https://rog.asus.com/motherboards/rog-strix/rog-strix-x870-a-gaming-wifi/spec/</x:v>
      </x:c>
    </x:row>
    <x:row r="182">
      <x:c r="A182" s="33" t="str">
        <x:v>motherboard</x:v>
      </x:c>
      <x:c r="B182" s="34" t="str">
        <x:v>mb-z890-a-white</x:v>
      </x:c>
      <x:c r="C182" s="34" t="str">
        <x:v>ASUS ROG Strix Z890-A Gaming WiFi</x:v>
      </x:c>
      <x:c r="D182" s="34" t="str">
        <x:v>ASUS</x:v>
      </x:c>
      <x:c r="E182" s="82" t="n">
        <x:v>399</x:v>
      </x:c>
      <x:c r="F182" s="34" t="str">
        <x:v>USD</x:v>
      </x:c>
      <x:c r="G182" s="34" t="str">
        <x:v>reference</x:v>
      </x:c>
      <x:c r="H182" s="34" t="str">
        <x:v>2026-06-28</x:v>
      </x:c>
      <x:c r="I182" s="34" t="str">
        <x:v>maxMemoryGb=256; socket=LGA1851; chipset=Z890; formFactor=ATX; memoryType=DDR5; m2Slots=5; storageInterfaces=NVMe/SATA; cpuTiers=mid/high/enthusiast</x:v>
      </x:c>
      <x:c r="J182" s="34" t="str">
        <x:v>LGA1851, Z890, ATX, white, rgb, wifi7, thunderbolt4</x:v>
      </x:c>
      <x:c r="K182" s="34" t="str">
        <x:v>ATX Z890 board with 5 M.2 slots.</x:v>
      </x:c>
      <x:c r="L182" s="34" t="str">
        <x:v>https://rog.asus.com/us/motherboards/rog-strix/rog-strix-z890-a-gaming-wifi/spec/</x:v>
      </x:c>
      <x:c r="M182" s="35" t="str">
        <x:v>https://rog.asus.com/us/motherboards/rog-strix/rog-strix-z890-a-gaming-wifi/spec/</x:v>
      </x:c>
    </x:row>
    <x:row r="183">
      <x:c r="A183" s="33" t="str">
        <x:v>motherboard</x:v>
      </x:c>
      <x:c r="B183" s="34" t="str">
        <x:v>mb-z890m-riptide</x:v>
      </x:c>
      <x:c r="C183" s="34" t="str">
        <x:v>ASRock Z890M Riptide WiFi</x:v>
      </x:c>
      <x:c r="D183" s="34" t="str">
        <x:v>ASRock</x:v>
      </x:c>
      <x:c r="E183" s="82" t="n">
        <x:v>249</x:v>
      </x:c>
      <x:c r="F183" s="34" t="str">
        <x:v>USD</x:v>
      </x:c>
      <x:c r="G183" s="34" t="str">
        <x:v>reference</x:v>
      </x:c>
      <x:c r="H183" s="34" t="str">
        <x:v>2026-06-28</x:v>
      </x:c>
      <x:c r="I183" s="34" t="str">
        <x:v>maxMemoryGb=256; socket=LGA1851; chipset=Z890; formFactor=Micro-ATX; memoryType=DDR5; m2Slots=3; storageInterfaces=NVMe/SATA; cpuTiers=entry/mid/high/enthusiast</x:v>
      </x:c>
      <x:c r="J183" s="34" t="str">
        <x:v>LGA1851, Z890, Micro-ATX, wifi6e, compact</x:v>
      </x:c>
      <x:c r="K183" s="34" t="str">
        <x:v>Micro-ATX Z890 board with 3 M.2 slots.</x:v>
      </x:c>
      <x:c r="L183" s="34" t="str">
        <x:v>https://www.asrock.com/mb/Intel/Z890M%20Riptide%20WiFi/index.asp</x:v>
      </x:c>
      <x:c r="M183" s="35" t="str">
        <x:v>https://www.asrock.com/mb/Intel/Z890M%20Riptide%20WiFi/index.asp</x:v>
      </x:c>
    </x:row>
    <x:row r="184">
      <x:c r="A184" s="33" t="str">
        <x:v>motherboard</x:v>
      </x:c>
      <x:c r="B184" s="34" t="str">
        <x:v>hf-motherboard-438648</x:v>
      </x:c>
      <x:c r="C184" s="34" t="str">
        <x:v>MSI MAG B650 TOMAHAWK WIFI</x:v>
      </x:c>
      <x:c r="D184" s="34" t="str">
        <x:v>MSI</x:v>
      </x:c>
      <x:c r="E184" s="82" t="n">
        <x:v>204.36</x:v>
      </x:c>
      <x:c r="F184" s="34" t="str">
        <x:v>USD</x:v>
      </x:c>
      <x:c r="G184" s="34" t="str">
        <x:v>reference</x:v>
      </x:c>
      <x:c r="H184" s="34" t="str">
        <x:v>2026-06-28</x:v>
      </x:c>
      <x:c r="I184" s="34" t="str">
        <x:v>socket=AM5; chipset=B650; formFactor=ATX; memoryType=DDR5; maxMemoryGb=256; m2Slots=2; storageInterfaces=NVMe/SATA; cpuTiers=entry/mid/high</x:v>
      </x:c>
      <x:c r="J184" s="34" t="str">
        <x:v>AM5, B650, ATX, DDR5, dataset</x:v>
      </x:c>
      <x:c r="K184" s="34" t="str">
        <x:v>ATX B650 motherboard for AM5 with 2 derived/declared M.2 slots.</x:v>
      </x:c>
      <x:c r="L184" s="34" t="str">
        <x:v>https://fr.pcpartpicker.com/product/LwNxFT/msi-mag-b650-tomahawk-wifi-atx-am5-motherboard-mag-b650-tomahawk-wifi</x:v>
      </x:c>
      <x:c r="M184" s="35" t="str">
        <x:v>https://fr.pcpartpicker.com/product/LwNxFT/msi-mag-b650-tomahawk-wifi-atx-am5-motherboard-mag-b650-tomahawk-wifi</x:v>
      </x:c>
    </x:row>
    <x:row r="185">
      <x:c r="A185" s="33" t="str">
        <x:v>motherboard</x:v>
      </x:c>
      <x:c r="B185" s="34" t="str">
        <x:v>hf-motherboard-308938</x:v>
      </x:c>
      <x:c r="C185" s="34" t="str">
        <x:v>MSI B550M PRO-VDH WIFI</x:v>
      </x:c>
      <x:c r="D185" s="34" t="str">
        <x:v>MSI</x:v>
      </x:c>
      <x:c r="E185" s="82" t="n">
        <x:v>116.35</x:v>
      </x:c>
      <x:c r="F185" s="34" t="str">
        <x:v>USD</x:v>
      </x:c>
      <x:c r="G185" s="34" t="str">
        <x:v>reference</x:v>
      </x:c>
      <x:c r="H185" s="34" t="str">
        <x:v>2026-06-28</x:v>
      </x:c>
      <x:c r="I185" s="34" t="str">
        <x:v>socket=AM4; chipset=B550M; formFactor=Micro-ATX; memoryType=DDR5; maxMemoryGb=128; m2Slots=2; storageInterfaces=NVMe/SATA; cpuTiers=entry/mid/high</x:v>
      </x:c>
      <x:c r="J185" s="34" t="str">
        <x:v>AM4, B550M, Micro-ATX, DDR5, dataset</x:v>
      </x:c>
      <x:c r="K185" s="34" t="str">
        <x:v>Micro-ATX B550M motherboard for AM4 with 2 derived/declared M.2 slots.</x:v>
      </x:c>
      <x:c r="L185" s="34" t="str">
        <x:v>https://fr.pcpartpicker.com/product/PDsnTW/msi-b550m-pro-vdh-wifi-micro-atx-am4-motherboard-b550m-pro-vdh-wifi</x:v>
      </x:c>
      <x:c r="M185" s="35" t="str">
        <x:v>https://fr.pcpartpicker.com/product/PDsnTW/msi-b550m-pro-vdh-wifi-micro-atx-am4-motherboard-b550m-pro-vdh-wifi</x:v>
      </x:c>
    </x:row>
    <x:row r="186">
      <x:c r="A186" s="33" t="str">
        <x:v>motherboard</x:v>
      </x:c>
      <x:c r="B186" s="34" t="str">
        <x:v>hf-motherboard-302139</x:v>
      </x:c>
      <x:c r="C186" s="34" t="str">
        <x:v>MSI B550-A PRO</x:v>
      </x:c>
      <x:c r="D186" s="34" t="str">
        <x:v>MSI</x:v>
      </x:c>
      <x:c r="E186" s="82" t="n">
        <x:v>121.44</x:v>
      </x:c>
      <x:c r="F186" s="34" t="str">
        <x:v>USD</x:v>
      </x:c>
      <x:c r="G186" s="34" t="str">
        <x:v>reference</x:v>
      </x:c>
      <x:c r="H186" s="34" t="str">
        <x:v>2026-06-28</x:v>
      </x:c>
      <x:c r="I186" s="34" t="str">
        <x:v>socket=AM4; chipset=B550; formFactor=ATX; memoryType=DDR5; maxMemoryGb=128; m2Slots=2; storageInterfaces=NVMe/SATA; cpuTiers=entry/mid/high</x:v>
      </x:c>
      <x:c r="J186" s="34" t="str">
        <x:v>AM4, B550, ATX, DDR5, dataset</x:v>
      </x:c>
      <x:c r="K186" s="34" t="str">
        <x:v>ATX B550 motherboard for AM4 with 2 derived/declared M.2 slots.</x:v>
      </x:c>
      <x:c r="L186" s="34" t="str">
        <x:v>https://fr.pcpartpicker.com/product/7gxbt6/msi-b550-a-pro-atx-am4-motherboard-b550-a-pro</x:v>
      </x:c>
      <x:c r="M186" s="35" t="str">
        <x:v>https://fr.pcpartpicker.com/product/7gxbt6/msi-b550-a-pro-atx-am4-motherboard-b550-a-pro</x:v>
      </x:c>
    </x:row>
    <x:row r="187">
      <x:c r="A187" s="33" t="str">
        <x:v>motherboard</x:v>
      </x:c>
      <x:c r="B187" s="34" t="str">
        <x:v>hf-motherboard-302185</x:v>
      </x:c>
      <x:c r="C187" s="34" t="str">
        <x:v>Gigabyte B550I AORUS PRO AX</x:v>
      </x:c>
      <x:c r="D187" s="34" t="str">
        <x:v>Gigabyte</x:v>
      </x:c>
      <x:c r="E187" s="82" t="n">
        <x:v>161.03</x:v>
      </x:c>
      <x:c r="F187" s="34" t="str">
        <x:v>USD</x:v>
      </x:c>
      <x:c r="G187" s="34" t="str">
        <x:v>reference</x:v>
      </x:c>
      <x:c r="H187" s="34" t="str">
        <x:v>2026-06-28</x:v>
      </x:c>
      <x:c r="I187" s="34" t="str">
        <x:v>socket=AM4; chipset=B550I; formFactor=Mini-ITX; memoryType=DDR5; maxMemoryGb=64; m2Slots=2; storageInterfaces=NVMe/SATA; cpuTiers=entry/mid/high</x:v>
      </x:c>
      <x:c r="J187" s="34" t="str">
        <x:v>AM4, B550I, Mini-ITX, DDR5, dataset</x:v>
      </x:c>
      <x:c r="K187" s="34" t="str">
        <x:v>Mini-ITX B550I motherboard for AM4 with 2 derived/declared M.2 slots.</x:v>
      </x:c>
      <x:c r="L187" s="34" t="str">
        <x:v>https://fr.pcpartpicker.com/product/9pn8TW/gigabyte-b550i-aorus-pro-ax-mini-itx-am4-motherboard-b550i-aorus-pro-ax</x:v>
      </x:c>
      <x:c r="M187" s="35" t="str">
        <x:v>https://fr.pcpartpicker.com/product/9pn8TW/gigabyte-b550i-aorus-pro-ax-mini-itx-am4-motherboard-b550i-aorus-pro-ax</x:v>
      </x:c>
    </x:row>
    <x:row r="188">
      <x:c r="A188" s="33" t="str">
        <x:v>motherboard</x:v>
      </x:c>
      <x:c r="B188" s="34" t="str">
        <x:v>hf-motherboard-438636</x:v>
      </x:c>
      <x:c r="C188" s="34" t="str">
        <x:v>Gigabyte B650 AORUS ELITE AX</x:v>
      </x:c>
      <x:c r="D188" s="34" t="str">
        <x:v>Gigabyte</x:v>
      </x:c>
      <x:c r="E188" s="82" t="n">
        <x:v>203.04</x:v>
      </x:c>
      <x:c r="F188" s="34" t="str">
        <x:v>USD</x:v>
      </x:c>
      <x:c r="G188" s="34" t="str">
        <x:v>reference</x:v>
      </x:c>
      <x:c r="H188" s="34" t="str">
        <x:v>2026-06-28</x:v>
      </x:c>
      <x:c r="I188" s="34" t="str">
        <x:v>socket=AM5; chipset=B650; formFactor=ATX; memoryType=DDR5; maxMemoryGb=192; m2Slots=2; storageInterfaces=NVMe/SATA; cpuTiers=entry/mid/high</x:v>
      </x:c>
      <x:c r="J188" s="34" t="str">
        <x:v>AM5, B650, ATX, DDR5, dataset</x:v>
      </x:c>
      <x:c r="K188" s="34" t="str">
        <x:v>ATX B650 motherboard for AM5 with 2 derived/declared M.2 slots.</x:v>
      </x:c>
      <x:c r="L188" s="34" t="str">
        <x:v>https://fr.pcpartpicker.com/product/WBwypg/gigabyte-b650-aorus-elite-ax-atx-am5-motherboard-b650-aorus-elite-ax</x:v>
      </x:c>
      <x:c r="M188" s="35" t="str">
        <x:v>https://fr.pcpartpicker.com/product/WBwypg/gigabyte-b650-aorus-elite-ax-atx-am5-motherboard-b650-aorus-elite-ax</x:v>
      </x:c>
    </x:row>
    <x:row r="189">
      <x:c r="A189" s="33" t="str">
        <x:v>motherboard</x:v>
      </x:c>
      <x:c r="B189" s="34" t="str">
        <x:v>hf-motherboard-305834</x:v>
      </x:c>
      <x:c r="C189" s="34" t="str">
        <x:v>MSI MPG B550 GAMING PLUS</x:v>
      </x:c>
      <x:c r="D189" s="34" t="str">
        <x:v>MSI</x:v>
      </x:c>
      <x:c r="E189" s="82" t="n">
        <x:v>124.31</x:v>
      </x:c>
      <x:c r="F189" s="34" t="str">
        <x:v>USD</x:v>
      </x:c>
      <x:c r="G189" s="34" t="str">
        <x:v>reference</x:v>
      </x:c>
      <x:c r="H189" s="34" t="str">
        <x:v>2026-06-28</x:v>
      </x:c>
      <x:c r="I189" s="34" t="str">
        <x:v>socket=AM4; chipset=B550; formFactor=ATX; memoryType=DDR5; maxMemoryGb=128; m2Slots=2; storageInterfaces=NVMe/SATA; cpuTiers=entry/mid/high</x:v>
      </x:c>
      <x:c r="J189" s="34" t="str">
        <x:v>AM4, B550, ATX, DDR5, dataset</x:v>
      </x:c>
      <x:c r="K189" s="34" t="str">
        <x:v>ATX B550 motherboard for AM4 with 2 derived/declared M.2 slots.</x:v>
      </x:c>
      <x:c r="L189" s="34" t="str">
        <x:v>https://fr.pcpartpicker.com/product/yKVG3C/msi-mpg-b550-gaming-plus-atx-am4-motherboard-mpg-b550-gaming-plus</x:v>
      </x:c>
      <x:c r="M189" s="35" t="str">
        <x:v>https://fr.pcpartpicker.com/product/yKVG3C/msi-mpg-b550-gaming-plus-atx-am4-motherboard-mpg-b550-gaming-plus</x:v>
      </x:c>
    </x:row>
    <x:row r="190">
      <x:c r="A190" s="33" t="str">
        <x:v>motherboard</x:v>
      </x:c>
      <x:c r="B190" s="34" t="str">
        <x:v>hf-motherboard-441785</x:v>
      </x:c>
      <x:c r="C190" s="34" t="str">
        <x:v>Asus ROG STRIX B650E-I GAMING WIFI</x:v>
      </x:c>
      <x:c r="D190" s="34" t="str">
        <x:v>Asus</x:v>
      </x:c>
      <x:c r="E190" s="82" t="n">
        <x:v>261.72</x:v>
      </x:c>
      <x:c r="F190" s="34" t="str">
        <x:v>USD</x:v>
      </x:c>
      <x:c r="G190" s="34" t="str">
        <x:v>reference</x:v>
      </x:c>
      <x:c r="H190" s="34" t="str">
        <x:v>2026-06-28</x:v>
      </x:c>
      <x:c r="I190" s="34" t="str">
        <x:v>socket=AM5; chipset=B650E; formFactor=Mini-ITX; memoryType=DDR5; maxMemoryGb=96; m2Slots=2; storageInterfaces=NVMe/SATA; cpuTiers=entry/mid/high</x:v>
      </x:c>
      <x:c r="J190" s="34" t="str">
        <x:v>AM5, B650E, Mini-ITX, DDR5, dataset</x:v>
      </x:c>
      <x:c r="K190" s="34" t="str">
        <x:v>Mini-ITX B650E motherboard for AM5 with 2 derived/declared M.2 slots.</x:v>
      </x:c>
      <x:c r="L190" s="34" t="str">
        <x:v>https://fr.pcpartpicker.com/product/WQTp99/asus-rog-strix-b650e-i-gaming-wifi-mini-itx-am5-motherboard-rog-strix-b650e-i-gaming-wifi</x:v>
      </x:c>
      <x:c r="M190" s="35" t="str">
        <x:v>https://fr.pcpartpicker.com/product/WQTp99/asus-rog-strix-b650e-i-gaming-wifi-mini-itx-am5-motherboard-rog-strix-b650e-i-gaming-wifi</x:v>
      </x:c>
    </x:row>
    <x:row r="191">
      <x:c r="A191" s="33" t="str">
        <x:v>motherboard</x:v>
      </x:c>
      <x:c r="B191" s="34" t="str">
        <x:v>hf-motherboard-319746</x:v>
      </x:c>
      <x:c r="C191" s="34" t="str">
        <x:v>Asus ROG STRIX B550-A GAMING</x:v>
      </x:c>
      <x:c r="D191" s="34" t="str">
        <x:v>Asus</x:v>
      </x:c>
      <x:c r="E191" s="82" t="n">
        <x:v>179.91</x:v>
      </x:c>
      <x:c r="F191" s="34" t="str">
        <x:v>USD</x:v>
      </x:c>
      <x:c r="G191" s="34" t="str">
        <x:v>reference</x:v>
      </x:c>
      <x:c r="H191" s="34" t="str">
        <x:v>2026-06-28</x:v>
      </x:c>
      <x:c r="I191" s="34" t="str">
        <x:v>socket=AM4; chipset=B550; formFactor=ATX; memoryType=DDR5; maxMemoryGb=128; m2Slots=2; storageInterfaces=NVMe/SATA; cpuTiers=entry/mid/high</x:v>
      </x:c>
      <x:c r="J191" s="34" t="str">
        <x:v>AM4, B550, ATX, DDR5, dataset</x:v>
      </x:c>
      <x:c r="K191" s="34" t="str">
        <x:v>ATX B550 motherboard for AM4 with 2 derived/declared M.2 slots.</x:v>
      </x:c>
      <x:c r="L191" s="34" t="str">
        <x:v>https://fr.pcpartpicker.com/product/y96qqs/asus-rog-strix-b550-a-gaming-atx-am4-motherboard-rog-strix-b550-a-gaming</x:v>
      </x:c>
      <x:c r="M191" s="35" t="str">
        <x:v>https://fr.pcpartpicker.com/product/y96qqs/asus-rog-strix-b550-a-gaming-atx-am4-motherboard-rog-strix-b550-a-gaming</x:v>
      </x:c>
    </x:row>
    <x:row r="192">
      <x:c r="A192" s="33" t="str">
        <x:v>motherboard</x:v>
      </x:c>
      <x:c r="B192" s="34" t="str">
        <x:v>hf-motherboard-302312</x:v>
      </x:c>
      <x:c r="C192" s="34" t="str">
        <x:v>Asus ROG STRIX B550-F GAMING</x:v>
      </x:c>
      <x:c r="D192" s="34" t="str">
        <x:v>Asus</x:v>
      </x:c>
      <x:c r="E192" s="82" t="n">
        <x:v>154.8</x:v>
      </x:c>
      <x:c r="F192" s="34" t="str">
        <x:v>USD</x:v>
      </x:c>
      <x:c r="G192" s="34" t="str">
        <x:v>reference</x:v>
      </x:c>
      <x:c r="H192" s="34" t="str">
        <x:v>2026-06-28</x:v>
      </x:c>
      <x:c r="I192" s="34" t="str">
        <x:v>socket=AM4; chipset=B550; formFactor=ATX; memoryType=DDR5; maxMemoryGb=128; m2Slots=2; storageInterfaces=NVMe/SATA; cpuTiers=entry/mid/high</x:v>
      </x:c>
      <x:c r="J192" s="34" t="str">
        <x:v>AM4, B550, ATX, DDR5, dataset</x:v>
      </x:c>
      <x:c r="K192" s="34" t="str">
        <x:v>ATX B550 motherboard for AM4 with 2 derived/declared M.2 slots.</x:v>
      </x:c>
      <x:c r="L192" s="34" t="str">
        <x:v>https://fr.pcpartpicker.com/product/JXBhP6/asus-rog-strix-b550-f-gaming-atx-am4-motherboard-rog-strix-b550-f-gaming</x:v>
      </x:c>
      <x:c r="M192" s="35" t="str">
        <x:v>https://fr.pcpartpicker.com/product/JXBhP6/asus-rog-strix-b550-f-gaming-atx-am4-motherboard-rog-strix-b550-f-gaming</x:v>
      </x:c>
    </x:row>
    <x:row r="193">
      <x:c r="A193" s="33" t="str">
        <x:v>motherboard</x:v>
      </x:c>
      <x:c r="B193" s="34" t="str">
        <x:v>hf-motherboard-505393</x:v>
      </x:c>
      <x:c r="C193" s="34" t="str">
        <x:v>Gigabyte B650 EAGLE AX</x:v>
      </x:c>
      <x:c r="D193" s="34" t="str">
        <x:v>Gigabyte</x:v>
      </x:c>
      <x:c r="E193" s="82" t="n">
        <x:v>153.56</x:v>
      </x:c>
      <x:c r="F193" s="34" t="str">
        <x:v>USD</x:v>
      </x:c>
      <x:c r="G193" s="34" t="str">
        <x:v>reference</x:v>
      </x:c>
      <x:c r="H193" s="34" t="str">
        <x:v>2026-06-28</x:v>
      </x:c>
      <x:c r="I193" s="34" t="str">
        <x:v>socket=AM5; chipset=B650; formFactor=ATX; memoryType=DDR5; maxMemoryGb=192; m2Slots=2; storageInterfaces=NVMe/SATA; cpuTiers=entry/mid/high</x:v>
      </x:c>
      <x:c r="J193" s="34" t="str">
        <x:v>AM5, B650, ATX, DDR5, dataset</x:v>
      </x:c>
      <x:c r="K193" s="34" t="str">
        <x:v>ATX B650 motherboard for AM5 with 2 derived/declared M.2 slots.</x:v>
      </x:c>
      <x:c r="L193" s="34" t="str">
        <x:v>https://fr.pcpartpicker.com/product/CvcgXL/gigabyte-b650-eagle-ax-atx-am5-motherboard-b650-eagle-ax</x:v>
      </x:c>
      <x:c r="M193" s="35" t="str">
        <x:v>https://fr.pcpartpicker.com/product/CvcgXL/gigabyte-b650-eagle-ax-atx-am5-motherboard-b650-eagle-ax</x:v>
      </x:c>
    </x:row>
    <x:row r="194">
      <x:c r="A194" s="33" t="str">
        <x:v>motherboard</x:v>
      </x:c>
      <x:c r="B194" s="34" t="str">
        <x:v>hf-motherboard-505394</x:v>
      </x:c>
      <x:c r="C194" s="34" t="str">
        <x:v>Gigabyte B650 GAMING X AX V2</x:v>
      </x:c>
      <x:c r="D194" s="34" t="str">
        <x:v>Gigabyte</x:v>
      </x:c>
      <x:c r="E194" s="82" t="n">
        <x:v>147.07</x:v>
      </x:c>
      <x:c r="F194" s="34" t="str">
        <x:v>USD</x:v>
      </x:c>
      <x:c r="G194" s="34" t="str">
        <x:v>reference</x:v>
      </x:c>
      <x:c r="H194" s="34" t="str">
        <x:v>2026-06-28</x:v>
      </x:c>
      <x:c r="I194" s="34" t="str">
        <x:v>socket=AM5; chipset=B650; formFactor=ATX; memoryType=DDR5; maxMemoryGb=192; m2Slots=2; storageInterfaces=NVMe/SATA; cpuTiers=entry/mid/high</x:v>
      </x:c>
      <x:c r="J194" s="34" t="str">
        <x:v>AM5, B650, ATX, DDR5, dataset</x:v>
      </x:c>
      <x:c r="K194" s="34" t="str">
        <x:v>ATX B650 motherboard for AM5 with 2 derived/declared M.2 slots.</x:v>
      </x:c>
      <x:c r="L194" s="34" t="str">
        <x:v>https://fr.pcpartpicker.com/product/cPNYcf/gigabyte-b650-gaming-x-ax-v2-atx-am5-motherboard-b650-gaming-x-ax-v2</x:v>
      </x:c>
      <x:c r="M194" s="35" t="str">
        <x:v>https://fr.pcpartpicker.com/product/cPNYcf/gigabyte-b650-gaming-x-ax-v2-atx-am5-motherboard-b650-gaming-x-ax-v2</x:v>
      </x:c>
    </x:row>
    <x:row r="195">
      <x:c r="A195" s="33" t="str">
        <x:v>motherboard</x:v>
      </x:c>
      <x:c r="B195" s="34" t="str">
        <x:v>hf-motherboard-438555</x:v>
      </x:c>
      <x:c r="C195" s="34" t="str">
        <x:v>Asus ROG STRIX B650-A GAMING WIFI</x:v>
      </x:c>
      <x:c r="D195" s="34" t="str">
        <x:v>Asus</x:v>
      </x:c>
      <x:c r="E195" s="82" t="n">
        <x:v>193.94</x:v>
      </x:c>
      <x:c r="F195" s="34" t="str">
        <x:v>USD</x:v>
      </x:c>
      <x:c r="G195" s="34" t="str">
        <x:v>reference</x:v>
      </x:c>
      <x:c r="H195" s="34" t="str">
        <x:v>2026-06-28</x:v>
      </x:c>
      <x:c r="I195" s="34" t="str">
        <x:v>socket=AM5; chipset=B650; formFactor=ATX; memoryType=DDR5; maxMemoryGb=192; m2Slots=2; storageInterfaces=NVMe/SATA; cpuTiers=entry/mid/high</x:v>
      </x:c>
      <x:c r="J195" s="34" t="str">
        <x:v>AM5, B650, ATX, DDR5, dataset</x:v>
      </x:c>
      <x:c r="K195" s="34" t="str">
        <x:v>ATX B650 motherboard for AM5 with 2 derived/declared M.2 slots.</x:v>
      </x:c>
      <x:c r="L195" s="34" t="str">
        <x:v>https://fr.pcpartpicker.com/product/Gjt9TW/asus-rog-strix-b650-a-gaming-wifi-atx-am5-motherboard-rog-strix-b650-a-gaming-wifi</x:v>
      </x:c>
      <x:c r="M195" s="35" t="str">
        <x:v>https://fr.pcpartpicker.com/product/Gjt9TW/asus-rog-strix-b650-a-gaming-wifi-atx-am5-motherboard-rog-strix-b650-a-gaming-wifi</x:v>
      </x:c>
    </x:row>
    <x:row r="196">
      <x:c r="A196" s="33" t="str">
        <x:v>motherboard</x:v>
      </x:c>
      <x:c r="B196" s="34" t="str">
        <x:v>hf-motherboard-438561</x:v>
      </x:c>
      <x:c r="C196" s="34" t="str">
        <x:v>Asus ROG STRIX B650E-F GAMING WIFI</x:v>
      </x:c>
      <x:c r="D196" s="34" t="str">
        <x:v>Asus</x:v>
      </x:c>
      <x:c r="E196" s="82" t="n">
        <x:v>233.37</x:v>
      </x:c>
      <x:c r="F196" s="34" t="str">
        <x:v>USD</x:v>
      </x:c>
      <x:c r="G196" s="34" t="str">
        <x:v>reference</x:v>
      </x:c>
      <x:c r="H196" s="34" t="str">
        <x:v>2026-06-28</x:v>
      </x:c>
      <x:c r="I196" s="34" t="str">
        <x:v>socket=AM5; chipset=B650E; formFactor=ATX; memoryType=DDR5; maxMemoryGb=192; m2Slots=2; storageInterfaces=NVMe/SATA; cpuTiers=entry/mid/high</x:v>
      </x:c>
      <x:c r="J196" s="34" t="str">
        <x:v>AM5, B650E, ATX, DDR5, dataset</x:v>
      </x:c>
      <x:c r="K196" s="34" t="str">
        <x:v>ATX B650E motherboard for AM5 with 2 derived/declared M.2 slots.</x:v>
      </x:c>
      <x:c r="L196" s="34" t="str">
        <x:v>https://fr.pcpartpicker.com/product/s8nypg/asus-rog-strix-b650e-f-gaming-wifi-atx-am5-motherboard-rog-strix-b650e-f-gaming-wifi</x:v>
      </x:c>
      <x:c r="M196" s="35" t="str">
        <x:v>https://fr.pcpartpicker.com/product/s8nypg/asus-rog-strix-b650e-f-gaming-wifi-atx-am5-motherboard-rog-strix-b650e-f-gaming-wifi</x:v>
      </x:c>
    </x:row>
    <x:row r="197">
      <x:c r="A197" s="33" t="str">
        <x:v>motherboard</x:v>
      </x:c>
      <x:c r="B197" s="34" t="str">
        <x:v>hf-motherboard-432273</x:v>
      </x:c>
      <x:c r="C197" s="34" t="str">
        <x:v>MSI PRO B550M-VC WIFI</x:v>
      </x:c>
      <x:c r="D197" s="34" t="str">
        <x:v>MSI</x:v>
      </x:c>
      <x:c r="E197" s="82" t="n">
        <x:v>218.9</x:v>
      </x:c>
      <x:c r="F197" s="34" t="str">
        <x:v>USD</x:v>
      </x:c>
      <x:c r="G197" s="34" t="str">
        <x:v>reference</x:v>
      </x:c>
      <x:c r="H197" s="34" t="str">
        <x:v>2026-06-28</x:v>
      </x:c>
      <x:c r="I197" s="34" t="str">
        <x:v>socket=AM4; chipset=B550M; formFactor=Micro-ATX; memoryType=DDR5; maxMemoryGb=128; m2Slots=2; storageInterfaces=NVMe/SATA; cpuTiers=entry/mid/high</x:v>
      </x:c>
      <x:c r="J197" s="34" t="str">
        <x:v>AM4, B550M, Micro-ATX, DDR5, dataset</x:v>
      </x:c>
      <x:c r="K197" s="34" t="str">
        <x:v>Micro-ATX B550M motherboard for AM4 with 2 derived/declared M.2 slots.</x:v>
      </x:c>
      <x:c r="L197" s="34" t="str">
        <x:v>https://fr.pcpartpicker.com/product/tr4Ycf/msi-pro-b550m-vc-wifi-micro-atx-am4-motherboard-pro-b550m-vc-wifi</x:v>
      </x:c>
      <x:c r="M197" s="35" t="str">
        <x:v>https://fr.pcpartpicker.com/product/tr4Ycf/msi-pro-b550m-vc-wifi-micro-atx-am4-motherboard-pro-b550m-vc-wifi</x:v>
      </x:c>
    </x:row>
    <x:row r="198">
      <x:c r="A198" s="33" t="str">
        <x:v>motherboard</x:v>
      </x:c>
      <x:c r="B198" s="34" t="str">
        <x:v>hf-motherboard-253199</x:v>
      </x:c>
      <x:c r="C198" s="34" t="str">
        <x:v>Gigabyte X570 AORUS ELITE WIFI</x:v>
      </x:c>
      <x:c r="D198" s="34" t="str">
        <x:v>Gigabyte</x:v>
      </x:c>
      <x:c r="E198" s="82" t="n">
        <x:v>479.69</x:v>
      </x:c>
      <x:c r="F198" s="34" t="str">
        <x:v>USD</x:v>
      </x:c>
      <x:c r="G198" s="34" t="str">
        <x:v>reference</x:v>
      </x:c>
      <x:c r="H198" s="34" t="str">
        <x:v>2026-06-28</x:v>
      </x:c>
      <x:c r="I198" s="34" t="str">
        <x:v>socket=AM4; chipset=X570; formFactor=ATX; memoryType=DDR5; maxMemoryGb=128; m2Slots=2; storageInterfaces=NVMe/SATA; cpuTiers=mid/high/enthusiast</x:v>
      </x:c>
      <x:c r="J198" s="34" t="str">
        <x:v>AM4, X570, ATX, DDR5, dataset</x:v>
      </x:c>
      <x:c r="K198" s="34" t="str">
        <x:v>ATX X570 motherboard for AM4 with 2 derived/declared M.2 slots.</x:v>
      </x:c>
      <x:c r="L198" s="34" t="str">
        <x:v>https://fr.pcpartpicker.com/product/XV6qqs/gigabyte-x570-aorus-elite-wifi-atx-am4-motherboard-x570-aorus-elite-wifi</x:v>
      </x:c>
      <x:c r="M198" s="35" t="str">
        <x:v>https://fr.pcpartpicker.com/product/XV6qqs/gigabyte-x570-aorus-elite-wifi-atx-am4-motherboard-x570-aorus-elite-wifi</x:v>
      </x:c>
    </x:row>
    <x:row r="199">
      <x:c r="A199" s="33" t="str">
        <x:v>motherboard</x:v>
      </x:c>
      <x:c r="B199" s="34" t="str">
        <x:v>hf-motherboard-248249</x:v>
      </x:c>
      <x:c r="C199" s="34" t="str">
        <x:v>Gigabyte X570 AORUS ELITE</x:v>
      </x:c>
      <x:c r="D199" s="34" t="str">
        <x:v>Gigabyte</x:v>
      </x:c>
      <x:c r="E199" s="82" t="n">
        <x:v>301.29</x:v>
      </x:c>
      <x:c r="F199" s="34" t="str">
        <x:v>USD</x:v>
      </x:c>
      <x:c r="G199" s="34" t="str">
        <x:v>reference</x:v>
      </x:c>
      <x:c r="H199" s="34" t="str">
        <x:v>2026-06-28</x:v>
      </x:c>
      <x:c r="I199" s="34" t="str">
        <x:v>socket=AM4; chipset=X570; formFactor=ATX; memoryType=DDR5; maxMemoryGb=128; m2Slots=2; storageInterfaces=NVMe/SATA; cpuTiers=mid/high/enthusiast</x:v>
      </x:c>
      <x:c r="J199" s="34" t="str">
        <x:v>AM4, X570, ATX, DDR5, dataset</x:v>
      </x:c>
      <x:c r="K199" s="34" t="str">
        <x:v>ATX X570 motherboard for AM4 with 2 derived/declared M.2 slots.</x:v>
      </x:c>
      <x:c r="L199" s="34" t="str">
        <x:v>https://fr.pcpartpicker.com/product/nHxbt6/gigabyte-x570-aorus-elite-atx-am4-motherboard-x570-aorus-elite</x:v>
      </x:c>
      <x:c r="M199" s="35" t="str">
        <x:v>https://fr.pcpartpicker.com/product/nHxbt6/gigabyte-x570-aorus-elite-atx-am4-motherboard-x570-aorus-elite</x:v>
      </x:c>
    </x:row>
    <x:row r="200">
      <x:c r="A200" s="33" t="str">
        <x:v>motherboard</x:v>
      </x:c>
      <x:c r="B200" s="34" t="str">
        <x:v>hf-motherboard-493737</x:v>
      </x:c>
      <x:c r="C200" s="34" t="str">
        <x:v>Gigabyte B650 AORUS ELITE AX ICE</x:v>
      </x:c>
      <x:c r="D200" s="34" t="str">
        <x:v>Gigabyte</x:v>
      </x:c>
      <x:c r="E200" s="82" t="n">
        <x:v>185.82</x:v>
      </x:c>
      <x:c r="F200" s="34" t="str">
        <x:v>USD</x:v>
      </x:c>
      <x:c r="G200" s="34" t="str">
        <x:v>reference</x:v>
      </x:c>
      <x:c r="H200" s="34" t="str">
        <x:v>2026-06-28</x:v>
      </x:c>
      <x:c r="I200" s="34" t="str">
        <x:v>socket=AM5; chipset=B650; formFactor=ATX; memoryType=DDR5; maxMemoryGb=192; m2Slots=2; storageInterfaces=NVMe/SATA; cpuTiers=entry/mid/high</x:v>
      </x:c>
      <x:c r="J200" s="34" t="str">
        <x:v>AM5, B650, ATX, DDR5, dataset</x:v>
      </x:c>
      <x:c r="K200" s="34" t="str">
        <x:v>ATX B650 motherboard for AM5 with 2 derived/declared M.2 slots.</x:v>
      </x:c>
      <x:c r="L200" s="34" t="str">
        <x:v>https://fr.pcpartpicker.com/product/CwjRsY/gigabyte-b650-aorus-elite-ax-ice-atx-am5-motherboard-b650-aorus-elite-ax-ice</x:v>
      </x:c>
      <x:c r="M200" s="35" t="str">
        <x:v>https://fr.pcpartpicker.com/product/CwjRsY/gigabyte-b650-aorus-elite-ax-ice-atx-am5-motherboard-b650-aorus-elite-ax-ice</x:v>
      </x:c>
    </x:row>
    <x:row r="201">
      <x:c r="A201" s="33" t="str">
        <x:v>motherboard</x:v>
      </x:c>
      <x:c r="B201" s="34" t="str">
        <x:v>hf-motherboard-468735</x:v>
      </x:c>
      <x:c r="C201" s="34" t="str">
        <x:v>MSI B650 GAMING PLUS WIFI</x:v>
      </x:c>
      <x:c r="D201" s="34" t="str">
        <x:v>MSI</x:v>
      </x:c>
      <x:c r="E201" s="82" t="n">
        <x:v>185.69</x:v>
      </x:c>
      <x:c r="F201" s="34" t="str">
        <x:v>USD</x:v>
      </x:c>
      <x:c r="G201" s="34" t="str">
        <x:v>reference</x:v>
      </x:c>
      <x:c r="H201" s="34" t="str">
        <x:v>2026-06-28</x:v>
      </x:c>
      <x:c r="I201" s="34" t="str">
        <x:v>socket=AM5; chipset=B650; formFactor=ATX; memoryType=DDR5; maxMemoryGb=192; m2Slots=2; storageInterfaces=NVMe/SATA; cpuTiers=entry/mid/high</x:v>
      </x:c>
      <x:c r="J201" s="34" t="str">
        <x:v>AM5, B650, ATX, DDR5, dataset</x:v>
      </x:c>
      <x:c r="K201" s="34" t="str">
        <x:v>ATX B650 motherboard for AM5 with 2 derived/declared M.2 slots.</x:v>
      </x:c>
      <x:c r="L201" s="34" t="str">
        <x:v>https://fr.pcpartpicker.com/product/szfxFT/msi-b650-gaming-plus-wifi-atx-am5-motherboard-b650-gaming-plus-wifi</x:v>
      </x:c>
      <x:c r="M201" s="35" t="str">
        <x:v>https://fr.pcpartpicker.com/product/szfxFT/msi-b650-gaming-plus-wifi-atx-am5-motherboard-b650-gaming-plus-wifi</x:v>
      </x:c>
    </x:row>
    <x:row r="202">
      <x:c r="A202" s="33" t="str">
        <x:v>motherboard</x:v>
      </x:c>
      <x:c r="B202" s="34" t="str">
        <x:v>hf-motherboard-302159</x:v>
      </x:c>
      <x:c r="C202" s="34" t="str">
        <x:v>ASRock B550M Pro4</x:v>
      </x:c>
      <x:c r="D202" s="34" t="str">
        <x:v>ASRock</x:v>
      </x:c>
      <x:c r="E202" s="82" t="n">
        <x:v>102.38</x:v>
      </x:c>
      <x:c r="F202" s="34" t="str">
        <x:v>USD</x:v>
      </x:c>
      <x:c r="G202" s="34" t="str">
        <x:v>reference</x:v>
      </x:c>
      <x:c r="H202" s="34" t="str">
        <x:v>2026-06-28</x:v>
      </x:c>
      <x:c r="I202" s="34" t="str">
        <x:v>socket=AM4; chipset=B550M; formFactor=Micro-ATX; memoryType=DDR5; maxMemoryGb=128; m2Slots=2; storageInterfaces=NVMe/SATA; cpuTiers=entry/mid/high</x:v>
      </x:c>
      <x:c r="J202" s="34" t="str">
        <x:v>AM4, B550M, Micro-ATX, DDR5, dataset</x:v>
      </x:c>
      <x:c r="K202" s="34" t="str">
        <x:v>Micro-ATX B550M motherboard for AM4 with 2 derived/declared M.2 slots.</x:v>
      </x:c>
      <x:c r="L202" s="34" t="str">
        <x:v>https://fr.pcpartpicker.com/product/NT7p99/asrock-b550m-pro4-micro-atx-am4-motherboard-b550m-pro4</x:v>
      </x:c>
      <x:c r="M202" s="35" t="str">
        <x:v>https://fr.pcpartpicker.com/product/NT7p99/asrock-b550m-pro4-micro-atx-am4-motherboard-b550m-pro4</x:v>
      </x:c>
    </x:row>
    <x:row r="203">
      <x:c r="A203" s="33" t="str">
        <x:v>motherboard</x:v>
      </x:c>
      <x:c r="B203" s="34" t="str">
        <x:v>hf-motherboard-438654</x:v>
      </x:c>
      <x:c r="C203" s="34" t="str">
        <x:v>MSI PRO B650M-A WIFI</x:v>
      </x:c>
      <x:c r="D203" s="34" t="str">
        <x:v>MSI</x:v>
      </x:c>
      <x:c r="E203" s="82" t="n">
        <x:v>216.61</x:v>
      </x:c>
      <x:c r="F203" s="34" t="str">
        <x:v>USD</x:v>
      </x:c>
      <x:c r="G203" s="34" t="str">
        <x:v>reference</x:v>
      </x:c>
      <x:c r="H203" s="34" t="str">
        <x:v>2026-06-28</x:v>
      </x:c>
      <x:c r="I203" s="34" t="str">
        <x:v>socket=AM5; chipset=B650M; formFactor=Micro-ATX; memoryType=DDR5; maxMemoryGb=192; m2Slots=2; storageInterfaces=NVMe/SATA; cpuTiers=entry/mid/high</x:v>
      </x:c>
      <x:c r="J203" s="34" t="str">
        <x:v>AM5, B650M, Micro-ATX, DDR5, dataset</x:v>
      </x:c>
      <x:c r="K203" s="34" t="str">
        <x:v>Micro-ATX B650M motherboard for AM5 with 2 derived/declared M.2 slots.</x:v>
      </x:c>
      <x:c r="L203" s="34" t="str">
        <x:v>https://fr.pcpartpicker.com/product/cRQcCJ/msi-pro-b650m-a-wifi-micro-atx-am5-motherboard-pro-b650m-a-wifi</x:v>
      </x:c>
      <x:c r="M203" s="35" t="str">
        <x:v>https://fr.pcpartpicker.com/product/cRQcCJ/msi-pro-b650m-a-wifi-micro-atx-am5-motherboard-pro-b650m-a-wifi</x:v>
      </x:c>
    </x:row>
    <x:row r="204">
      <x:c r="A204" s="33" t="str">
        <x:v>motherboard</x:v>
      </x:c>
      <x:c r="B204" s="34" t="str">
        <x:v>hf-motherboard-302161</x:v>
      </x:c>
      <x:c r="C204" s="34" t="str">
        <x:v>ASRock B550M-ITX/ac</x:v>
      </x:c>
      <x:c r="D204" s="34" t="str">
        <x:v>ASRock</x:v>
      </x:c>
      <x:c r="E204" s="82" t="n">
        <x:v>138.15</x:v>
      </x:c>
      <x:c r="F204" s="34" t="str">
        <x:v>USD</x:v>
      </x:c>
      <x:c r="G204" s="34" t="str">
        <x:v>reference</x:v>
      </x:c>
      <x:c r="H204" s="34" t="str">
        <x:v>2026-06-28</x:v>
      </x:c>
      <x:c r="I204" s="34" t="str">
        <x:v>socket=AM4; chipset=B550M; formFactor=Mini-ITX; memoryType=DDR5; maxMemoryGb=64; m2Slots=2; storageInterfaces=NVMe/SATA; cpuTiers=entry/mid/high</x:v>
      </x:c>
      <x:c r="J204" s="34" t="str">
        <x:v>AM4, B550M, Mini-ITX, DDR5, dataset</x:v>
      </x:c>
      <x:c r="K204" s="34" t="str">
        <x:v>Mini-ITX B550M motherboard for AM4 with 2 derived/declared M.2 slots.</x:v>
      </x:c>
      <x:c r="L204" s="34" t="str">
        <x:v>https://fr.pcpartpicker.com/product/G6VG3C/asrock-b550m-itxac-mini-itx-am4-motherboard-b550m-itxac</x:v>
      </x:c>
      <x:c r="M204" s="35" t="str">
        <x:v>https://fr.pcpartpicker.com/product/G6VG3C/asrock-b550m-itxac-mini-itx-am4-motherboard-b550m-itxac</x:v>
      </x:c>
    </x:row>
    <x:row r="205">
      <x:c r="A205" s="33" t="str">
        <x:v>motherboard</x:v>
      </x:c>
      <x:c r="B205" s="34" t="str">
        <x:v>hf-motherboard-430413</x:v>
      </x:c>
      <x:c r="C205" s="34" t="str">
        <x:v>Asus PRIME B550M-A WIFI II</x:v>
      </x:c>
      <x:c r="D205" s="34" t="str">
        <x:v>Asus</x:v>
      </x:c>
      <x:c r="E205" s="82" t="n">
        <x:v>107.31</x:v>
      </x:c>
      <x:c r="F205" s="34" t="str">
        <x:v>USD</x:v>
      </x:c>
      <x:c r="G205" s="34" t="str">
        <x:v>reference</x:v>
      </x:c>
      <x:c r="H205" s="34" t="str">
        <x:v>2026-06-28</x:v>
      </x:c>
      <x:c r="I205" s="34" t="str">
        <x:v>socket=AM4; chipset=B550M; formFactor=Micro-ATX; memoryType=DDR5; maxMemoryGb=128; m2Slots=2; storageInterfaces=NVMe/SATA; cpuTiers=entry/mid/high</x:v>
      </x:c>
      <x:c r="J205" s="34" t="str">
        <x:v>AM4, B550M, Micro-ATX, DDR5, dataset</x:v>
      </x:c>
      <x:c r="K205" s="34" t="str">
        <x:v>Micro-ATX B550M motherboard for AM4 with 2 derived/declared M.2 slots.</x:v>
      </x:c>
      <x:c r="L205" s="34" t="str">
        <x:v>https://fr.pcpartpicker.com/product/jQrRsY/asus-prime-b550m-a-wifi-ii-micro-atx-am4-motherboard-prime-b550m-a-wifi-ii</x:v>
      </x:c>
      <x:c r="M205" s="35" t="str">
        <x:v>https://fr.pcpartpicker.com/product/jQrRsY/asus-prime-b550m-a-wifi-ii-micro-atx-am4-motherboard-prime-b550m-a-wifi-ii</x:v>
      </x:c>
    </x:row>
    <x:row r="206">
      <x:c r="A206" s="33" t="str">
        <x:v>motherboard</x:v>
      </x:c>
      <x:c r="B206" s="34" t="str">
        <x:v>hf-motherboard-438564</x:v>
      </x:c>
      <x:c r="C206" s="34" t="str">
        <x:v>Asus TUF GAMING B650-PLUS WIFI</x:v>
      </x:c>
      <x:c r="D206" s="34" t="str">
        <x:v>Asus</x:v>
      </x:c>
      <x:c r="E206" s="82" t="n">
        <x:v>158.18</x:v>
      </x:c>
      <x:c r="F206" s="34" t="str">
        <x:v>USD</x:v>
      </x:c>
      <x:c r="G206" s="34" t="str">
        <x:v>reference</x:v>
      </x:c>
      <x:c r="H206" s="34" t="str">
        <x:v>2026-06-28</x:v>
      </x:c>
      <x:c r="I206" s="34" t="str">
        <x:v>socket=AM5; chipset=B650; formFactor=ATX; memoryType=DDR5; maxMemoryGb=128; m2Slots=2; storageInterfaces=NVMe/SATA; cpuTiers=entry/mid/high</x:v>
      </x:c>
      <x:c r="J206" s="34" t="str">
        <x:v>AM5, B650, ATX, DDR5, dataset</x:v>
      </x:c>
      <x:c r="K206" s="34" t="str">
        <x:v>ATX B650 motherboard for AM5 with 2 derived/declared M.2 slots.</x:v>
      </x:c>
      <x:c r="L206" s="34" t="str">
        <x:v>https://fr.pcpartpicker.com/product/Pz2WGX/asus-tuf-gaming-b650-plus-wifi-atx-am5-motherboard-tuf-gaming-b650-plus-wifi</x:v>
      </x:c>
      <x:c r="M206" s="35" t="str">
        <x:v>https://fr.pcpartpicker.com/product/Pz2WGX/asus-tuf-gaming-b650-plus-wifi-atx-am5-motherboard-tuf-gaming-b650-plus-wifi</x:v>
      </x:c>
    </x:row>
    <x:row r="207">
      <x:c r="A207" s="33" t="str">
        <x:v>motherboard</x:v>
      </x:c>
      <x:c r="B207" s="34" t="str">
        <x:v>hf-motherboard-199926</x:v>
      </x:c>
      <x:c r="C207" s="34" t="str">
        <x:v>Asus ROG MAXIMUS XI HERO (WI-FI)</x:v>
      </x:c>
      <x:c r="D207" s="34" t="str">
        <x:v>Asus</x:v>
      </x:c>
      <x:c r="E207" s="82" t="n">
        <x:v>454.9</x:v>
      </x:c>
      <x:c r="F207" s="34" t="str">
        <x:v>USD</x:v>
      </x:c>
      <x:c r="G207" s="34" t="str">
        <x:v>reference</x:v>
      </x:c>
      <x:c r="H207" s="34" t="str">
        <x:v>2026-06-28</x:v>
      </x:c>
      <x:c r="I207" s="34" t="str">
        <x:v>socket=LGA1151; chipset=Unknown; formFactor=ATX; memoryType=DDR5; maxMemoryGb=128; m2Slots=2; storageInterfaces=NVMe/SATA; cpuTiers=entry/mid/high</x:v>
      </x:c>
      <x:c r="J207" s="34" t="str">
        <x:v>LGA1151, Unknown, ATX, DDR5, dataset</x:v>
      </x:c>
      <x:c r="K207" s="34" t="str">
        <x:v>ATX Unknown motherboard for LGA1151 with 2 derived/declared M.2 slots.</x:v>
      </x:c>
      <x:c r="L207" s="34" t="str">
        <x:v>https://fr.pcpartpicker.com/product/zvQG3C/asus-rog-maximus-xi-hero-wi-fi-atx-lga1151-motherboard-rog-maximus-xi-hero-wi-fi</x:v>
      </x:c>
      <x:c r="M207" s="35" t="str">
        <x:v>https://fr.pcpartpicker.com/product/zvQG3C/asus-rog-maximus-xi-hero-wi-fi-atx-lga1151-motherboard-rog-maximus-xi-hero-wi-fi</x:v>
      </x:c>
    </x:row>
    <x:row r="208">
      <x:c r="A208" s="33" t="str">
        <x:v>motherboard</x:v>
      </x:c>
      <x:c r="B208" s="34" t="str">
        <x:v>hf-motherboard-446061</x:v>
      </x:c>
      <x:c r="C208" s="34" t="str">
        <x:v>Gigabyte B650I AORUS ULTRA</x:v>
      </x:c>
      <x:c r="D208" s="34" t="str">
        <x:v>Gigabyte</x:v>
      </x:c>
      <x:c r="E208" s="82" t="n">
        <x:v>270.26</x:v>
      </x:c>
      <x:c r="F208" s="34" t="str">
        <x:v>USD</x:v>
      </x:c>
      <x:c r="G208" s="34" t="str">
        <x:v>reference</x:v>
      </x:c>
      <x:c r="H208" s="34" t="str">
        <x:v>2026-06-28</x:v>
      </x:c>
      <x:c r="I208" s="34" t="str">
        <x:v>socket=AM5; chipset=B650I; formFactor=Mini-ITX; memoryType=DDR5; maxMemoryGb=96; m2Slots=2; storageInterfaces=NVMe/SATA; cpuTiers=entry/mid/high</x:v>
      </x:c>
      <x:c r="J208" s="34" t="str">
        <x:v>AM5, B650I, Mini-ITX, DDR5, dataset</x:v>
      </x:c>
      <x:c r="K208" s="34" t="str">
        <x:v>Mini-ITX B650I motherboard for AM5 with 2 derived/declared M.2 slots.</x:v>
      </x:c>
      <x:c r="L208" s="34" t="str">
        <x:v>https://fr.pcpartpicker.com/product/bYytt6/gigabyte-b650i-aorus-ultra-mini-itx-am5-motherboard-b650i-aorus-ultra</x:v>
      </x:c>
      <x:c r="M208" s="35" t="str">
        <x:v>https://fr.pcpartpicker.com/product/bYytt6/gigabyte-b650i-aorus-ultra-mini-itx-am5-motherboard-b650i-aorus-ultra</x:v>
      </x:c>
    </x:row>
    <x:row r="209">
      <x:c r="A209" s="33" t="str">
        <x:v>motherboard</x:v>
      </x:c>
      <x:c r="B209" s="34" t="str">
        <x:v>hf-motherboard-413740</x:v>
      </x:c>
      <x:c r="C209" s="34" t="str">
        <x:v>MSI MAG B550 TOMAHAWK MAX WIFI</x:v>
      </x:c>
      <x:c r="D209" s="34" t="str">
        <x:v>MSI</x:v>
      </x:c>
      <x:c r="E209" s="82" t="n">
        <x:v>179</x:v>
      </x:c>
      <x:c r="F209" s="34" t="str">
        <x:v>USD</x:v>
      </x:c>
      <x:c r="G209" s="34" t="str">
        <x:v>reference</x:v>
      </x:c>
      <x:c r="H209" s="34" t="str">
        <x:v>2026-06-28</x:v>
      </x:c>
      <x:c r="I209" s="34" t="str">
        <x:v>socket=AM4; chipset=B550; formFactor=ATX; memoryType=DDR5; maxMemoryGb=128; m2Slots=2; storageInterfaces=NVMe/SATA; cpuTiers=entry/mid/high</x:v>
      </x:c>
      <x:c r="J209" s="34" t="str">
        <x:v>AM4, B550, ATX, DDR5, dataset</x:v>
      </x:c>
      <x:c r="K209" s="34" t="str">
        <x:v>ATX B550 motherboard for AM4 with 2 derived/declared M.2 slots.</x:v>
      </x:c>
      <x:c r="L209" s="34" t="str">
        <x:v>https://fr.pcpartpicker.com/product/MfZ9TW/msi-mag-b550-tomahawk-max-wifi-atx-am4-motherboard-mag-b550-tomahawk-max-wifi</x:v>
      </x:c>
      <x:c r="M209" s="35" t="str">
        <x:v>https://fr.pcpartpicker.com/product/MfZ9TW/msi-mag-b550-tomahawk-max-wifi-atx-am4-motherboard-mag-b550-tomahawk-max-wifi</x:v>
      </x:c>
    </x:row>
    <x:row r="210">
      <x:c r="A210" s="33" t="str">
        <x:v>motherboard</x:v>
      </x:c>
      <x:c r="B210" s="34" t="str">
        <x:v>hf-motherboard-446069</x:v>
      </x:c>
      <x:c r="C210" s="34" t="str">
        <x:v>Gigabyte B650 GAMING X AX</x:v>
      </x:c>
      <x:c r="D210" s="34" t="str">
        <x:v>Gigabyte</x:v>
      </x:c>
      <x:c r="E210" s="82" t="n">
        <x:v>226.88</x:v>
      </x:c>
      <x:c r="F210" s="34" t="str">
        <x:v>USD</x:v>
      </x:c>
      <x:c r="G210" s="34" t="str">
        <x:v>reference</x:v>
      </x:c>
      <x:c r="H210" s="34" t="str">
        <x:v>2026-06-28</x:v>
      </x:c>
      <x:c r="I210" s="34" t="str">
        <x:v>socket=AM5; chipset=B650; formFactor=ATX; memoryType=DDR5; maxMemoryGb=192; m2Slots=2; storageInterfaces=NVMe/SATA; cpuTiers=entry/mid/high</x:v>
      </x:c>
      <x:c r="J210" s="34" t="str">
        <x:v>AM5, B650, ATX, DDR5, dataset</x:v>
      </x:c>
      <x:c r="K210" s="34" t="str">
        <x:v>ATX B650 motherboard for AM5 with 2 derived/declared M.2 slots.</x:v>
      </x:c>
      <x:c r="L210" s="34" t="str">
        <x:v>https://fr.pcpartpicker.com/product/YZgFf7/gigabyte-b650-gaming-x-ax-atx-am5-motherboard-b650-gaming-x-ax</x:v>
      </x:c>
      <x:c r="M210" s="35" t="str">
        <x:v>https://fr.pcpartpicker.com/product/YZgFf7/gigabyte-b650-gaming-x-ax-atx-am5-motherboard-b650-gaming-x-ax</x:v>
      </x:c>
    </x:row>
    <x:row r="211">
      <x:c r="A211" s="33" t="str">
        <x:v>motherboard</x:v>
      </x:c>
      <x:c r="B211" s="34" t="str">
        <x:v>hf-motherboard-563835</x:v>
      </x:c>
      <x:c r="C211" s="34" t="str">
        <x:v>Gigabyte B850 AORUS ELITE WIFI7</x:v>
      </x:c>
      <x:c r="D211" s="34" t="str">
        <x:v>Gigabyte</x:v>
      </x:c>
      <x:c r="E211" s="82" t="n">
        <x:v>233.58</x:v>
      </x:c>
      <x:c r="F211" s="34" t="str">
        <x:v>USD</x:v>
      </x:c>
      <x:c r="G211" s="34" t="str">
        <x:v>reference</x:v>
      </x:c>
      <x:c r="H211" s="34" t="str">
        <x:v>2026-06-28</x:v>
      </x:c>
      <x:c r="I211" s="34" t="str">
        <x:v>socket=AM5; chipset=B850; formFactor=ATX; memoryType=DDR5; maxMemoryGb=256; m2Slots=2; storageInterfaces=NVMe/SATA; cpuTiers=entry/mid/high</x:v>
      </x:c>
      <x:c r="J211" s="34" t="str">
        <x:v>AM5, B850, ATX, DDR5, dataset</x:v>
      </x:c>
      <x:c r="K211" s="34" t="str">
        <x:v>ATX B850 motherboard for AM5 with 2 derived/declared M.2 slots.</x:v>
      </x:c>
      <x:c r="L211" s="34" t="str">
        <x:v>https://fr.pcpartpicker.com/product/72RnTW/gigabyte-b850-aorus-elite-wifi7-atx-am5-motherboard-b850-aorus-elite-wifi7</x:v>
      </x:c>
      <x:c r="M211" s="35" t="str">
        <x:v>https://fr.pcpartpicker.com/product/72RnTW/gigabyte-b850-aorus-elite-wifi7-atx-am5-motherboard-b850-aorus-elite-wifi7</x:v>
      </x:c>
    </x:row>
    <x:row r="212">
      <x:c r="A212" s="33" t="str">
        <x:v>motherboard</x:v>
      </x:c>
      <x:c r="B212" s="34" t="str">
        <x:v>hf-motherboard-486855</x:v>
      </x:c>
      <x:c r="C212" s="34" t="str">
        <x:v>ASRock B650I Lightning Wifi</x:v>
      </x:c>
      <x:c r="D212" s="34" t="str">
        <x:v>ASRock</x:v>
      </x:c>
      <x:c r="E212" s="82" t="n">
        <x:v>183.33</x:v>
      </x:c>
      <x:c r="F212" s="34" t="str">
        <x:v>USD</x:v>
      </x:c>
      <x:c r="G212" s="34" t="str">
        <x:v>reference</x:v>
      </x:c>
      <x:c r="H212" s="34" t="str">
        <x:v>2026-06-28</x:v>
      </x:c>
      <x:c r="I212" s="34" t="str">
        <x:v>socket=AM5; chipset=B650I; formFactor=Mini-ITX; memoryType=DDR5; maxMemoryGb=96; m2Slots=2; storageInterfaces=NVMe/SATA; cpuTiers=entry/mid/high</x:v>
      </x:c>
      <x:c r="J212" s="34" t="str">
        <x:v>AM5, B650I, Mini-ITX, DDR5, dataset</x:v>
      </x:c>
      <x:c r="K212" s="34" t="str">
        <x:v>Mini-ITX B650I motherboard for AM5 with 2 derived/declared M.2 slots.</x:v>
      </x:c>
      <x:c r="L212" s="34" t="str">
        <x:v>https://fr.pcpartpicker.com/product/rVfxFT/asrock-b650i-lightning-wifi-mini-itx-am5-motherboard-b650i-lightning-wifi</x:v>
      </x:c>
      <x:c r="M212" s="35" t="str">
        <x:v>https://fr.pcpartpicker.com/product/rVfxFT/asrock-b650i-lightning-wifi-mini-itx-am5-motherboard-b650i-lightning-wifi</x:v>
      </x:c>
    </x:row>
    <x:row r="213">
      <x:c r="A213" s="33" t="str">
        <x:v>motherboard</x:v>
      </x:c>
      <x:c r="B213" s="34" t="str">
        <x:v>hf-motherboard-420620</x:v>
      </x:c>
      <x:c r="C213" s="34" t="str">
        <x:v>Asus ROG STRIX B550-F GAMING WIFI II</x:v>
      </x:c>
      <x:c r="D213" s="34" t="str">
        <x:v>Asus</x:v>
      </x:c>
      <x:c r="E213" s="82" t="n">
        <x:v>182.85</x:v>
      </x:c>
      <x:c r="F213" s="34" t="str">
        <x:v>USD</x:v>
      </x:c>
      <x:c r="G213" s="34" t="str">
        <x:v>reference</x:v>
      </x:c>
      <x:c r="H213" s="34" t="str">
        <x:v>2026-06-28</x:v>
      </x:c>
      <x:c r="I213" s="34" t="str">
        <x:v>socket=AM4; chipset=B550; formFactor=ATX; memoryType=DDR5; maxMemoryGb=128; m2Slots=2; storageInterfaces=NVMe/SATA; cpuTiers=entry/mid/high</x:v>
      </x:c>
      <x:c r="J213" s="34" t="str">
        <x:v>AM4, B550, ATX, DDR5, dataset</x:v>
      </x:c>
      <x:c r="K213" s="34" t="str">
        <x:v>ATX B550 motherboard for AM4 with 2 derived/declared M.2 slots.</x:v>
      </x:c>
      <x:c r="L213" s="34" t="str">
        <x:v>https://fr.pcpartpicker.com/product/K4LFf7/asus-rog-strix-b550-f-gaming-wifi-ii-atx-am4-motherboard-strix-b550-f-gaming-wifi-ii</x:v>
      </x:c>
      <x:c r="M213" s="35" t="str">
        <x:v>https://fr.pcpartpicker.com/product/K4LFf7/asus-rog-strix-b550-f-gaming-wifi-ii-atx-am4-motherboard-strix-b550-f-gaming-wifi-ii</x:v>
      </x:c>
    </x:row>
    <x:row r="214">
      <x:c r="A214" s="33" t="str">
        <x:v>motherboard</x:v>
      </x:c>
      <x:c r="B214" s="34" t="str">
        <x:v>hf-motherboard-302158</x:v>
      </x:c>
      <x:c r="C214" s="34" t="str">
        <x:v>ASRock B550M Steel Legend</x:v>
      </x:c>
      <x:c r="D214" s="34" t="str">
        <x:v>ASRock</x:v>
      </x:c>
      <x:c r="E214" s="82" t="n">
        <x:v>173.26</x:v>
      </x:c>
      <x:c r="F214" s="34" t="str">
        <x:v>USD</x:v>
      </x:c>
      <x:c r="G214" s="34" t="str">
        <x:v>reference</x:v>
      </x:c>
      <x:c r="H214" s="34" t="str">
        <x:v>2026-06-28</x:v>
      </x:c>
      <x:c r="I214" s="34" t="str">
        <x:v>socket=AM4; chipset=B550M; formFactor=Micro-ATX; memoryType=DDR5; maxMemoryGb=128; m2Slots=2; storageInterfaces=NVMe/SATA; cpuTiers=entry/mid/high</x:v>
      </x:c>
      <x:c r="J214" s="34" t="str">
        <x:v>AM4, B550M, Micro-ATX, DDR5, dataset</x:v>
      </x:c>
      <x:c r="K214" s="34" t="str">
        <x:v>Micro-ATX B550M motherboard for AM4 with 2 derived/declared M.2 slots.</x:v>
      </x:c>
      <x:c r="L214" s="34" t="str">
        <x:v>https://fr.pcpartpicker.com/product/nFhmP6/asrock-b550m-steel-legend-micro-atx-am4-motherboard-b550m-steel-legend</x:v>
      </x:c>
      <x:c r="M214" s="35" t="str">
        <x:v>https://fr.pcpartpicker.com/product/nFhmP6/asrock-b550m-steel-legend-micro-atx-am4-motherboard-b550m-steel-legend</x:v>
      </x:c>
    </x:row>
    <x:row r="215">
      <x:c r="A215" s="33" t="str">
        <x:v>motherboard</x:v>
      </x:c>
      <x:c r="B215" s="34" t="str">
        <x:v>hf-motherboard-302187</x:v>
      </x:c>
      <x:c r="C215" s="34" t="str">
        <x:v>Gigabyte B550M DS3H</x:v>
      </x:c>
      <x:c r="D215" s="34" t="str">
        <x:v>Gigabyte</x:v>
      </x:c>
      <x:c r="E215" s="82" t="n">
        <x:v>100.94</x:v>
      </x:c>
      <x:c r="F215" s="34" t="str">
        <x:v>USD</x:v>
      </x:c>
      <x:c r="G215" s="34" t="str">
        <x:v>reference</x:v>
      </x:c>
      <x:c r="H215" s="34" t="str">
        <x:v>2026-06-28</x:v>
      </x:c>
      <x:c r="I215" s="34" t="str">
        <x:v>socket=AM4; chipset=B550M; formFactor=Micro-ATX; memoryType=DDR5; maxMemoryGb=128; m2Slots=2; storageInterfaces=NVMe/SATA; cpuTiers=entry/mid/high</x:v>
      </x:c>
      <x:c r="J215" s="34" t="str">
        <x:v>AM4, B550M, Micro-ATX, DDR5, dataset</x:v>
      </x:c>
      <x:c r="K215" s="34" t="str">
        <x:v>Micro-ATX B550M motherboard for AM4 with 2 derived/declared M.2 slots.</x:v>
      </x:c>
      <x:c r="L215" s="34" t="str">
        <x:v>https://fr.pcpartpicker.com/product/VyBhP6/gigabyte-b550m-ds3h-micro-atx-am4-motherboard-b550m-ds3h</x:v>
      </x:c>
      <x:c r="M215" s="35" t="str">
        <x:v>https://fr.pcpartpicker.com/product/VyBhP6/gigabyte-b550m-ds3h-micro-atx-am4-motherboard-b550m-ds3h</x:v>
      </x:c>
    </x:row>
    <x:row r="216">
      <x:c r="A216" s="33" t="str">
        <x:v>motherboard</x:v>
      </x:c>
      <x:c r="B216" s="34" t="str">
        <x:v>hf-motherboard-327711</x:v>
      </x:c>
      <x:c r="C216" s="34" t="str">
        <x:v>Asus ROG STRIX B450-F GAMING II</x:v>
      </x:c>
      <x:c r="D216" s="34" t="str">
        <x:v>Asus</x:v>
      </x:c>
      <x:c r="E216" s="82" t="n">
        <x:v>257.42</x:v>
      </x:c>
      <x:c r="F216" s="34" t="str">
        <x:v>USD</x:v>
      </x:c>
      <x:c r="G216" s="34" t="str">
        <x:v>reference</x:v>
      </x:c>
      <x:c r="H216" s="34" t="str">
        <x:v>2026-06-28</x:v>
      </x:c>
      <x:c r="I216" s="34" t="str">
        <x:v>socket=AM4; chipset=B450; formFactor=ATX; memoryType=DDR5; maxMemoryGb=128; m2Slots=2; storageInterfaces=NVMe/SATA; cpuTiers=entry/mid/high</x:v>
      </x:c>
      <x:c r="J216" s="34" t="str">
        <x:v>AM4, B450, ATX, DDR5, dataset</x:v>
      </x:c>
      <x:c r="K216" s="34" t="str">
        <x:v>ATX B450 motherboard for AM4 with 2 derived/declared M.2 slots.</x:v>
      </x:c>
      <x:c r="L216" s="34" t="str">
        <x:v>https://fr.pcpartpicker.com/product/xYvqqs/asus-rog-strix-b450-f-gaming-ii-atx-am4-motherboard-rog-strix-b450-f-gaming-ii</x:v>
      </x:c>
      <x:c r="M216" s="35" t="str">
        <x:v>https://fr.pcpartpicker.com/product/xYvqqs/asus-rog-strix-b450-f-gaming-ii-atx-am4-motherboard-rog-strix-b450-f-gaming-ii</x:v>
      </x:c>
    </x:row>
    <x:row r="217">
      <x:c r="A217" s="33" t="str">
        <x:v>motherboard</x:v>
      </x:c>
      <x:c r="B217" s="34" t="str">
        <x:v>hf-motherboard-438653</x:v>
      </x:c>
      <x:c r="C217" s="34" t="str">
        <x:v>MSI PRO B650-P WIFI</x:v>
      </x:c>
      <x:c r="D217" s="34" t="str">
        <x:v>MSI</x:v>
      </x:c>
      <x:c r="E217" s="82" t="n">
        <x:v>343.17</x:v>
      </x:c>
      <x:c r="F217" s="34" t="str">
        <x:v>USD</x:v>
      </x:c>
      <x:c r="G217" s="34" t="str">
        <x:v>reference</x:v>
      </x:c>
      <x:c r="H217" s="34" t="str">
        <x:v>2026-06-28</x:v>
      </x:c>
      <x:c r="I217" s="34" t="str">
        <x:v>socket=AM5; chipset=B650; formFactor=ATX; memoryType=DDR5; maxMemoryGb=192; m2Slots=2; storageInterfaces=NVMe/SATA; cpuTiers=entry/mid/high</x:v>
      </x:c>
      <x:c r="J217" s="34" t="str">
        <x:v>AM5, B650, ATX, DDR5, dataset</x:v>
      </x:c>
      <x:c r="K217" s="34" t="str">
        <x:v>ATX B650 motherboard for AM5 with 2 derived/declared M.2 slots.</x:v>
      </x:c>
      <x:c r="L217" s="34" t="str">
        <x:v>https://fr.pcpartpicker.com/product/CFzhP6/msi-pro-b650-p-wifi-atx-am5-motherboard-pro-b650-p-wifi</x:v>
      </x:c>
      <x:c r="M217" s="35" t="str">
        <x:v>https://fr.pcpartpicker.com/product/CFzhP6/msi-pro-b650-p-wifi-atx-am5-motherboard-pro-b650-p-wifi</x:v>
      </x:c>
    </x:row>
    <x:row r="218">
      <x:c r="A218" s="33" t="str">
        <x:v>motherboard</x:v>
      </x:c>
      <x:c r="B218" s="34" t="str">
        <x:v>hf-motherboard-436799</x:v>
      </x:c>
      <x:c r="C218" s="34" t="str">
        <x:v>MSI PRO Z790-P WIFI</x:v>
      </x:c>
      <x:c r="D218" s="34" t="str">
        <x:v>MSI</x:v>
      </x:c>
      <x:c r="E218" s="82" t="n">
        <x:v>208.63</x:v>
      </x:c>
      <x:c r="F218" s="34" t="str">
        <x:v>USD</x:v>
      </x:c>
      <x:c r="G218" s="34" t="str">
        <x:v>reference</x:v>
      </x:c>
      <x:c r="H218" s="34" t="str">
        <x:v>2026-06-28</x:v>
      </x:c>
      <x:c r="I218" s="34" t="str">
        <x:v>socket=LGA1700; chipset=Z790; formFactor=ATX; memoryType=DDR5; maxMemoryGb=256; m2Slots=2; storageInterfaces=NVMe/SATA; cpuTiers=mid/high/enthusiast</x:v>
      </x:c>
      <x:c r="J218" s="34" t="str">
        <x:v>LGA1700, Z790, ATX, DDR5, dataset</x:v>
      </x:c>
      <x:c r="K218" s="34" t="str">
        <x:v>ATX Z790 motherboard for LGA1700 with 2 derived/declared M.2 slots.</x:v>
      </x:c>
      <x:c r="L218" s="34" t="str">
        <x:v>https://fr.pcpartpicker.com/product/k7mmP6/msi-pro-z790-p-wifi-atx-lga1700-motherboard-pro-z790-p-wifi</x:v>
      </x:c>
      <x:c r="M218" s="35" t="str">
        <x:v>https://fr.pcpartpicker.com/product/k7mmP6/msi-pro-z790-p-wifi-atx-lga1700-motherboard-pro-z790-p-wifi</x:v>
      </x:c>
    </x:row>
    <x:row r="219">
      <x:c r="A219" s="33" t="str">
        <x:v>motherboard</x:v>
      </x:c>
      <x:c r="B219" s="34" t="str">
        <x:v>hf-motherboard-566547</x:v>
      </x:c>
      <x:c r="C219" s="34" t="str">
        <x:v>MSI MAG B850 TOMAHAWK MAX WIFI</x:v>
      </x:c>
      <x:c r="D219" s="34" t="str">
        <x:v>MSI</x:v>
      </x:c>
      <x:c r="E219" s="82" t="n">
        <x:v>265.6</x:v>
      </x:c>
      <x:c r="F219" s="34" t="str">
        <x:v>USD</x:v>
      </x:c>
      <x:c r="G219" s="34" t="str">
        <x:v>reference</x:v>
      </x:c>
      <x:c r="H219" s="34" t="str">
        <x:v>2026-06-28</x:v>
      </x:c>
      <x:c r="I219" s="34" t="str">
        <x:v>socket=AM5; chipset=B850; formFactor=ATX; memoryType=DDR5; maxMemoryGb=256; m2Slots=2; storageInterfaces=NVMe/SATA; cpuTiers=entry/mid/high</x:v>
      </x:c>
      <x:c r="J219" s="34" t="str">
        <x:v>AM5, B850, ATX, DDR5, dataset</x:v>
      </x:c>
      <x:c r="K219" s="34" t="str">
        <x:v>ATX B850 motherboard for AM5 with 2 derived/declared M.2 slots.</x:v>
      </x:c>
      <x:c r="L219" s="34" t="str">
        <x:v>https://fr.pcpartpicker.com/product/vjpD4D/msi-mag-b850-tomahawk-max-wifi-atx-am5-motherboard-mag-b850-tomahawk-max-wifi</x:v>
      </x:c>
      <x:c r="M219" s="35" t="str">
        <x:v>https://fr.pcpartpicker.com/product/vjpD4D/msi-mag-b850-tomahawk-max-wifi-atx-am5-motherboard-mag-b850-tomahawk-max-wifi</x:v>
      </x:c>
    </x:row>
    <x:row r="220">
      <x:c r="A220" s="33" t="str">
        <x:v>motherboard</x:v>
      </x:c>
      <x:c r="B220" s="34" t="str">
        <x:v>hf-motherboard-438652</x:v>
      </x:c>
      <x:c r="C220" s="34" t="str">
        <x:v>MSI MPG B650I EDGE WIFI</x:v>
      </x:c>
      <x:c r="D220" s="34" t="str">
        <x:v>MSI</x:v>
      </x:c>
      <x:c r="E220" s="82" t="n">
        <x:v>280.03</x:v>
      </x:c>
      <x:c r="F220" s="34" t="str">
        <x:v>USD</x:v>
      </x:c>
      <x:c r="G220" s="34" t="str">
        <x:v>reference</x:v>
      </x:c>
      <x:c r="H220" s="34" t="str">
        <x:v>2026-06-28</x:v>
      </x:c>
      <x:c r="I220" s="34" t="str">
        <x:v>socket=AM5; chipset=B650I; formFactor=Mini-ITX; memoryType=DDR5; maxMemoryGb=128; m2Slots=2; storageInterfaces=NVMe/SATA; cpuTiers=entry/mid/high</x:v>
      </x:c>
      <x:c r="J220" s="34" t="str">
        <x:v>AM5, B650I, Mini-ITX, DDR5, dataset</x:v>
      </x:c>
      <x:c r="K220" s="34" t="str">
        <x:v>Mini-ITX B650I motherboard for AM5 with 2 derived/declared M.2 slots.</x:v>
      </x:c>
      <x:c r="L220" s="34" t="str">
        <x:v>https://fr.pcpartpicker.com/product/DkFbt6/msi-mpg-b650i-edge-wifi-mini-itx-am5-motherboard-mpg-b650i-edge-wifi</x:v>
      </x:c>
      <x:c r="M220" s="35" t="str">
        <x:v>https://fr.pcpartpicker.com/product/DkFbt6/msi-mpg-b650i-edge-wifi-mini-itx-am5-motherboard-mpg-b650i-edge-wifi</x:v>
      </x:c>
    </x:row>
    <x:row r="221">
      <x:c r="A221" s="33" t="str">
        <x:v>motherboard</x:v>
      </x:c>
      <x:c r="B221" s="34" t="str">
        <x:v>hf-motherboard-415023</x:v>
      </x:c>
      <x:c r="C221" s="34" t="str">
        <x:v>Asus TUF GAMING B550-PLUS WIFI II</x:v>
      </x:c>
      <x:c r="D221" s="34" t="str">
        <x:v>Asus</x:v>
      </x:c>
      <x:c r="E221" s="82" t="n">
        <x:v>146.88</x:v>
      </x:c>
      <x:c r="F221" s="34" t="str">
        <x:v>USD</x:v>
      </x:c>
      <x:c r="G221" s="34" t="str">
        <x:v>reference</x:v>
      </x:c>
      <x:c r="H221" s="34" t="str">
        <x:v>2026-06-28</x:v>
      </x:c>
      <x:c r="I221" s="34" t="str">
        <x:v>socket=AM4; chipset=B550; formFactor=ATX; memoryType=DDR5; maxMemoryGb=128; m2Slots=2; storageInterfaces=NVMe/SATA; cpuTiers=entry/mid/high</x:v>
      </x:c>
      <x:c r="J221" s="34" t="str">
        <x:v>AM4, B550, ATX, DDR5, dataset</x:v>
      </x:c>
      <x:c r="K221" s="34" t="str">
        <x:v>ATX B550 motherboard for AM4 with 2 derived/declared M.2 slots.</x:v>
      </x:c>
      <x:c r="L221" s="34" t="str">
        <x:v>https://fr.pcpartpicker.com/product/pLNxFT/asus-tuf-gaming-b550-plus-wifi-ii-atx-am4-motherboard-tuf-gaming-b550-plus-wifi-ii</x:v>
      </x:c>
      <x:c r="M221" s="35" t="str">
        <x:v>https://fr.pcpartpicker.com/product/pLNxFT/asus-tuf-gaming-b550-plus-wifi-ii-atx-am4-motherboard-tuf-gaming-b550-plus-wifi-ii</x:v>
      </x:c>
    </x:row>
    <x:row r="222">
      <x:c r="A222" s="33" t="str">
        <x:v>motherboard</x:v>
      </x:c>
      <x:c r="B222" s="34" t="str">
        <x:v>ca-newegg-motherboard-gigabyte-z890-aorus-master-ultra-core-series-2-lga-1851-atx-ddr5-5x-m-</x:v>
      </x:c>
      <x:c r="C222" s="34" t="str">
        <x:v>GIGABYTE Z890 AORUS MASTER Ultra Core (Series 2) LGA 1851, ATX, DDR5, 5x M.2, PCIe 5.0, Thunderbolt 4, WIFI7, 10GbE LAN, EZ-Latch</x:v>
      </x:c>
      <x:c r="D222" s="34" t="str">
        <x:v>GIGABYTE</x:v>
      </x:c>
      <x:c r="E222" s="82" t="n">
        <x:v>363.12</x:v>
      </x:c>
      <x:c r="F222" s="34" t="str">
        <x:v>USD</x:v>
      </x:c>
      <x:c r="G222" s="34" t="str">
        <x:v>retail</x:v>
      </x:c>
      <x:c r="H222" s="34" t="str">
        <x:v>2026-06-29</x:v>
      </x:c>
      <x:c r="I222" s="34" t="str">
        <x:v>socket=LGA1851; chipset=Z890; formFactor=ATX; memoryType=DDR5; maxMemoryGb=256; m2Slots=5; storageInterfaces=NVMe/SATA; cpuTiers=mid/high/enthusiast</x:v>
      </x:c>
      <x:c r="J222" s="34" t="str">
        <x:v>LGA1851, Z890, ATX, DDR5, ca-retail</x:v>
      </x:c>
      <x:c r="K222" s="34" t="str">
        <x:v>ATX Z890 motherboard for LGA1851 from CA retailer; M.2 slot count derived when source omits it.</x:v>
      </x:c>
      <x:c r="L222" s="34" t="str">
        <x:v>https://www.newegg.ca/p/13-145-523</x:v>
      </x:c>
      <x:c r="M222" s="35" t="str">
        <x:v>https://www.newegg.ca/p/13-145-523</x:v>
      </x:c>
    </x:row>
    <x:row r="223">
      <x:c r="A223" s="33" t="str">
        <x:v>motherboard</x:v>
      </x:c>
      <x:c r="B223" s="34" t="str">
        <x:v>ca-newegg-motherboard-msi-mag-z890-tomahawk-wifi-ii-gaming-motherboard-lga-1851-intel-z890-s</x:v>
      </x:c>
      <x:c r="C223" s="34" t="str">
        <x:v>MSI MAG Z890 TOMAHAWK WIFI II Gaming Motherboard, LGA 1851, Intel Z890, Supports Core Ultra Series 2 Processors, DDR5, PCIe 5.0, M.2 Gen5, Wi-Fi 7, Bluetooth 5.4, 5G LAN, Thunderbolt 4, ATX</x:v>
      </x:c>
      <x:c r="D223" s="34" t="str">
        <x:v>MSI</x:v>
      </x:c>
      <x:c r="E223" s="82" t="n">
        <x:v>231.26</x:v>
      </x:c>
      <x:c r="F223" s="34" t="str">
        <x:v>USD</x:v>
      </x:c>
      <x:c r="G223" s="34" t="str">
        <x:v>retail</x:v>
      </x:c>
      <x:c r="H223" s="34" t="str">
        <x:v>2026-06-29</x:v>
      </x:c>
      <x:c r="I223" s="34" t="str">
        <x:v>socket=LGA1851; chipset=Z890; formFactor=ATX; memoryType=DDR5; maxMemoryGb=256; m2Slots=2; storageInterfaces=NVMe/SATA; cpuTiers=mid/high/enthusiast</x:v>
      </x:c>
      <x:c r="J223" s="34" t="str">
        <x:v>LGA1851, Z890, ATX, DDR5, ca-retail</x:v>
      </x:c>
      <x:c r="K223" s="34" t="str">
        <x:v>ATX Z890 motherboard for LGA1851 from CA retailer; M.2 slot count derived when source omits it.</x:v>
      </x:c>
      <x:c r="L223" s="34" t="str">
        <x:v>https://www.newegg.ca/p/13-144-757</x:v>
      </x:c>
      <x:c r="M223" s="35" t="str">
        <x:v>https://www.newegg.ca/p/13-144-757</x:v>
      </x:c>
    </x:row>
    <x:row r="224">
      <x:c r="A224" s="33" t="str">
        <x:v>motherboard</x:v>
      </x:c>
      <x:c r="B224" s="34" t="str">
        <x:v>ca-newegg-motherboard-asus-tuf-gaming-z890-plus-wifi-z890-lga-1851-atx-motherboard-intel-cor</x:v>
      </x:c>
      <x:c r="C224" s="34" t="str">
        <x:v>ASUS TUF GAMING Z890-PLUS WIFI Z890 LGA 1851 ATX motherboard, Intel® Core™ Ultra Series 2 Ready, Advanced AI PC-ready, 16+1+2+1 stages, DDR5, PCIe® 5.0, Thunderbolt™ 4 Type-C®, 4x M.2, Wi-Fi 7, 2.5Gb</x:v>
      </x:c>
      <x:c r="D224" s="34" t="str">
        <x:v>ASUS</x:v>
      </x:c>
      <x:c r="E224" s="82" t="n">
        <x:v>282.04</x:v>
      </x:c>
      <x:c r="F224" s="34" t="str">
        <x:v>USD</x:v>
      </x:c>
      <x:c r="G224" s="34" t="str">
        <x:v>retail</x:v>
      </x:c>
      <x:c r="H224" s="34" t="str">
        <x:v>2026-06-29</x:v>
      </x:c>
      <x:c r="I224" s="34" t="str">
        <x:v>socket=LGA1851; chipset=Z890; formFactor=ATX; memoryType=DDR5; maxMemoryGb=256; m2Slots=4; storageInterfaces=NVMe/SATA; cpuTiers=mid/high/enthusiast</x:v>
      </x:c>
      <x:c r="J224" s="34" t="str">
        <x:v>LGA1851, Z890, ATX, DDR5, ca-retail</x:v>
      </x:c>
      <x:c r="K224" s="34" t="str">
        <x:v>ATX Z890 motherboard for LGA1851 from CA retailer; M.2 slot count derived when source omits it.</x:v>
      </x:c>
      <x:c r="L224" s="34" t="str">
        <x:v>https://www.newegg.ca/p/13-119-695</x:v>
      </x:c>
      <x:c r="M224" s="35" t="str">
        <x:v>https://www.newegg.ca/p/13-119-695</x:v>
      </x:c>
    </x:row>
    <x:row r="225">
      <x:c r="A225" s="33" t="str">
        <x:v>motherboard</x:v>
      </x:c>
      <x:c r="B225" s="34" t="str">
        <x:v>ca-newegg-motherboard-asrock-z890-taichi-lga-1851-atx-motherboard</x:v>
      </x:c>
      <x:c r="C225" s="34" t="str">
        <x:v>ASRock Z890 Taichi LGA 1851 ATX Motherboard</x:v>
      </x:c>
      <x:c r="D225" s="34" t="str">
        <x:v>ASRock</x:v>
      </x:c>
      <x:c r="E225" s="82" t="n">
        <x:v>211.52</x:v>
      </x:c>
      <x:c r="F225" s="34" t="str">
        <x:v>USD</x:v>
      </x:c>
      <x:c r="G225" s="34" t="str">
        <x:v>retail</x:v>
      </x:c>
      <x:c r="H225" s="34" t="str">
        <x:v>2026-06-29</x:v>
      </x:c>
      <x:c r="I225" s="34" t="str">
        <x:v>socket=LGA1851; chipset=Z890; formFactor=ATX; memoryType=DDR5; maxMemoryGb=256; m2Slots=2; storageInterfaces=NVMe/SATA; cpuTiers=mid/high/enthusiast</x:v>
      </x:c>
      <x:c r="J225" s="34" t="str">
        <x:v>LGA1851, Z890, ATX, DDR5, ca-retail</x:v>
      </x:c>
      <x:c r="K225" s="34" t="str">
        <x:v>ATX Z890 motherboard for LGA1851 from CA retailer; M.2 slot count derived when source omits it.</x:v>
      </x:c>
      <x:c r="L225" s="34" t="str">
        <x:v>https://www.newegg.ca/p/13-162-169</x:v>
      </x:c>
      <x:c r="M225" s="35" t="str">
        <x:v>https://www.newegg.ca/p/13-162-169</x:v>
      </x:c>
    </x:row>
    <x:row r="226">
      <x:c r="A226" s="33" t="str">
        <x:v>motherboard</x:v>
      </x:c>
      <x:c r="B226" s="34" t="str">
        <x:v>ca-newegg-motherboard-asus-rog-strix-z890-e-gaming-wifi-intel-z890-lga-1851-atx-motherboard-</x:v>
      </x:c>
      <x:c r="C226" s="34" t="str">
        <x:v>ASUS ROG STRIX Z890-E GAMING WIFI Intel® Z890 LGA 1851 ATX motherboard, Advanced AI PC-ready, 18+2+1+2 stages, DDR5, WiFi 7, 7x M.2, Thunderbolt™ 4, USB Type-C®, AI Overclocking, Cooling &amp; Networking</x:v>
      </x:c>
      <x:c r="D226" s="34" t="str">
        <x:v>ASUS</x:v>
      </x:c>
      <x:c r="E226" s="82" t="n">
        <x:v>394.85</x:v>
      </x:c>
      <x:c r="F226" s="34" t="str">
        <x:v>USD</x:v>
      </x:c>
      <x:c r="G226" s="34" t="str">
        <x:v>retail</x:v>
      </x:c>
      <x:c r="H226" s="34" t="str">
        <x:v>2026-06-29</x:v>
      </x:c>
      <x:c r="I226" s="34" t="str">
        <x:v>socket=LGA1851; chipset=Z890; formFactor=ATX; memoryType=DDR5; maxMemoryGb=256; m2Slots=7; storageInterfaces=NVMe/SATA; cpuTiers=mid/high/enthusiast</x:v>
      </x:c>
      <x:c r="J226" s="34" t="str">
        <x:v>LGA1851, Z890, ATX, DDR5, ca-retail</x:v>
      </x:c>
      <x:c r="K226" s="34" t="str">
        <x:v>ATX Z890 motherboard for LGA1851 from CA retailer; M.2 slot count derived when source omits it.</x:v>
      </x:c>
      <x:c r="L226" s="34" t="str">
        <x:v>https://www.newegg.ca/p/13-119-692</x:v>
      </x:c>
      <x:c r="M226" s="35" t="str">
        <x:v>https://www.newegg.ca/p/13-119-692</x:v>
      </x:c>
    </x:row>
    <x:row r="227">
      <x:c r="A227" s="33" t="str">
        <x:v>motherboard</x:v>
      </x:c>
      <x:c r="B227" s="34" t="str">
        <x:v>ca-newegg-motherboard-gigabyte-z890-aorus-elite-wifi7-ultra-core-series-2-lga-1851-atx-ddr5-</x:v>
      </x:c>
      <x:c r="C227" s="34" t="str">
        <x:v>GIGABYTE Z890 AORUS ELITE WIFI7 Ultra Core (Series 2) LGA 1851, ATX, DDR5, 4x M.2, PCIe 5.0, Thunderbolt 4, WIFI7, 2.5GbE LAN, EZ-Latch</x:v>
      </x:c>
      <x:c r="D227" s="34" t="str">
        <x:v>GIGABYTE</x:v>
      </x:c>
      <x:c r="E227" s="82" t="n">
        <x:v>249.61</x:v>
      </x:c>
      <x:c r="F227" s="34" t="str">
        <x:v>USD</x:v>
      </x:c>
      <x:c r="G227" s="34" t="str">
        <x:v>retail</x:v>
      </x:c>
      <x:c r="H227" s="34" t="str">
        <x:v>2026-06-29</x:v>
      </x:c>
      <x:c r="I227" s="34" t="str">
        <x:v>socket=LGA1851; chipset=Z890; formFactor=ATX; memoryType=DDR5; maxMemoryGb=256; m2Slots=4; storageInterfaces=NVMe/SATA; cpuTiers=mid/high/enthusiast</x:v>
      </x:c>
      <x:c r="J227" s="34" t="str">
        <x:v>LGA1851, Z890, ATX, DDR5, ca-retail</x:v>
      </x:c>
      <x:c r="K227" s="34" t="str">
        <x:v>ATX Z890 motherboard for LGA1851 from CA retailer; M.2 slot count derived when source omits it.</x:v>
      </x:c>
      <x:c r="L227" s="34" t="str">
        <x:v>https://www.newegg.ca/p/13-145-527</x:v>
      </x:c>
      <x:c r="M227" s="35" t="str">
        <x:v>https://www.newegg.ca/p/13-145-527</x:v>
      </x:c>
    </x:row>
    <x:row r="228">
      <x:c r="A228" s="33" t="str">
        <x:v>motherboard</x:v>
      </x:c>
      <x:c r="B228" s="34" t="str">
        <x:v>ca-newegg-motherboard-asrock-z890-pro-rs-lga-1851-atx-motherboard</x:v>
      </x:c>
      <x:c r="C228" s="34" t="str">
        <x:v>ASRock Z890 Pro RS LGA 1851 ATX Motherboard</x:v>
      </x:c>
      <x:c r="D228" s="34" t="str">
        <x:v>ASRock</x:v>
      </x:c>
      <x:c r="E228" s="82" t="n">
        <x:v>183.31</x:v>
      </x:c>
      <x:c r="F228" s="34" t="str">
        <x:v>USD</x:v>
      </x:c>
      <x:c r="G228" s="34" t="str">
        <x:v>retail</x:v>
      </x:c>
      <x:c r="H228" s="34" t="str">
        <x:v>2026-06-29</x:v>
      </x:c>
      <x:c r="I228" s="34" t="str">
        <x:v>socket=LGA1851; chipset=Z890; formFactor=ATX; memoryType=DDR5; maxMemoryGb=256; m2Slots=2; storageInterfaces=NVMe/SATA; cpuTiers=mid/high/enthusiast</x:v>
      </x:c>
      <x:c r="J228" s="34" t="str">
        <x:v>LGA1851, Z890, ATX, DDR5, ca-retail</x:v>
      </x:c>
      <x:c r="K228" s="34" t="str">
        <x:v>ATX Z890 motherboard for LGA1851 from CA retailer; M.2 slot count derived when source omits it.</x:v>
      </x:c>
      <x:c r="L228" s="34" t="str">
        <x:v>https://www.newegg.ca/p/13-162-176</x:v>
      </x:c>
      <x:c r="M228" s="35" t="str">
        <x:v>https://www.newegg.ca/p/13-162-176</x:v>
      </x:c>
    </x:row>
    <x:row r="229">
      <x:c r="A229" s="33" t="str">
        <x:v>motherboard</x:v>
      </x:c>
      <x:c r="B229" s="34" t="str">
        <x:v>ca-newegg-motherboard-gigabyte-z890-aorus-elite-wifi7-ice-ultra-core-series-2-lga-1851-atx-d</x:v>
      </x:c>
      <x:c r="C229" s="34" t="str">
        <x:v>GIGABYTE Z890 AORUS ELITE WIFI7 ICE Ultra Core (Series 2) LGA 1851, ATX, DDR5, 4x M.2, PCIe 5.0, Thunderbolt 4, WIFI7, 2.5GbE LAN, EZ-Latch</x:v>
      </x:c>
      <x:c r="D229" s="34" t="str">
        <x:v>GIGABYTE</x:v>
      </x:c>
      <x:c r="E229" s="82" t="n">
        <x:v>253.83</x:v>
      </x:c>
      <x:c r="F229" s="34" t="str">
        <x:v>USD</x:v>
      </x:c>
      <x:c r="G229" s="34" t="str">
        <x:v>retail</x:v>
      </x:c>
      <x:c r="H229" s="34" t="str">
        <x:v>2026-06-29</x:v>
      </x:c>
      <x:c r="I229" s="34" t="str">
        <x:v>socket=LGA1851; chipset=Z890; formFactor=ATX; memoryType=DDR5; maxMemoryGb=256; m2Slots=4; storageInterfaces=NVMe/SATA; cpuTiers=mid/high/enthusiast</x:v>
      </x:c>
      <x:c r="J229" s="34" t="str">
        <x:v>LGA1851, Z890, ATX, DDR5, ca-retail</x:v>
      </x:c>
      <x:c r="K229" s="34" t="str">
        <x:v>ATX Z890 motherboard for LGA1851 from CA retailer; M.2 slot count derived when source omits it.</x:v>
      </x:c>
      <x:c r="L229" s="34" t="str">
        <x:v>https://www.newegg.ca/p/13-145-526</x:v>
      </x:c>
      <x:c r="M229" s="35" t="str">
        <x:v>https://www.newegg.ca/p/13-145-526</x:v>
      </x:c>
    </x:row>
    <x:row r="230">
      <x:c r="A230" s="33" t="str">
        <x:v>motherboard</x:v>
      </x:c>
      <x:c r="B230" s="34" t="str">
        <x:v>ca-newegg-motherboard-asus-rog-maximus-z890-hero-intel-z890-lga-1851-atx-motherboard-advance</x:v>
      </x:c>
      <x:c r="C230" s="34" t="str">
        <x:v>ASUS ROG MAXIMUS Z890 HERO Intel® Z890 LGA 1851 ATX motherboard, Advanced AI PC-ready, 22+2+1+2 stages, DDR5, WiFi 7, 3x PCIe® 5.0 M.2, Thunderbolt™ 4, USB Type-C®, AI Overclocking/Cooling/Networking</x:v>
      </x:c>
      <x:c r="D230" s="34" t="str">
        <x:v>ASUS</x:v>
      </x:c>
      <x:c r="E230" s="82" t="n">
        <x:v>444.21</x:v>
      </x:c>
      <x:c r="F230" s="34" t="str">
        <x:v>USD</x:v>
      </x:c>
      <x:c r="G230" s="34" t="str">
        <x:v>retail</x:v>
      </x:c>
      <x:c r="H230" s="34" t="str">
        <x:v>2026-06-29</x:v>
      </x:c>
      <x:c r="I230" s="34" t="str">
        <x:v>socket=LGA1851; chipset=Z890; formFactor=ATX; memoryType=DDR5; maxMemoryGb=256; m2Slots=2; storageInterfaces=NVMe/SATA; cpuTiers=mid/high/enthusiast</x:v>
      </x:c>
      <x:c r="J230" s="34" t="str">
        <x:v>LGA1851, Z890, ATX, DDR5, ca-retail</x:v>
      </x:c>
      <x:c r="K230" s="34" t="str">
        <x:v>ATX Z890 motherboard for LGA1851 from CA retailer; M.2 slot count derived when source omits it.</x:v>
      </x:c>
      <x:c r="L230" s="34" t="str">
        <x:v>https://www.newegg.ca/p/13-119-691</x:v>
      </x:c>
      <x:c r="M230" s="35" t="str">
        <x:v>https://www.newegg.ca/p/13-119-691</x:v>
      </x:c>
    </x:row>
    <x:row r="231">
      <x:c r="A231" s="33" t="str">
        <x:v>motherboard</x:v>
      </x:c>
      <x:c r="B231" s="34" t="str">
        <x:v>ca-newegg-motherboard-asus-rog-strix-z890-a-gaming-wifi-z890-lga-1851-atx-motherboard-intel-</x:v>
      </x:c>
      <x:c r="C231" s="34" t="str">
        <x:v>ASUS ROG STRIX Z890-A GAMING WIFI Z890 LGA 1851 ATX motherboard, Intel® Core™ Ultra Series 2 Ready, Advanced AI PC-ready, 16+2+1+2 stages, DDR5, WiFi 7, 2.5G, 5x M.2, Thunderbolt™ 4, USB Type-C, AI OC</x:v>
      </x:c>
      <x:c r="D231" s="34" t="str">
        <x:v>ASUS</x:v>
      </x:c>
      <x:c r="E231" s="82" t="n">
        <x:v>291.91</x:v>
      </x:c>
      <x:c r="F231" s="34" t="str">
        <x:v>USD</x:v>
      </x:c>
      <x:c r="G231" s="34" t="str">
        <x:v>retail</x:v>
      </x:c>
      <x:c r="H231" s="34" t="str">
        <x:v>2026-06-29</x:v>
      </x:c>
      <x:c r="I231" s="34" t="str">
        <x:v>socket=LGA1851; chipset=Z890; formFactor=ATX; memoryType=DDR5; maxMemoryGb=256; m2Slots=5; storageInterfaces=NVMe/SATA; cpuTiers=mid/high/enthusiast</x:v>
      </x:c>
      <x:c r="J231" s="34" t="str">
        <x:v>LGA1851, Z890, ATX, DDR5, ca-retail</x:v>
      </x:c>
      <x:c r="K231" s="34" t="str">
        <x:v>ATX Z890 motherboard for LGA1851 from CA retailer; M.2 slot count derived when source omits it.</x:v>
      </x:c>
      <x:c r="L231" s="34" t="str">
        <x:v>https://www.newegg.ca/p/9SIAA4YKPV9589</x:v>
      </x:c>
      <x:c r="M231" s="35" t="str">
        <x:v>https://www.newegg.ca/p/9SIAA4YKPV9589</x:v>
      </x:c>
    </x:row>
    <x:row r="232">
      <x:c r="A232" s="33" t="str">
        <x:v>motherboard</x:v>
      </x:c>
      <x:c r="B232" s="34" t="str">
        <x:v>ca-newegg-motherboard-asrock-z890-nova-wifi-lga-1851-atx-motherboard</x:v>
      </x:c>
      <x:c r="C232" s="34" t="str">
        <x:v>ASRock Z890 Nova WiFi LGA 1851 ATX Motherboard</x:v>
      </x:c>
      <x:c r="D232" s="34" t="str">
        <x:v>ASRock</x:v>
      </x:c>
      <x:c r="E232" s="82" t="n">
        <x:v>274.98</x:v>
      </x:c>
      <x:c r="F232" s="34" t="str">
        <x:v>USD</x:v>
      </x:c>
      <x:c r="G232" s="34" t="str">
        <x:v>retail</x:v>
      </x:c>
      <x:c r="H232" s="34" t="str">
        <x:v>2026-06-29</x:v>
      </x:c>
      <x:c r="I232" s="34" t="str">
        <x:v>socket=LGA1851; chipset=Z890; formFactor=ATX; memoryType=DDR5; maxMemoryGb=256; m2Slots=2; storageInterfaces=NVMe/SATA; cpuTiers=mid/high/enthusiast</x:v>
      </x:c>
      <x:c r="J232" s="34" t="str">
        <x:v>LGA1851, Z890, ATX, DDR5, ca-retail</x:v>
      </x:c>
      <x:c r="K232" s="34" t="str">
        <x:v>ATX Z890 motherboard for LGA1851 from CA retailer; M.2 slot count derived when source omits it.</x:v>
      </x:c>
      <x:c r="L232" s="34" t="str">
        <x:v>https://www.newegg.ca/p/13-162-170</x:v>
      </x:c>
      <x:c r="M232" s="35" t="str">
        <x:v>https://www.newegg.ca/p/13-162-170</x:v>
      </x:c>
    </x:row>
    <x:row r="233">
      <x:c r="A233" s="33" t="str">
        <x:v>motherboard</x:v>
      </x:c>
      <x:c r="B233" s="34" t="str">
        <x:v>ca-newegg-motherboard-asrock-z890-lightning-wifi-lga-1851-atx-motherboard</x:v>
      </x:c>
      <x:c r="C233" s="34" t="str">
        <x:v>ASRock Z890 Lightning WiFi LGA 1851 ATX Motherboard</x:v>
      </x:c>
      <x:c r="D233" s="34" t="str">
        <x:v>ASRock</x:v>
      </x:c>
      <x:c r="E233" s="82" t="n">
        <x:v>247.32</x:v>
      </x:c>
      <x:c r="F233" s="34" t="str">
        <x:v>USD</x:v>
      </x:c>
      <x:c r="G233" s="34" t="str">
        <x:v>retail</x:v>
      </x:c>
      <x:c r="H233" s="34" t="str">
        <x:v>2026-06-29</x:v>
      </x:c>
      <x:c r="I233" s="34" t="str">
        <x:v>socket=LGA1851; chipset=Z890; formFactor=ATX; memoryType=DDR5; maxMemoryGb=256; m2Slots=2; storageInterfaces=NVMe/SATA; cpuTiers=mid/high/enthusiast</x:v>
      </x:c>
      <x:c r="J233" s="34" t="str">
        <x:v>LGA1851, Z890, ATX, DDR5, ca-retail</x:v>
      </x:c>
      <x:c r="K233" s="34" t="str">
        <x:v>ATX Z890 motherboard for LGA1851 from CA retailer; M.2 slot count derived when source omits it.</x:v>
      </x:c>
      <x:c r="L233" s="34" t="str">
        <x:v>https://www.newegg.ca/p/9SIA7BBKHC3716</x:v>
      </x:c>
      <x:c r="M233" s="35" t="str">
        <x:v>https://www.newegg.ca/p/9SIA7BBKHC3716</x:v>
      </x:c>
    </x:row>
    <x:row r="234">
      <x:c r="A234" s="33" t="str">
        <x:v>motherboard</x:v>
      </x:c>
      <x:c r="B234" s="34" t="str">
        <x:v>ca-newegg-motherboard-asrock-z890-pro-rs-wifi-lga-1851-atx-motherboard</x:v>
      </x:c>
      <x:c r="C234" s="34" t="str">
        <x:v>ASRock Z890 Pro RS WiFi LGA 1851 ATX Motherboard</x:v>
      </x:c>
      <x:c r="D234" s="34" t="str">
        <x:v>ASRock</x:v>
      </x:c>
      <x:c r="E234" s="82" t="n">
        <x:v>190.37</x:v>
      </x:c>
      <x:c r="F234" s="34" t="str">
        <x:v>USD</x:v>
      </x:c>
      <x:c r="G234" s="34" t="str">
        <x:v>retail</x:v>
      </x:c>
      <x:c r="H234" s="34" t="str">
        <x:v>2026-06-29</x:v>
      </x:c>
      <x:c r="I234" s="34" t="str">
        <x:v>socket=LGA1851; chipset=Z890; formFactor=ATX; memoryType=DDR5; maxMemoryGb=256; m2Slots=2; storageInterfaces=NVMe/SATA; cpuTiers=mid/high/enthusiast</x:v>
      </x:c>
      <x:c r="J234" s="34" t="str">
        <x:v>LGA1851, Z890, ATX, DDR5, ca-retail</x:v>
      </x:c>
      <x:c r="K234" s="34" t="str">
        <x:v>ATX Z890 motherboard for LGA1851 from CA retailer; M.2 slot count derived when source omits it.</x:v>
      </x:c>
      <x:c r="L234" s="34" t="str">
        <x:v>https://www.newegg.ca/p/13-162-177</x:v>
      </x:c>
      <x:c r="M234" s="35" t="str">
        <x:v>https://www.newegg.ca/p/13-162-177</x:v>
      </x:c>
    </x:row>
    <x:row r="235">
      <x:c r="A235" s="33" t="str">
        <x:v>motherboard</x:v>
      </x:c>
      <x:c r="B235" s="34" t="str">
        <x:v>ca-newegg-motherboard-z890m-gaming-x-lga-1851-micro-atx-280-motherboards-intel</x:v>
      </x:c>
      <x:c r="C235" s="34" t="str">
        <x:v>Z890M GAMING X LGA 1851 Micro ATX (280) Motherboards - Intel</x:v>
      </x:c>
      <x:c r="D235" s="34" t="str">
        <x:v>GIGABYTE</x:v>
      </x:c>
      <x:c r="E235" s="82" t="n">
        <x:v>196.25</x:v>
      </x:c>
      <x:c r="F235" s="34" t="str">
        <x:v>USD</x:v>
      </x:c>
      <x:c r="G235" s="34" t="str">
        <x:v>retail</x:v>
      </x:c>
      <x:c r="H235" s="34" t="str">
        <x:v>2026-06-29</x:v>
      </x:c>
      <x:c r="I235" s="34" t="str">
        <x:v>socket=LGA1851; chipset=Z890M; formFactor=Micro-ATX; memoryType=DDR5; maxMemoryGb=256; m2Slots=2; storageInterfaces=NVMe/SATA; cpuTiers=mid/high/enthusiast</x:v>
      </x:c>
      <x:c r="J235" s="34" t="str">
        <x:v>LGA1851, Z890M, Micro-ATX, DDR5, ca-retail</x:v>
      </x:c>
      <x:c r="K235" s="34" t="str">
        <x:v>Micro-ATX Z890M motherboard for LGA1851 from CA retailer; M.2 slot count derived when source omits it.</x:v>
      </x:c>
      <x:c r="L235" s="34" t="str">
        <x:v>https://www.newegg.ca/p/13-145-533</x:v>
      </x:c>
      <x:c r="M235" s="35" t="str">
        <x:v>https://www.newegg.ca/p/13-145-533</x:v>
      </x:c>
    </x:row>
    <x:row r="236">
      <x:c r="A236" s="33" t="str">
        <x:v>motherboard</x:v>
      </x:c>
      <x:c r="B236" s="34" t="str">
        <x:v>ca-newegg-motherboard-asrock-z890i-nova-wifi-lga-1851-mini-itx-motherboard</x:v>
      </x:c>
      <x:c r="C236" s="34" t="str">
        <x:v>ASRock Z890I Nova WiFi LGA 1851 Mini ITX Motherboard</x:v>
      </x:c>
      <x:c r="D236" s="34" t="str">
        <x:v>ASRock</x:v>
      </x:c>
      <x:c r="E236" s="82" t="n">
        <x:v>253.83</x:v>
      </x:c>
      <x:c r="F236" s="34" t="str">
        <x:v>USD</x:v>
      </x:c>
      <x:c r="G236" s="34" t="str">
        <x:v>retail</x:v>
      </x:c>
      <x:c r="H236" s="34" t="str">
        <x:v>2026-06-29</x:v>
      </x:c>
      <x:c r="I236" s="34" t="str">
        <x:v>socket=LGA1851; chipset=Z890I; formFactor=Mini-ITX; memoryType=DDR5; maxMemoryGb=256; m2Slots=2; storageInterfaces=NVMe/SATA; cpuTiers=mid/high/enthusiast</x:v>
      </x:c>
      <x:c r="J236" s="34" t="str">
        <x:v>LGA1851, Z890I, Mini-ITX, DDR5, ca-retail, sff</x:v>
      </x:c>
      <x:c r="K236" s="34" t="str">
        <x:v>Mini-ITX Z890I motherboard for LGA1851 from CA retailer; M.2 slot count derived when source omits it.</x:v>
      </x:c>
      <x:c r="L236" s="34" t="str">
        <x:v>https://www.newegg.ca/p/13-162-182</x:v>
      </x:c>
      <x:c r="M236" s="35" t="str">
        <x:v>https://www.newegg.ca/p/13-162-182</x:v>
      </x:c>
    </x:row>
    <x:row r="237">
      <x:c r="A237" s="33" t="str">
        <x:v>motherboard</x:v>
      </x:c>
      <x:c r="B237" s="34" t="str">
        <x:v>ca-newegg-motherboard-gigabyte-z890-aorus-pro-ice-ultra-core-series-2-lga-1851-atx-ddr5-5x-m</x:v>
      </x:c>
      <x:c r="C237" s="34" t="str">
        <x:v>GIGABYTE Z890 AORUS PRO ICE Ultra Core (Series 2) LGA 1851, ATX, DDR5, 5x M.2, PCIe 5.0, Thunderbolt 4, WIFI7, 5GbE LAN, EZ-Latch</x:v>
      </x:c>
      <x:c r="D237" s="34" t="str">
        <x:v>GIGABYTE</x:v>
      </x:c>
      <x:c r="E237" s="82" t="n">
        <x:v>313.76</x:v>
      </x:c>
      <x:c r="F237" s="34" t="str">
        <x:v>USD</x:v>
      </x:c>
      <x:c r="G237" s="34" t="str">
        <x:v>retail</x:v>
      </x:c>
      <x:c r="H237" s="34" t="str">
        <x:v>2026-06-29</x:v>
      </x:c>
      <x:c r="I237" s="34" t="str">
        <x:v>socket=LGA1851; chipset=Z890; formFactor=ATX; memoryType=DDR5; maxMemoryGb=256; m2Slots=5; storageInterfaces=NVMe/SATA; cpuTiers=mid/high/enthusiast</x:v>
      </x:c>
      <x:c r="J237" s="34" t="str">
        <x:v>LGA1851, Z890, ATX, DDR5, ca-retail</x:v>
      </x:c>
      <x:c r="K237" s="34" t="str">
        <x:v>ATX Z890 motherboard for LGA1851 from CA retailer; M.2 slot count derived when source omits it.</x:v>
      </x:c>
      <x:c r="L237" s="34" t="str">
        <x:v>https://www.newegg.ca/p/13-145-524</x:v>
      </x:c>
      <x:c r="M237" s="35" t="str">
        <x:v>https://www.newegg.ca/p/13-145-524</x:v>
      </x:c>
    </x:row>
    <x:row r="238">
      <x:c r="A238" s="33" t="str">
        <x:v>motherboard</x:v>
      </x:c>
      <x:c r="B238" s="34" t="str">
        <x:v>ca-newegg-motherboard-asus-pro-ws-z890-ace-se-z890-lga-1851-atx-motherboard-intel-core-ultra</x:v>
      </x:c>
      <x:c r="C238" s="34" t="str">
        <x:v>ASUS Pro WS Z890-ACE SE Z890 LGA 1851 ATX Motherboard - Intel Core Ultra Series 2 Ready - Advanced AI PC-Ready - PCIe 5.0  DDR5 - 10G &amp; 2.5G LAN - 4X M.2 - USB 20Gbp  (PRO WS Z890-ACE SE)</x:v>
      </x:c>
      <x:c r="D238" s="34" t="str">
        <x:v>ASUS</x:v>
      </x:c>
      <x:c r="E238" s="82" t="n">
        <x:v>493.56</x:v>
      </x:c>
      <x:c r="F238" s="34" t="str">
        <x:v>USD</x:v>
      </x:c>
      <x:c r="G238" s="34" t="str">
        <x:v>retail</x:v>
      </x:c>
      <x:c r="H238" s="34" t="str">
        <x:v>2026-06-29</x:v>
      </x:c>
      <x:c r="I238" s="34" t="str">
        <x:v>socket=LGA1851; chipset=Z890; formFactor=ATX; memoryType=DDR5; maxMemoryGb=256; m2Slots=4; storageInterfaces=NVMe/SATA; cpuTiers=mid/high/enthusiast</x:v>
      </x:c>
      <x:c r="J238" s="34" t="str">
        <x:v>LGA1851, Z890, ATX, DDR5, ca-retail</x:v>
      </x:c>
      <x:c r="K238" s="34" t="str">
        <x:v>ATX Z890 motherboard for LGA1851 from CA retailer; M.2 slot count derived when source omits it.</x:v>
      </x:c>
      <x:c r="L238" s="34" t="str">
        <x:v>https://www.newegg.ca/p/1JW-000C-01B12</x:v>
      </x:c>
      <x:c r="M238" s="35" t="str">
        <x:v>https://www.newegg.ca/p/1JW-000C-01B12</x:v>
      </x:c>
    </x:row>
    <x:row r="239">
      <x:c r="A239" s="33" t="str">
        <x:v>motherboard</x:v>
      </x:c>
      <x:c r="B239" s="34" t="str">
        <x:v>ca-newegg-motherboard-asus-prime-z890-p-wifi-z890-lga-1851-atx-motherboard-intel-core-ultra-</x:v>
      </x:c>
      <x:c r="C239" s="34" t="str">
        <x:v>ASUS PRIME Z890-P WIFI Z890 LGA 1851 ATX motherboard, Intel® Core™ Ultra Series 2 Ready, Advanced AI PC-ready, 14+1+1+2 power stage, DDR5, PCIe® 5.0, Thunderbolt™ 4 USB Type-C®, 4x M.2, Wi-Fi 7, 2.5Gb</x:v>
      </x:c>
      <x:c r="D239" s="34" t="str">
        <x:v>ASUS</x:v>
      </x:c>
      <x:c r="E239" s="82" t="n">
        <x:v>225.63</x:v>
      </x:c>
      <x:c r="F239" s="34" t="str">
        <x:v>USD</x:v>
      </x:c>
      <x:c r="G239" s="34" t="str">
        <x:v>retail</x:v>
      </x:c>
      <x:c r="H239" s="34" t="str">
        <x:v>2026-06-29</x:v>
      </x:c>
      <x:c r="I239" s="34" t="str">
        <x:v>socket=LGA1851; chipset=Z890; formFactor=ATX; memoryType=DDR5; maxMemoryGb=256; m2Slots=4; storageInterfaces=NVMe/SATA; cpuTiers=mid/high/enthusiast</x:v>
      </x:c>
      <x:c r="J239" s="34" t="str">
        <x:v>LGA1851, Z890, ATX, DDR5, ca-retail</x:v>
      </x:c>
      <x:c r="K239" s="34" t="str">
        <x:v>ATX Z890 motherboard for LGA1851 from CA retailer; M.2 slot count derived when source omits it.</x:v>
      </x:c>
      <x:c r="L239" s="34" t="str">
        <x:v>https://www.newegg.ca/p/13-119-696</x:v>
      </x:c>
      <x:c r="M239" s="35" t="str">
        <x:v>https://www.newegg.ca/p/13-119-696</x:v>
      </x:c>
    </x:row>
    <x:row r="240">
      <x:c r="A240" s="33" t="str">
        <x:v>motherboard</x:v>
      </x:c>
      <x:c r="B240" s="34" t="str">
        <x:v>ca-newegg-motherboard-asus-rog-strix-z890-h-gaming-wifi-z890-lga-1851-atx-motherboard-intel-</x:v>
      </x:c>
      <x:c r="C240" s="34" t="str">
        <x:v>ASUS ROG STRIX Z890-H GAMING WIFI Z890 LGA 1851 ATX motherboard, Intel Core Ultra Series 2 Ready, Advanced AI PC-ready, 16+2+1+2 stages, DDR5, 5Gb LAN, WiFi 7, 4x M.2, PCIe 5.0, USB Type-C, AI OC</x:v>
      </x:c>
      <x:c r="D240" s="34" t="str">
        <x:v>ASUS</x:v>
      </x:c>
      <x:c r="E240" s="82" t="n">
        <x:v>492.87</x:v>
      </x:c>
      <x:c r="F240" s="34" t="str">
        <x:v>USD</x:v>
      </x:c>
      <x:c r="G240" s="34" t="str">
        <x:v>retail</x:v>
      </x:c>
      <x:c r="H240" s="34" t="str">
        <x:v>2026-06-29</x:v>
      </x:c>
      <x:c r="I240" s="34" t="str">
        <x:v>socket=LGA1851; chipset=Z890; formFactor=ATX; memoryType=DDR5; maxMemoryGb=256; m2Slots=4; storageInterfaces=NVMe/SATA; cpuTiers=mid/high/enthusiast</x:v>
      </x:c>
      <x:c r="J240" s="34" t="str">
        <x:v>LGA1851, Z890, ATX, DDR5, ca-retail</x:v>
      </x:c>
      <x:c r="K240" s="34" t="str">
        <x:v>ATX Z890 motherboard for LGA1851 from CA retailer; M.2 slot count derived when source omits it.</x:v>
      </x:c>
      <x:c r="L240" s="34" t="str">
        <x:v>https://www.newegg.ca/p/9SIC6HJKWG2382</x:v>
      </x:c>
      <x:c r="M240" s="35" t="str">
        <x:v>https://www.newegg.ca/p/9SIC6HJKWG2382</x:v>
      </x:c>
    </x:row>
    <x:row r="241">
      <x:c r="A241" s="33" t="str">
        <x:v>motherboard</x:v>
      </x:c>
      <x:c r="B241" s="34" t="str">
        <x:v>ca-newegg-motherboard-asus-rog-maximus-z890-apex-intel-z890-lga-1851-atx-motherboard-advance</x:v>
      </x:c>
      <x:c r="C241" s="34" t="str">
        <x:v>ASUS ROG MAXIMUS Z890 APEX Intel® Z890 LGA 1851 ATX motherboard, Advanced AI PC-ready, 22+2+1+2 stages, DDR5, WiFi 7, 5G LAN, 3x PCIe® 5.0 M.2, Thunderbolt™ 4, USB Type-C®, AI OC, Cooling &amp; Networking</x:v>
      </x:c>
      <x:c r="D241" s="34" t="str">
        <x:v>ASUS</x:v>
      </x:c>
      <x:c r="E241" s="82" t="n">
        <x:v>807.77</x:v>
      </x:c>
      <x:c r="F241" s="34" t="str">
        <x:v>USD</x:v>
      </x:c>
      <x:c r="G241" s="34" t="str">
        <x:v>retail</x:v>
      </x:c>
      <x:c r="H241" s="34" t="str">
        <x:v>2026-06-29</x:v>
      </x:c>
      <x:c r="I241" s="34" t="str">
        <x:v>socket=LGA1851; chipset=Z890; formFactor=ATX; memoryType=DDR5; maxMemoryGb=256; m2Slots=2; storageInterfaces=NVMe/SATA; cpuTiers=mid/high/enthusiast</x:v>
      </x:c>
      <x:c r="J241" s="34" t="str">
        <x:v>LGA1851, Z890, ATX, DDR5, ca-retail</x:v>
      </x:c>
      <x:c r="K241" s="34" t="str">
        <x:v>ATX Z890 motherboard for LGA1851 from CA retailer; M.2 slot count derived when source omits it.</x:v>
      </x:c>
      <x:c r="L241" s="34" t="str">
        <x:v>https://www.newegg.ca/p/9SIAMW5KK15965</x:v>
      </x:c>
      <x:c r="M241" s="35" t="str">
        <x:v>https://www.newegg.ca/p/9SIAMW5KK15965</x:v>
      </x:c>
    </x:row>
    <x:row r="242">
      <x:c r="A242" s="33" t="str">
        <x:v>motherboard</x:v>
      </x:c>
      <x:c r="B242" s="34" t="str">
        <x:v>ca-newegg-motherboard-mag-z890-tomahawk-wifi-motherboard-atx-supports-intel-core-ultra-proce</x:v>
      </x:c>
      <x:c r="C242" s="34" t="str">
        <x:v>MAG Z890 TOMAHAWK WIFI Motherboard, ATX - Supports Intel Core Ultra Processors (Series 2), LGA 1851 - DDR5 Memory Boost 4 x DDR5 (9200+ MT/s OC), 1 x PCIe 5.0 x16, 1 x M.2 Gen5, Wi-Fi 7, 5G LAN</x:v>
      </x:c>
      <x:c r="D242" s="34" t="str">
        <x:v>MSI</x:v>
      </x:c>
      <x:c r="E242" s="82" t="n">
        <x:v>238.31</x:v>
      </x:c>
      <x:c r="F242" s="34" t="str">
        <x:v>USD</x:v>
      </x:c>
      <x:c r="G242" s="34" t="str">
        <x:v>retail</x:v>
      </x:c>
      <x:c r="H242" s="34" t="str">
        <x:v>2026-06-29</x:v>
      </x:c>
      <x:c r="I242" s="34" t="str">
        <x:v>socket=LGA1851; chipset=Z890; formFactor=ATX; memoryType=DDR5; maxMemoryGb=256; m2Slots=2; storageInterfaces=NVMe/SATA; cpuTiers=mid/high/enthusiast</x:v>
      </x:c>
      <x:c r="J242" s="34" t="str">
        <x:v>LGA1851, Z890, ATX, DDR5, ca-retail</x:v>
      </x:c>
      <x:c r="K242" s="34" t="str">
        <x:v>ATX Z890 motherboard for LGA1851 from CA retailer; M.2 slot count derived when source omits it.</x:v>
      </x:c>
      <x:c r="L242" s="34" t="str">
        <x:v>https://www.newegg.ca/p/13-144-669</x:v>
      </x:c>
      <x:c r="M242" s="35" t="str">
        <x:v>https://www.newegg.ca/p/13-144-669</x:v>
      </x:c>
    </x:row>
    <x:row r="243">
      <x:c r="A243" s="33" t="str">
        <x:v>motherboard</x:v>
      </x:c>
      <x:c r="B243" s="34" t="str">
        <x:v>ca-newegg-motherboard-msi-mpg-z890-carbon-wifi-motherboard-atx-supports-intel-core-ultra-pro</x:v>
      </x:c>
      <x:c r="C243" s="34" t="str">
        <x:v>MSI MPG Z890 CARBON WIFI Motherboard, ATX - Supports Intel Core Ultra Processors (Series 2), LGA 1851 - 110A SPS VRM, DDR5 Memory Boost 9200+ MT/s (OC), PCIe 5.0 x16 &amp; 4.0 x16, M.2 Gen5, Wi-Fi 7, 5G L</x:v>
      </x:c>
      <x:c r="D243" s="34" t="str">
        <x:v>MSI</x:v>
      </x:c>
      <x:c r="E243" s="82" t="n">
        <x:v>543.29</x:v>
      </x:c>
      <x:c r="F243" s="34" t="str">
        <x:v>USD</x:v>
      </x:c>
      <x:c r="G243" s="34" t="str">
        <x:v>retail</x:v>
      </x:c>
      <x:c r="H243" s="34" t="str">
        <x:v>2026-06-29</x:v>
      </x:c>
      <x:c r="I243" s="34" t="str">
        <x:v>socket=LGA1851; chipset=Z890; formFactor=ATX; memoryType=DDR5; maxMemoryGb=256; m2Slots=2; storageInterfaces=NVMe/SATA; cpuTiers=mid/high/enthusiast</x:v>
      </x:c>
      <x:c r="J243" s="34" t="str">
        <x:v>LGA1851, Z890, ATX, DDR5, ca-retail</x:v>
      </x:c>
      <x:c r="K243" s="34" t="str">
        <x:v>ATX Z890 motherboard for LGA1851 from CA retailer; M.2 slot count derived when source omits it.</x:v>
      </x:c>
      <x:c r="L243" s="34" t="str">
        <x:v>https://www.newegg.ca/p/9SIC72ZKYX1477</x:v>
      </x:c>
      <x:c r="M243" s="35" t="str">
        <x:v>https://www.newegg.ca/p/9SIC72ZKYX1477</x:v>
      </x:c>
    </x:row>
    <x:row r="244">
      <x:c r="A244" s="33" t="str">
        <x:v>motherboard</x:v>
      </x:c>
      <x:c r="B244" s="34" t="str">
        <x:v>ca-newegg-motherboard-z890-gaming-plus-wifi-motherboard-atx-supports-intel-core-ultra-proces</x:v>
      </x:c>
      <x:c r="C244" s="34" t="str">
        <x:v>Z890 GAMING PLUS WIFI Motherboard, ATX - Supports Intel Core Ultra Processors (Series 2), LGA 1851 - DDR5 Memory Boost 9200+MT/s OC, 1 x PCIe 5.0 x16, 1 x M.2 Gen5, Intel Killer 5G LAN, Wi-Fi 7</x:v>
      </x:c>
      <x:c r="D244" s="34" t="str">
        <x:v>MSI</x:v>
      </x:c>
      <x:c r="E244" s="82" t="n">
        <x:v>391.33</x:v>
      </x:c>
      <x:c r="F244" s="34" t="str">
        <x:v>USD</x:v>
      </x:c>
      <x:c r="G244" s="34" t="str">
        <x:v>retail</x:v>
      </x:c>
      <x:c r="H244" s="34" t="str">
        <x:v>2026-06-29</x:v>
      </x:c>
      <x:c r="I244" s="34" t="str">
        <x:v>socket=LGA1851; chipset=Z890; formFactor=ATX; memoryType=DDR5; maxMemoryGb=256; m2Slots=2; storageInterfaces=NVMe/SATA; cpuTiers=mid/high/enthusiast</x:v>
      </x:c>
      <x:c r="J244" s="34" t="str">
        <x:v>LGA1851, Z890, ATX, DDR5, ca-retail</x:v>
      </x:c>
      <x:c r="K244" s="34" t="str">
        <x:v>ATX Z890 motherboard for LGA1851 from CA retailer; M.2 slot count derived when source omits it.</x:v>
      </x:c>
      <x:c r="L244" s="34" t="str">
        <x:v>https://www.newegg.ca/p/9SIC6VJKX64082</x:v>
      </x:c>
      <x:c r="M244" s="35" t="str">
        <x:v>https://www.newegg.ca/p/9SIC6VJKX64082</x:v>
      </x:c>
    </x:row>
    <x:row r="245">
      <x:c r="A245" s="33" t="str">
        <x:v>motherboard</x:v>
      </x:c>
      <x:c r="B245" s="34" t="str">
        <x:v>ca-newegg-motherboard-asus-proart-z890-creator-wifi-z890-lga-1851-atx-motherboard-intel-core</x:v>
      </x:c>
      <x:c r="C245" s="34" t="str">
        <x:v>ASUS ProArt Z890-CREATOR WIFI Z890 LGA 1851 ATX Motherboard, Intel® Core™ Ultra Processor Series 2 Ready, 16+2+1+2 stages, PCIe® 5.0, DDR5, Thunderbolt™ 5 Type-C®, 10+2.5 Gb LAN, WiFi 7, 5x M.2, AI OC</x:v>
      </x:c>
      <x:c r="D245" s="34" t="str">
        <x:v>ASUS</x:v>
      </x:c>
      <x:c r="E245" s="82" t="n">
        <x:v>472.42</x:v>
      </x:c>
      <x:c r="F245" s="34" t="str">
        <x:v>USD</x:v>
      </x:c>
      <x:c r="G245" s="34" t="str">
        <x:v>retail</x:v>
      </x:c>
      <x:c r="H245" s="34" t="str">
        <x:v>2026-06-29</x:v>
      </x:c>
      <x:c r="I245" s="34" t="str">
        <x:v>socket=LGA1851; chipset=Z890; formFactor=ATX; memoryType=DDR5; maxMemoryGb=256; m2Slots=5; storageInterfaces=NVMe/SATA; cpuTiers=mid/high/enthusiast</x:v>
      </x:c>
      <x:c r="J245" s="34" t="str">
        <x:v>LGA1851, Z890, ATX, DDR5, ca-retail</x:v>
      </x:c>
      <x:c r="K245" s="34" t="str">
        <x:v>ATX Z890 motherboard for LGA1851 from CA retailer; M.2 slot count derived when source omits it.</x:v>
      </x:c>
      <x:c r="L245" s="34" t="str">
        <x:v>https://www.newegg.ca/p/13-119-699</x:v>
      </x:c>
      <x:c r="M245" s="35" t="str">
        <x:v>https://www.newegg.ca/p/13-119-699</x:v>
      </x:c>
    </x:row>
    <x:row r="246">
      <x:c r="A246" s="33" t="str">
        <x:v>motherboard</x:v>
      </x:c>
      <x:c r="B246" s="34" t="str">
        <x:v>ca-newegg-motherboard-msi-meg-z890-unify-x-motherboard-atx-supports-intel-core-ultra-process</x:v>
      </x:c>
      <x:c r="C246" s="34" t="str">
        <x:v>MSI MEG Z890 UNIFY-X Motherboard, ATX - Supports Intel Core Ultra Processors (Series 2), LGA 1851 - 110A SPS, DDR5 Memory (9600+ MT/s OC), PCIe 5.0 &amp; 4.0 x16, M.2 Gen5, Thunderbolt 4, Wi-Fi 7, 5G LAN</x:v>
      </x:c>
      <x:c r="D246" s="34" t="str">
        <x:v>MSI</x:v>
      </x:c>
      <x:c r="E246" s="82" t="n">
        <x:v>877.85</x:v>
      </x:c>
      <x:c r="F246" s="34" t="str">
        <x:v>USD</x:v>
      </x:c>
      <x:c r="G246" s="34" t="str">
        <x:v>retail</x:v>
      </x:c>
      <x:c r="H246" s="34" t="str">
        <x:v>2026-06-29</x:v>
      </x:c>
      <x:c r="I246" s="34" t="str">
        <x:v>socket=LGA1851; chipset=Z890; formFactor=ATX; memoryType=DDR5; maxMemoryGb=256; m2Slots=6; storageInterfaces=NVMe/SATA; cpuTiers=mid/high/enthusiast</x:v>
      </x:c>
      <x:c r="J246" s="34" t="str">
        <x:v>LGA1851, Z890, ATX, DDR5, ca-retail</x:v>
      </x:c>
      <x:c r="K246" s="34" t="str">
        <x:v>ATX Z890 motherboard for LGA1851 from CA retailer; M.2 slot count derived when source omits it.</x:v>
      </x:c>
      <x:c r="L246" s="34" t="str">
        <x:v>https://www.newegg.ca/p/9SIC6VJKX69239</x:v>
      </x:c>
      <x:c r="M246" s="35" t="str">
        <x:v>https://www.newegg.ca/p/9SIC6VJKX69239</x:v>
      </x:c>
    </x:row>
    <x:row r="247">
      <x:c r="A247" s="33" t="str">
        <x:v>motherboard</x:v>
      </x:c>
      <x:c r="B247" s="34" t="str">
        <x:v>ca-newegg-motherboard-msi-pro-z890-p-wifi-motherboard-atx-supports-intel-core-ultra-processo</x:v>
      </x:c>
      <x:c r="C247" s="34" t="str">
        <x:v>MSI PRO Z890-P WIFI Motherboard, ATX - Supports Intel Core Ultra Processors (Series 2), LGA 1851 - 55A DrMOS, DDR5 Memory Boost (9200+ MT/s OC), PCIe 5.0 x16 &amp; 4.0 x16, M.2 Gen5, Wi-Fi 7, 5G LAN</x:v>
      </x:c>
      <x:c r="D247" s="34" t="str">
        <x:v>MSI</x:v>
      </x:c>
      <x:c r="E247" s="82" t="n">
        <x:v>179.8</x:v>
      </x:c>
      <x:c r="F247" s="34" t="str">
        <x:v>USD</x:v>
      </x:c>
      <x:c r="G247" s="34" t="str">
        <x:v>retail</x:v>
      </x:c>
      <x:c r="H247" s="34" t="str">
        <x:v>2026-06-29</x:v>
      </x:c>
      <x:c r="I247" s="34" t="str">
        <x:v>socket=LGA1851; chipset=Z890; formFactor=ATX; memoryType=DDR5; maxMemoryGb=256; m2Slots=2; storageInterfaces=NVMe/SATA; cpuTiers=mid/high/enthusiast</x:v>
      </x:c>
      <x:c r="J247" s="34" t="str">
        <x:v>LGA1851, Z890, ATX, DDR5, ca-retail</x:v>
      </x:c>
      <x:c r="K247" s="34" t="str">
        <x:v>ATX Z890 motherboard for LGA1851 from CA retailer; M.2 slot count derived when source omits it.</x:v>
      </x:c>
      <x:c r="L247" s="34" t="str">
        <x:v>https://www.newegg.ca/p/13-144-672</x:v>
      </x:c>
      <x:c r="M247" s="35" t="str">
        <x:v>https://www.newegg.ca/p/13-144-672</x:v>
      </x:c>
    </x:row>
    <x:row r="248">
      <x:c r="A248" s="33" t="str">
        <x:v>motherboard</x:v>
      </x:c>
      <x:c r="B248" s="34" t="str">
        <x:v>ca-newegg-motherboard-gigabyte-z890-aorus-elite-duo-x-intel-lga-1851-atx-motherboard-support</x:v>
      </x:c>
      <x:c r="C248" s="34" t="str">
        <x:v>GIGABYTE Z890 AORUS ELITE DUO X Intel LGA 1851 ATX Motherboard, Support Core Ultra (Series 2), DDR5, 16+1+2 Power Phase, 5x M.2, PCIe 5.0, USB4, WiFi 7, 5 GbE, EZ-Latch, D5 Bionic Corsa</x:v>
      </x:c>
      <x:c r="D248" s="34" t="str">
        <x:v>GIGABYTE</x:v>
      </x:c>
      <x:c r="E248" s="82" t="n">
        <x:v>296.13</x:v>
      </x:c>
      <x:c r="F248" s="34" t="str">
        <x:v>USD</x:v>
      </x:c>
      <x:c r="G248" s="34" t="str">
        <x:v>retail</x:v>
      </x:c>
      <x:c r="H248" s="34" t="str">
        <x:v>2026-06-29</x:v>
      </x:c>
      <x:c r="I248" s="34" t="str">
        <x:v>socket=LGA1851; chipset=Z890; formFactor=ATX; memoryType=DDR5; maxMemoryGb=256; m2Slots=5; storageInterfaces=NVMe/SATA; cpuTiers=mid/high/enthusiast</x:v>
      </x:c>
      <x:c r="J248" s="34" t="str">
        <x:v>LGA1851, Z890, ATX, DDR5, ca-retail</x:v>
      </x:c>
      <x:c r="K248" s="34" t="str">
        <x:v>ATX Z890 motherboard for LGA1851 from CA retailer; M.2 slot count derived when source omits it.</x:v>
      </x:c>
      <x:c r="L248" s="34" t="str">
        <x:v>https://www.newegg.ca/p/13-145-621</x:v>
      </x:c>
      <x:c r="M248" s="35" t="str">
        <x:v>https://www.newegg.ca/p/13-145-621</x:v>
      </x:c>
    </x:row>
    <x:row r="249">
      <x:c r="A249" s="33" t="str">
        <x:v>motherboard</x:v>
      </x:c>
      <x:c r="B249" s="34" t="str">
        <x:v>ca-newegg-motherboard-msi-pro-z890-s-wifi-pz-motherboard-back-connect-atx-supports-intel-cor</x:v>
      </x:c>
      <x:c r="C249" s="34" t="str">
        <x:v>MSI PRO Z890-S WIFI PZ Motherboard, Back-connect ATX - Supports Intel Core Ultra Processors (Series 2), LGA 1851 - DDR5 Memory Boost (8600+ MT/s OC), PCIe 5.0 x16, M.2 Gen5, Wi-Fi 7, 2.5G LAN</x:v>
      </x:c>
      <x:c r="D249" s="34" t="str">
        <x:v>MSI</x:v>
      </x:c>
      <x:c r="E249" s="82" t="n">
        <x:v>264.41</x:v>
      </x:c>
      <x:c r="F249" s="34" t="str">
        <x:v>USD</x:v>
      </x:c>
      <x:c r="G249" s="34" t="str">
        <x:v>retail</x:v>
      </x:c>
      <x:c r="H249" s="34" t="str">
        <x:v>2026-06-29</x:v>
      </x:c>
      <x:c r="I249" s="34" t="str">
        <x:v>socket=LGA1851; chipset=Z890; formFactor=ATX; memoryType=DDR5; maxMemoryGb=256; m2Slots=2; storageInterfaces=NVMe/SATA; cpuTiers=mid/high/enthusiast</x:v>
      </x:c>
      <x:c r="J249" s="34" t="str">
        <x:v>LGA1851, Z890, ATX, DDR5, ca-retail</x:v>
      </x:c>
      <x:c r="K249" s="34" t="str">
        <x:v>ATX Z890 motherboard for LGA1851 from CA retailer; M.2 slot count derived when source omits it.</x:v>
      </x:c>
      <x:c r="L249" s="34" t="str">
        <x:v>https://www.newegg.ca/p/9SIA9H5KS58219</x:v>
      </x:c>
      <x:c r="M249" s="35" t="str">
        <x:v>https://www.newegg.ca/p/9SIA9H5KS58219</x:v>
      </x:c>
    </x:row>
    <x:row r="250">
      <x:c r="A250" s="33" t="str">
        <x:v>motherboard</x:v>
      </x:c>
      <x:c r="B250" s="34" t="str">
        <x:v>ca-newegg-motherboard-gigabyte-z890-ud-wifi6e-ultra-core-series-2-lga-1851-atx-ddr5-3x-m-2-p</x:v>
      </x:c>
      <x:c r="C250" s="34" t="str">
        <x:v>GIGABYTE Z890 UD WIFI6E Ultra Core (Series 2) LGA 1851, ATX, DDR5, 3x M.2, PCIe 5.0, Front USB Type-C, WIFI6E, 2.5GbE LAN, EZ-Latch</x:v>
      </x:c>
      <x:c r="D250" s="34" t="str">
        <x:v>GIGABYTE</x:v>
      </x:c>
      <x:c r="E250" s="82" t="n">
        <x:v>263.16</x:v>
      </x:c>
      <x:c r="F250" s="34" t="str">
        <x:v>USD</x:v>
      </x:c>
      <x:c r="G250" s="34" t="str">
        <x:v>retail</x:v>
      </x:c>
      <x:c r="H250" s="34" t="str">
        <x:v>2026-06-29</x:v>
      </x:c>
      <x:c r="I250" s="34" t="str">
        <x:v>socket=LGA1851; chipset=Z890; formFactor=ATX; memoryType=DDR5; maxMemoryGb=256; m2Slots=3; storageInterfaces=NVMe/SATA; cpuTiers=mid/high/enthusiast</x:v>
      </x:c>
      <x:c r="J250" s="34" t="str">
        <x:v>LGA1851, Z890, ATX, DDR5, ca-retail</x:v>
      </x:c>
      <x:c r="K250" s="34" t="str">
        <x:v>ATX Z890 motherboard for LGA1851 from CA retailer; M.2 slot count derived when source omits it.</x:v>
      </x:c>
      <x:c r="L250" s="34" t="str">
        <x:v>https://www.newegg.ca/p/9SIA7BBKET7267</x:v>
      </x:c>
      <x:c r="M250" s="35" t="str">
        <x:v>https://www.newegg.ca/p/9SIA7BBKET7267</x:v>
      </x:c>
    </x:row>
    <x:row r="251">
      <x:c r="A251" s="33" t="str">
        <x:v>motherboard</x:v>
      </x:c>
      <x:c r="B251" s="34" t="str">
        <x:v>ca-newegg-motherboard-asus-prime-z890m-plus-wifi-z890-lga-1851-matx-motherboard-intel-core-u</x:v>
      </x:c>
      <x:c r="C251" s="34" t="str">
        <x:v>ASUS PRIME Z890M-PLUS WIFI Z890 LGA 1851 mATX motherboard, Intel® Core™ Ultra Series 2 Ready, Advanced AI PC-ready, 10+1+2+1 80A power stages, DDR5, PCIe® 5.0, USB Type-C®, 3x M.2, Wi-Fi 7, 2.5Gb LAN</x:v>
      </x:c>
      <x:c r="D251" s="34" t="str">
        <x:v>ASUS</x:v>
      </x:c>
      <x:c r="E251" s="82" t="n">
        <x:v>197.42</x:v>
      </x:c>
      <x:c r="F251" s="34" t="str">
        <x:v>USD</x:v>
      </x:c>
      <x:c r="G251" s="34" t="str">
        <x:v>retail</x:v>
      </x:c>
      <x:c r="H251" s="34" t="str">
        <x:v>2026-06-29</x:v>
      </x:c>
      <x:c r="I251" s="34" t="str">
        <x:v>socket=LGA1851; chipset=Z890M; formFactor=Micro-ATX; memoryType=DDR5; maxMemoryGb=256; m2Slots=3; storageInterfaces=NVMe/SATA; cpuTiers=mid/high/enthusiast</x:v>
      </x:c>
      <x:c r="J251" s="34" t="str">
        <x:v>LGA1851, Z890M, Micro-ATX, DDR5, ca-retail</x:v>
      </x:c>
      <x:c r="K251" s="34" t="str">
        <x:v>Micro-ATX Z890M motherboard for LGA1851 from CA retailer; M.2 slot count derived when source omits it.</x:v>
      </x:c>
      <x:c r="L251" s="34" t="str">
        <x:v>https://www.newegg.ca/p/13-119-698</x:v>
      </x:c>
      <x:c r="M251" s="35" t="str">
        <x:v>https://www.newegg.ca/p/13-119-698</x:v>
      </x:c>
    </x:row>
    <x:row r="252">
      <x:c r="A252" s="33" t="str">
        <x:v>motherboard</x:v>
      </x:c>
      <x:c r="B252" s="34" t="str">
        <x:v>ca-newegg-motherboard-gigabyte-z890-aorus-elite-wifi7-plus-intel-lga-1851-atx-motherboard-su</x:v>
      </x:c>
      <x:c r="C252" s="34" t="str">
        <x:v>GIGABYTE Z890 AORUS ELITE WIFI7 PLUS Intel LGA 1851 ATX Motherboard, Support Core Ultra (Series 2), DDR5, 16+1+2 Power Phase, 4x M.2, PCIe 5.0, USB4, WiFi 7, 5GbE, EZ-Latch, D5 Bionic Corsa</x:v>
      </x:c>
      <x:c r="D252" s="34" t="str">
        <x:v>GIGABYTE</x:v>
      </x:c>
      <x:c r="E252" s="82" t="n">
        <x:v>291.87</x:v>
      </x:c>
      <x:c r="F252" s="34" t="str">
        <x:v>USD</x:v>
      </x:c>
      <x:c r="G252" s="34" t="str">
        <x:v>retail</x:v>
      </x:c>
      <x:c r="H252" s="34" t="str">
        <x:v>2026-06-29</x:v>
      </x:c>
      <x:c r="I252" s="34" t="str">
        <x:v>socket=LGA1851; chipset=Z890; formFactor=ATX; memoryType=DDR5; maxMemoryGb=256; m2Slots=4; storageInterfaces=NVMe/SATA; cpuTiers=mid/high/enthusiast</x:v>
      </x:c>
      <x:c r="J252" s="34" t="str">
        <x:v>LGA1851, Z890, ATX, DDR5, ca-retail</x:v>
      </x:c>
      <x:c r="K252" s="34" t="str">
        <x:v>ATX Z890 motherboard for LGA1851 from CA retailer; M.2 slot count derived when source omits it.</x:v>
      </x:c>
      <x:c r="L252" s="34" t="str">
        <x:v>https://www.newegg.ca/p/13-145-615</x:v>
      </x:c>
      <x:c r="M252" s="35" t="str">
        <x:v>https://www.newegg.ca/p/13-145-615</x:v>
      </x:c>
    </x:row>
    <x:row r="253">
      <x:c r="A253" s="33" t="str">
        <x:v>motherboard</x:v>
      </x:c>
      <x:c r="B253" s="34" t="str">
        <x:v>ca-newegg-motherboard-msi-mpg-z890-edge-ti-wifi-white-motherboard-atx-supports-intel-core-ul</x:v>
      </x:c>
      <x:c r="C253" s="34" t="str">
        <x:v>MSI MPG Z890 EDGE TI WIFI White Motherboard, ATX - Supports Intel Core Ultra Processors (Series 2), LGA 1851 - 90A SPS VRM, DDR5 Memory Boost (9066+ MT/s OC), PCIe 5.0 x16 &amp; 4.0 x16, M.2 Gen5, Wi-Fi 7</x:v>
      </x:c>
      <x:c r="D253" s="34" t="str">
        <x:v>MSI</x:v>
      </x:c>
      <x:c r="E253" s="82" t="n">
        <x:v>371.05</x:v>
      </x:c>
      <x:c r="F253" s="34" t="str">
        <x:v>USD</x:v>
      </x:c>
      <x:c r="G253" s="34" t="str">
        <x:v>retail</x:v>
      </x:c>
      <x:c r="H253" s="34" t="str">
        <x:v>2026-06-29</x:v>
      </x:c>
      <x:c r="I253" s="34" t="str">
        <x:v>socket=LGA1851; chipset=Z890; formFactor=ATX; memoryType=DDR5; maxMemoryGb=256; m2Slots=2; storageInterfaces=NVMe/SATA; cpuTiers=mid/high/enthusiast</x:v>
      </x:c>
      <x:c r="J253" s="34" t="str">
        <x:v>LGA1851, Z890, ATX, DDR5, ca-retail, white</x:v>
      </x:c>
      <x:c r="K253" s="34" t="str">
        <x:v>ATX Z890 motherboard for LGA1851 from CA retailer; M.2 slot count derived when source omits it.</x:v>
      </x:c>
      <x:c r="L253" s="34" t="str">
        <x:v>https://www.newegg.ca/p/9SIC72ZKYX1448</x:v>
      </x:c>
      <x:c r="M253" s="35" t="str">
        <x:v>https://www.newegg.ca/p/9SIC72ZKYX1448</x:v>
      </x:c>
    </x:row>
    <x:row r="254">
      <x:c r="A254" s="33" t="str">
        <x:v>motherboard</x:v>
      </x:c>
      <x:c r="B254" s="34" t="str">
        <x:v>ca-newegg-motherboard-asus-rog-maximus-z890-hero-btf-z890-lga-1851-atx-motherboard-hidden-co</x:v>
      </x:c>
      <x:c r="C254" s="34" t="str">
        <x:v>ASUS ROG MAXIMUS Z890 HERO BTF Z890 LGA 1851 ATX motherboard, hidden-connector design, Advanced AI PC Ready, 22+1+2+2 stages, DDR5, WiFi 7, 2.5G LAN, 6x M.2, PCIe 5.0, Thunderbolt™ 4, USB Type-C®, AI</x:v>
      </x:c>
      <x:c r="D254" s="34" t="str">
        <x:v>ASUS</x:v>
      </x:c>
      <x:c r="E254" s="82" t="n">
        <x:v>902.47</x:v>
      </x:c>
      <x:c r="F254" s="34" t="str">
        <x:v>USD</x:v>
      </x:c>
      <x:c r="G254" s="34" t="str">
        <x:v>retail</x:v>
      </x:c>
      <x:c r="H254" s="34" t="str">
        <x:v>2026-06-29</x:v>
      </x:c>
      <x:c r="I254" s="34" t="str">
        <x:v>socket=LGA1851; chipset=Z890; formFactor=ATX; memoryType=DDR5; maxMemoryGb=256; m2Slots=6; storageInterfaces=NVMe/SATA; cpuTiers=mid/high/enthusiast</x:v>
      </x:c>
      <x:c r="J254" s="34" t="str">
        <x:v>LGA1851, Z890, ATX, DDR5, ca-retail</x:v>
      </x:c>
      <x:c r="K254" s="34" t="str">
        <x:v>ATX Z890 motherboard for LGA1851 from CA retailer; M.2 slot count derived when source omits it.</x:v>
      </x:c>
      <x:c r="L254" s="34" t="str">
        <x:v>https://www.newegg.ca/p/9SIC72ZKYX1613</x:v>
      </x:c>
      <x:c r="M254" s="35" t="str">
        <x:v>https://www.newegg.ca/p/9SIC72ZKYX1613</x:v>
      </x:c>
    </x:row>
    <x:row r="255">
      <x:c r="A255" s="33" t="str">
        <x:v>motherboard</x:v>
      </x:c>
      <x:c r="B255" s="34" t="str">
        <x:v>ca-newegg-motherboard-gigabyte-z890-eagle-wifi7-ultra-core-series-2-lga-1851-atx-ddr5-4x-m-2</x:v>
      </x:c>
      <x:c r="C255" s="34" t="str">
        <x:v>GIGABYTE Z890 EAGLE WIFI7 Ultra Core (Series 2) LGA 1851, ATX, DDR5, 4x M.2, PCIe 5.0, USB4, WIFI7, 2.5GbE LAN, EZ-Latch</x:v>
      </x:c>
      <x:c r="D255" s="34" t="str">
        <x:v>GIGABYTE</x:v>
      </x:c>
      <x:c r="E255" s="82" t="n">
        <x:v>288.62</x:v>
      </x:c>
      <x:c r="F255" s="34" t="str">
        <x:v>USD</x:v>
      </x:c>
      <x:c r="G255" s="34" t="str">
        <x:v>retail</x:v>
      </x:c>
      <x:c r="H255" s="34" t="str">
        <x:v>2026-06-29</x:v>
      </x:c>
      <x:c r="I255" s="34" t="str">
        <x:v>socket=LGA1851; chipset=Z890; formFactor=ATX; memoryType=DDR5; maxMemoryGb=256; m2Slots=4; storageInterfaces=NVMe/SATA; cpuTiers=mid/high/enthusiast</x:v>
      </x:c>
      <x:c r="J255" s="34" t="str">
        <x:v>LGA1851, Z890, ATX, DDR5, ca-retail</x:v>
      </x:c>
      <x:c r="K255" s="34" t="str">
        <x:v>ATX Z890 motherboard for LGA1851 from CA retailer; M.2 slot count derived when source omits it.</x:v>
      </x:c>
      <x:c r="L255" s="34" t="str">
        <x:v>https://www.newegg.ca/p/9SIA7BBKET7264</x:v>
      </x:c>
      <x:c r="M255" s="35" t="str">
        <x:v>https://www.newegg.ca/p/9SIA7BBKET7264</x:v>
      </x:c>
    </x:row>
    <x:row r="256">
      <x:c r="A256" s="33" t="str">
        <x:v>motherboard</x:v>
      </x:c>
      <x:c r="B256" s="34" t="str">
        <x:v>ca-newegg-motherboard-msi-meg-z890-ace-motherboard-atx-supports-intel-core-ultra-processors-</x:v>
      </x:c>
      <x:c r="C256" s="34" t="str">
        <x:v>MSI MEG Z890 ACE Motherboard, ATX - Supports Intel Core Ultra Processors (Series 2), LGA 1851 - 110A SPS VRM, DDR5 Memory (9200+MT/s OC), PCIe 5.0 &amp; 4.0 x16, M.2 Gen5, Thunderbolt 4, Wi-Fi 7, 10G LAN</x:v>
      </x:c>
      <x:c r="D256" s="34" t="str">
        <x:v>MSI</x:v>
      </x:c>
      <x:c r="E256" s="82" t="n">
        <x:v>930.73</x:v>
      </x:c>
      <x:c r="F256" s="34" t="str">
        <x:v>USD</x:v>
      </x:c>
      <x:c r="G256" s="34" t="str">
        <x:v>retail</x:v>
      </x:c>
      <x:c r="H256" s="34" t="str">
        <x:v>2026-06-29</x:v>
      </x:c>
      <x:c r="I256" s="34" t="str">
        <x:v>socket=LGA1851; chipset=Z890; formFactor=ATX; memoryType=DDR5; maxMemoryGb=256; m2Slots=2; storageInterfaces=NVMe/SATA; cpuTiers=mid/high/enthusiast</x:v>
      </x:c>
      <x:c r="J256" s="34" t="str">
        <x:v>LGA1851, Z890, ATX, DDR5, ca-retail</x:v>
      </x:c>
      <x:c r="K256" s="34" t="str">
        <x:v>ATX Z890 motherboard for LGA1851 from CA retailer; M.2 slot count derived when source omits it.</x:v>
      </x:c>
      <x:c r="L256" s="34" t="str">
        <x:v>https://www.newegg.ca/p/9SIC72ZKYX1473</x:v>
      </x:c>
      <x:c r="M256" s="35" t="str">
        <x:v>https://www.newegg.ca/p/9SIC72ZKYX1473</x:v>
      </x:c>
    </x:row>
    <x:row r="257">
      <x:c r="A257" s="33" t="str">
        <x:v>motherboard</x:v>
      </x:c>
      <x:c r="B257" s="34" t="str">
        <x:v>ca-newegg-motherboard-asrock-z890-taichi-ocf-lga-1851-atx-motherboard</x:v>
      </x:c>
      <x:c r="C257" s="34" t="str">
        <x:v>ASRock Z890 Taichi OCF LGA 1851 ATX Motherboard</x:v>
      </x:c>
      <x:c r="D257" s="34" t="str">
        <x:v>ASRock</x:v>
      </x:c>
      <x:c r="E257" s="82" t="n">
        <x:v>519.36</x:v>
      </x:c>
      <x:c r="F257" s="34" t="str">
        <x:v>USD</x:v>
      </x:c>
      <x:c r="G257" s="34" t="str">
        <x:v>retail</x:v>
      </x:c>
      <x:c r="H257" s="34" t="str">
        <x:v>2026-06-29</x:v>
      </x:c>
      <x:c r="I257" s="34" t="str">
        <x:v>socket=LGA1851; chipset=Z890; formFactor=ATX; memoryType=DDR5; maxMemoryGb=256; m2Slots=2; storageInterfaces=NVMe/SATA; cpuTiers=mid/high/enthusiast</x:v>
      </x:c>
      <x:c r="J257" s="34" t="str">
        <x:v>LGA1851, Z890, ATX, DDR5, ca-retail</x:v>
      </x:c>
      <x:c r="K257" s="34" t="str">
        <x:v>ATX Z890 motherboard for LGA1851 from CA retailer; M.2 slot count derived when source omits it.</x:v>
      </x:c>
      <x:c r="L257" s="34" t="str">
        <x:v>https://www.newegg.ca/p/9SIA7BBKHC3734</x:v>
      </x:c>
      <x:c r="M257" s="35" t="str">
        <x:v>https://www.newegg.ca/p/9SIA7BBKHC3734</x:v>
      </x:c>
    </x:row>
    <x:row r="258">
      <x:c r="A258" s="33" t="str">
        <x:v>motherboard</x:v>
      </x:c>
      <x:c r="B258" s="34" t="str">
        <x:v>ca-newegg-motherboard-asrock-z890-riptide-wifi-lga-1851-atx-motherboard</x:v>
      </x:c>
      <x:c r="C258" s="34" t="str">
        <x:v>ASRock Z890 Riptide WiFi LGA 1851 ATX Motherboard</x:v>
      </x:c>
      <x:c r="D258" s="34" t="str">
        <x:v>ASRock</x:v>
      </x:c>
      <x:c r="E258" s="82" t="n">
        <x:v>193.89</x:v>
      </x:c>
      <x:c r="F258" s="34" t="str">
        <x:v>USD</x:v>
      </x:c>
      <x:c r="G258" s="34" t="str">
        <x:v>retail</x:v>
      </x:c>
      <x:c r="H258" s="34" t="str">
        <x:v>2026-06-29</x:v>
      </x:c>
      <x:c r="I258" s="34" t="str">
        <x:v>socket=LGA1851; chipset=Z890; formFactor=ATX; memoryType=DDR5; maxMemoryGb=256; m2Slots=2; storageInterfaces=NVMe/SATA; cpuTiers=mid/high/enthusiast</x:v>
      </x:c>
      <x:c r="J258" s="34" t="str">
        <x:v>LGA1851, Z890, ATX, DDR5, ca-retail</x:v>
      </x:c>
      <x:c r="K258" s="34" t="str">
        <x:v>ATX Z890 motherboard for LGA1851 from CA retailer; M.2 slot count derived when source omits it.</x:v>
      </x:c>
      <x:c r="L258" s="34" t="str">
        <x:v>https://www.newegg.ca/p/13-162-172</x:v>
      </x:c>
      <x:c r="M258" s="35" t="str">
        <x:v>https://www.newegg.ca/p/13-162-172</x:v>
      </x:c>
    </x:row>
    <x:row r="259">
      <x:c r="A259" s="33" t="str">
        <x:v>motherboard</x:v>
      </x:c>
      <x:c r="B259" s="34" t="str">
        <x:v>ca-newegg-motherboard-asrock-z890m-riptide-wifi-lga-1851-micro-atx-motherboard</x:v>
      </x:c>
      <x:c r="C259" s="34" t="str">
        <x:v>ASRock Z890M Riptide WiFi LGA 1851 Micro ATX Motherboard</x:v>
      </x:c>
      <x:c r="D259" s="34" t="str">
        <x:v>ASRock</x:v>
      </x:c>
      <x:c r="E259" s="82" t="n">
        <x:v>257.41</x:v>
      </x:c>
      <x:c r="F259" s="34" t="str">
        <x:v>USD</x:v>
      </x:c>
      <x:c r="G259" s="34" t="str">
        <x:v>retail</x:v>
      </x:c>
      <x:c r="H259" s="34" t="str">
        <x:v>2026-06-29</x:v>
      </x:c>
      <x:c r="I259" s="34" t="str">
        <x:v>socket=LGA1851; chipset=Z890M; formFactor=Micro-ATX; memoryType=DDR5; maxMemoryGb=256; m2Slots=2; storageInterfaces=NVMe/SATA; cpuTiers=mid/high/enthusiast</x:v>
      </x:c>
      <x:c r="J259" s="34" t="str">
        <x:v>LGA1851, Z890M, Micro-ATX, DDR5, ca-retail</x:v>
      </x:c>
      <x:c r="K259" s="34" t="str">
        <x:v>Micro-ATX Z890M motherboard for LGA1851 from CA retailer; M.2 slot count derived when source omits it.</x:v>
      </x:c>
      <x:c r="L259" s="34" t="str">
        <x:v>https://www.newegg.ca/p/13-162-181</x:v>
      </x:c>
      <x:c r="M259" s="35" t="str">
        <x:v>https://www.newegg.ca/p/13-162-181</x:v>
      </x:c>
    </x:row>
    <x:row r="260">
      <x:c r="A260" s="33" t="str">
        <x:v>motherboard</x:v>
      </x:c>
      <x:c r="B260" s="34" t="str">
        <x:v>ca-newegg-motherboard-asus-z890-ayw-gaming-wifi-w-atx-z890-motherboard-intel-core-ultra-seri</x:v>
      </x:c>
      <x:c r="C260" s="34" t="str">
        <x:v>ASUS Z890 AYW GAMING WIFI W ATX Z890 motherboard, Intel Core Ultra Series 2 Ready, Advanced AI PC-ready, 16+1+2+1 stages, DDR5, PCIe 5.0, Thunderbolt 4, USB Type-C, 4 x M.2, Wi-Fi 7, 2.5Gb LAN</x:v>
      </x:c>
      <x:c r="D260" s="34" t="str">
        <x:v>ASUS</x:v>
      </x:c>
      <x:c r="E260" s="82" t="n">
        <x:v>359.6</x:v>
      </x:c>
      <x:c r="F260" s="34" t="str">
        <x:v>USD</x:v>
      </x:c>
      <x:c r="G260" s="34" t="str">
        <x:v>retail</x:v>
      </x:c>
      <x:c r="H260" s="34" t="str">
        <x:v>2026-06-29</x:v>
      </x:c>
      <x:c r="I260" s="34" t="str">
        <x:v>socket=LGA1851; chipset=Z890; formFactor=ATX; memoryType=DDR5; maxMemoryGb=256; m2Slots=2; storageInterfaces=NVMe/SATA; cpuTiers=mid/high/enthusiast</x:v>
      </x:c>
      <x:c r="J260" s="34" t="str">
        <x:v>LGA1851, Z890, ATX, DDR5, ca-retail</x:v>
      </x:c>
      <x:c r="K260" s="34" t="str">
        <x:v>ATX Z890 motherboard for LGA1851 from CA retailer; M.2 slot count derived when source omits it.</x:v>
      </x:c>
      <x:c r="L260" s="34" t="str">
        <x:v>https://www.newegg.ca/p/9SIC6VJKX68988</x:v>
      </x:c>
      <x:c r="M260" s="35" t="str">
        <x:v>https://www.newegg.ca/p/9SIC6VJKX68988</x:v>
      </x:c>
    </x:row>
    <x:row r="261">
      <x:c r="A261" s="33" t="str">
        <x:v>motherboard</x:v>
      </x:c>
      <x:c r="B261" s="34" t="str">
        <x:v>ca-newegg-motherboard-asrock-z890-livemixer-wifi-lga-1851-atx-motherboard</x:v>
      </x:c>
      <x:c r="C261" s="34" t="str">
        <x:v>ASRock Z890 LiveMixer WiFi LGA 1851 ATX Motherboard</x:v>
      </x:c>
      <x:c r="D261" s="34" t="str">
        <x:v>ASRock</x:v>
      </x:c>
      <x:c r="E261" s="82" t="n">
        <x:v>218.57</x:v>
      </x:c>
      <x:c r="F261" s="34" t="str">
        <x:v>USD</x:v>
      </x:c>
      <x:c r="G261" s="34" t="str">
        <x:v>retail</x:v>
      </x:c>
      <x:c r="H261" s="34" t="str">
        <x:v>2026-06-29</x:v>
      </x:c>
      <x:c r="I261" s="34" t="str">
        <x:v>socket=LGA1851; chipset=Z890; formFactor=ATX; memoryType=DDR5; maxMemoryGb=256; m2Slots=2; storageInterfaces=NVMe/SATA; cpuTiers=mid/high/enthusiast</x:v>
      </x:c>
      <x:c r="J261" s="34" t="str">
        <x:v>LGA1851, Z890, ATX, DDR5, ca-retail</x:v>
      </x:c>
      <x:c r="K261" s="34" t="str">
        <x:v>ATX Z890 motherboard for LGA1851 from CA retailer; M.2 slot count derived when source omits it.</x:v>
      </x:c>
      <x:c r="L261" s="34" t="str">
        <x:v>https://www.newegg.ca/p/13-162-175</x:v>
      </x:c>
      <x:c r="M261" s="35" t="str">
        <x:v>https://www.newegg.ca/p/13-162-175</x:v>
      </x:c>
    </x:row>
    <x:row r="262">
      <x:c r="A262" s="33" t="str">
        <x:v>motherboard</x:v>
      </x:c>
      <x:c r="B262" s="34" t="str">
        <x:v>ca-newegg-motherboard-asus-tuf-gaming-z890-pro-wifi-z890-lga-1851-atx-motherboard-intel-core</x:v>
      </x:c>
      <x:c r="C262" s="34" t="str">
        <x:v>ASUS TUF Gaming Z890-PRO WiFi Z890 LGA 1851 ATX Motherboard, Intel® Core Ultra Series 2 Ready, Advanced AI PC-Ready, 16+1+2+1 Stages, DDR5, PCIe® 5.0, Thunderbolt 4 Type-C, 4X M.2, Wi-Fi 7, 2.5Gb</x:v>
      </x:c>
      <x:c r="D262" s="34" t="str">
        <x:v>ASUS</x:v>
      </x:c>
      <x:c r="E262" s="82" t="n">
        <x:v>418.4</x:v>
      </x:c>
      <x:c r="F262" s="34" t="str">
        <x:v>USD</x:v>
      </x:c>
      <x:c r="G262" s="34" t="str">
        <x:v>retail</x:v>
      </x:c>
      <x:c r="H262" s="34" t="str">
        <x:v>2026-06-29</x:v>
      </x:c>
      <x:c r="I262" s="34" t="str">
        <x:v>socket=LGA1851; chipset=Z890; formFactor=ATX; memoryType=DDR5; maxMemoryGb=256; m2Slots=4; storageInterfaces=NVMe/SATA; cpuTiers=mid/high/enthusiast</x:v>
      </x:c>
      <x:c r="J262" s="34" t="str">
        <x:v>LGA1851, Z890, ATX, DDR5, ca-retail</x:v>
      </x:c>
      <x:c r="K262" s="34" t="str">
        <x:v>ATX Z890 motherboard for LGA1851 from CA retailer; M.2 slot count derived when source omits it.</x:v>
      </x:c>
      <x:c r="L262" s="34" t="str">
        <x:v>https://www.newegg.ca/p/9SIC6VJKX70516</x:v>
      </x:c>
      <x:c r="M262" s="35" t="str">
        <x:v>https://www.newegg.ca/p/9SIC6VJKX70516</x:v>
      </x:c>
    </x:row>
    <x:row r="263">
      <x:c r="A263" s="33" t="str">
        <x:v>motherboard</x:v>
      </x:c>
      <x:c r="B263" s="34" t="str">
        <x:v>ca-newegg-motherboard-asrock-z890-taichi-lite-lga-1851-atx-motherboard</x:v>
      </x:c>
      <x:c r="C263" s="34" t="str">
        <x:v>ASRock Z890 Taichi Lite LGA 1851 ATX Motherboard</x:v>
      </x:c>
      <x:c r="D263" s="34" t="str">
        <x:v>ASRock</x:v>
      </x:c>
      <x:c r="E263" s="82" t="n">
        <x:v>317.29</x:v>
      </x:c>
      <x:c r="F263" s="34" t="str">
        <x:v>USD</x:v>
      </x:c>
      <x:c r="G263" s="34" t="str">
        <x:v>retail</x:v>
      </x:c>
      <x:c r="H263" s="34" t="str">
        <x:v>2026-06-29</x:v>
      </x:c>
      <x:c r="I263" s="34" t="str">
        <x:v>socket=LGA1851; chipset=Z890; formFactor=ATX; memoryType=DDR5; maxMemoryGb=256; m2Slots=2; storageInterfaces=NVMe/SATA; cpuTiers=mid/high/enthusiast</x:v>
      </x:c>
      <x:c r="J263" s="34" t="str">
        <x:v>LGA1851, Z890, ATX, DDR5, ca-retail</x:v>
      </x:c>
      <x:c r="K263" s="34" t="str">
        <x:v>ATX Z890 motherboard for LGA1851 from CA retailer; M.2 slot count derived when source omits it.</x:v>
      </x:c>
      <x:c r="L263" s="34" t="str">
        <x:v>https://www.newegg.ca/p/13-162-171</x:v>
      </x:c>
      <x:c r="M263" s="35" t="str">
        <x:v>https://www.newegg.ca/p/13-162-171</x:v>
      </x:c>
    </x:row>
    <x:row r="264">
      <x:c r="A264" s="33" t="str">
        <x:v>motherboard</x:v>
      </x:c>
      <x:c r="B264" s="34" t="str">
        <x:v>ca-newegg-motherboard-msi-pro-z890-a-wifi-motherboard-atx-supports-intel-core-ultra-processo</x:v>
      </x:c>
      <x:c r="C264" s="34" t="str">
        <x:v>MSI PRO Z890-A WIFI Motherboard, ATX - Supports Intel Core Ultra Processors (Series 2), LGA 1851 - 90A SPS VRM, DDR5 Memory Boost (9066+ MT/s OC), PCIe 5.0 x16 &amp; 4.0 x16, M.2 Gen5, Wi-Fi 7, 5G LAN</x:v>
      </x:c>
      <x:c r="D264" s="34" t="str">
        <x:v>MSI</x:v>
      </x:c>
      <x:c r="E264" s="82" t="n">
        <x:v>243.26</x:v>
      </x:c>
      <x:c r="F264" s="34" t="str">
        <x:v>USD</x:v>
      </x:c>
      <x:c r="G264" s="34" t="str">
        <x:v>retail</x:v>
      </x:c>
      <x:c r="H264" s="34" t="str">
        <x:v>2026-06-29</x:v>
      </x:c>
      <x:c r="I264" s="34" t="str">
        <x:v>socket=LGA1851; chipset=Z890; formFactor=ATX; memoryType=DDR5; maxMemoryGb=256; m2Slots=2; storageInterfaces=NVMe/SATA; cpuTiers=mid/high/enthusiast</x:v>
      </x:c>
      <x:c r="J264" s="34" t="str">
        <x:v>LGA1851, Z890, ATX, DDR5, ca-retail</x:v>
      </x:c>
      <x:c r="K264" s="34" t="str">
        <x:v>ATX Z890 motherboard for LGA1851 from CA retailer; M.2 slot count derived when source omits it.</x:v>
      </x:c>
      <x:c r="L264" s="34" t="str">
        <x:v>https://www.newegg.ca/p/13-144-670</x:v>
      </x:c>
      <x:c r="M264" s="35" t="str">
        <x:v>https://www.newegg.ca/p/13-144-670</x:v>
      </x:c>
    </x:row>
    <x:row r="265">
      <x:c r="A265" s="33" t="str">
        <x:v>motherboard</x:v>
      </x:c>
      <x:c r="B265" s="34" t="str">
        <x:v>ca-newegg-motherboard-msi-pro-z890-s-wifi-lga-1851-atx-motherboard</x:v>
      </x:c>
      <x:c r="C265" s="34" t="str">
        <x:v>MSI PRO Z890-S WIFI LGA 1851 ATX Motherboard</x:v>
      </x:c>
      <x:c r="D265" s="34" t="str">
        <x:v>MSI</x:v>
      </x:c>
      <x:c r="E265" s="82" t="n">
        <x:v>176.19</x:v>
      </x:c>
      <x:c r="F265" s="34" t="str">
        <x:v>USD</x:v>
      </x:c>
      <x:c r="G265" s="34" t="str">
        <x:v>retail</x:v>
      </x:c>
      <x:c r="H265" s="34" t="str">
        <x:v>2026-06-29</x:v>
      </x:c>
      <x:c r="I265" s="34" t="str">
        <x:v>socket=LGA1851; chipset=Z890; formFactor=ATX; memoryType=DDR5; maxMemoryGb=256; m2Slots=2; storageInterfaces=NVMe/SATA; cpuTiers=mid/high/enthusiast</x:v>
      </x:c>
      <x:c r="J265" s="34" t="str">
        <x:v>LGA1851, Z890, ATX, DDR5, ca-retail</x:v>
      </x:c>
      <x:c r="K265" s="34" t="str">
        <x:v>ATX Z890 motherboard for LGA1851 from CA retailer; M.2 slot count derived when source omits it.</x:v>
      </x:c>
      <x:c r="L265" s="34" t="str">
        <x:v>https://www.newegg.ca/p/9SIC72ZKZ64662</x:v>
      </x:c>
      <x:c r="M265" s="35" t="str">
        <x:v>https://www.newegg.ca/p/9SIC72ZKZ64662</x:v>
      </x:c>
    </x:row>
    <x:row r="266">
      <x:c r="A266" s="33" t="str">
        <x:v>motherboard</x:v>
      </x:c>
      <x:c r="B266" s="34" t="str">
        <x:v>ca-newegg-motherboard-asus-rog-strix-z890-f-gaming-wifi-intel-z890-lga-1851-atx-motherboard-</x:v>
      </x:c>
      <x:c r="C266" s="34" t="str">
        <x:v>ASUS ROG STRIX Z890-F GAMING WIFI Intel Z890 LGA 1851 ATX motherboard, DDR5 slots, DIMM Flex, AEMP III, WiFi 7, 5×M.2 slots,NPU Boost, ASUS AI Advisor, AI Overclocking, AI Cooling II, Polymo Lighting</x:v>
      </x:c>
      <x:c r="D266" s="34" t="str">
        <x:v>ASUS</x:v>
      </x:c>
      <x:c r="E266" s="82" t="n">
        <x:v>655.75</x:v>
      </x:c>
      <x:c r="F266" s="34" t="str">
        <x:v>USD</x:v>
      </x:c>
      <x:c r="G266" s="34" t="str">
        <x:v>retail</x:v>
      </x:c>
      <x:c r="H266" s="34" t="str">
        <x:v>2026-06-29</x:v>
      </x:c>
      <x:c r="I266" s="34" t="str">
        <x:v>socket=LGA1851; chipset=Z890; formFactor=ATX; memoryType=DDR5; maxMemoryGb=256; m2Slots=5; storageInterfaces=NVMe/SATA; cpuTiers=mid/high/enthusiast</x:v>
      </x:c>
      <x:c r="J266" s="34" t="str">
        <x:v>LGA1851, Z890, ATX, DDR5, ca-retail</x:v>
      </x:c>
      <x:c r="K266" s="34" t="str">
        <x:v>ATX Z890 motherboard for LGA1851 from CA retailer; M.2 slot count derived when source omits it.</x:v>
      </x:c>
      <x:c r="L266" s="34" t="str">
        <x:v>https://www.newegg.ca/p/9SIC6VJKX72519</x:v>
      </x:c>
      <x:c r="M266" s="35" t="str">
        <x:v>https://www.newegg.ca/p/9SIC6VJKX72519</x:v>
      </x:c>
    </x:row>
    <x:row r="267">
      <x:c r="A267" s="33" t="str">
        <x:v>motherboard</x:v>
      </x:c>
      <x:c r="B267" s="34" t="str">
        <x:v>ca-newegg-motherboard-asrock-z890-steel-legend-wifi-lga-1851-atx-motherboard</x:v>
      </x:c>
      <x:c r="C267" s="34" t="str">
        <x:v>ASRock Z890 Steel Legend WiFi LGA 1851 ATX Motherboard</x:v>
      </x:c>
      <x:c r="D267" s="34" t="str">
        <x:v>ASRock</x:v>
      </x:c>
      <x:c r="E267" s="82" t="n">
        <x:v>228.57</x:v>
      </x:c>
      <x:c r="F267" s="34" t="str">
        <x:v>USD</x:v>
      </x:c>
      <x:c r="G267" s="34" t="str">
        <x:v>retail</x:v>
      </x:c>
      <x:c r="H267" s="34" t="str">
        <x:v>2026-06-29</x:v>
      </x:c>
      <x:c r="I267" s="34" t="str">
        <x:v>socket=LGA1851; chipset=Z890; formFactor=ATX; memoryType=DDR5; maxMemoryGb=256; m2Slots=2; storageInterfaces=NVMe/SATA; cpuTiers=mid/high/enthusiast</x:v>
      </x:c>
      <x:c r="J267" s="34" t="str">
        <x:v>LGA1851, Z890, ATX, DDR5, ca-retail</x:v>
      </x:c>
      <x:c r="K267" s="34" t="str">
        <x:v>ATX Z890 motherboard for LGA1851 from CA retailer; M.2 slot count derived when source omits it.</x:v>
      </x:c>
      <x:c r="L267" s="34" t="str">
        <x:v>https://www.newegg.ca/p/9SIA7BBKNF3777</x:v>
      </x:c>
      <x:c r="M267" s="35" t="str">
        <x:v>https://www.newegg.ca/p/9SIA7BBKNF3777</x:v>
      </x:c>
    </x:row>
    <x:row r="268">
      <x:c r="A268" s="33" t="str">
        <x:v>motherboard</x:v>
      </x:c>
      <x:c r="B268" s="34" t="str">
        <x:v>ca-newegg-motherboard-asus-rog-strix-z890-i-gaming-wifi-lga-1851-mini-itx-motherboard</x:v>
      </x:c>
      <x:c r="C268" s="34" t="str">
        <x:v>ASUS ROG STRIX Z890-I GAMING WIFI LGA 1851 Mini ITX Motherboard</x:v>
      </x:c>
      <x:c r="D268" s="34" t="str">
        <x:v>ASUS</x:v>
      </x:c>
      <x:c r="E268" s="82" t="n">
        <x:v>676.9</x:v>
      </x:c>
      <x:c r="F268" s="34" t="str">
        <x:v>USD</x:v>
      </x:c>
      <x:c r="G268" s="34" t="str">
        <x:v>retail</x:v>
      </x:c>
      <x:c r="H268" s="34" t="str">
        <x:v>2026-06-29</x:v>
      </x:c>
      <x:c r="I268" s="34" t="str">
        <x:v>socket=LGA1851; chipset=Z890; formFactor=Mini-ITX; memoryType=DDR5; maxMemoryGb=256; m2Slots=2; storageInterfaces=NVMe/SATA; cpuTiers=mid/high/enthusiast</x:v>
      </x:c>
      <x:c r="J268" s="34" t="str">
        <x:v>LGA1851, Z890, Mini-ITX, DDR5, ca-retail, sff</x:v>
      </x:c>
      <x:c r="K268" s="34" t="str">
        <x:v>Mini-ITX Z890 motherboard for LGA1851 from CA retailer; M.2 slot count derived when source omits it.</x:v>
      </x:c>
      <x:c r="L268" s="34" t="str">
        <x:v>https://www.newegg.ca/p/9SIC6VJKX67819</x:v>
      </x:c>
      <x:c r="M268" s="35" t="str">
        <x:v>https://www.newegg.ca/p/9SIC6VJKX67819</x:v>
      </x:c>
    </x:row>
    <x:row r="269">
      <x:c r="A269" s="33" t="str">
        <x:v>motherboard</x:v>
      </x:c>
      <x:c r="B269" s="34" t="str">
        <x:v>ca-newegg-motherboard-gigabyte-z890-aorus-elite-x-ice-ultra-core-series-2-lga-1851-atx-ddr5-</x:v>
      </x:c>
      <x:c r="C269" s="34" t="str">
        <x:v>GIGABYTE Z890 AORUS ELITE X ICE Ultra Core (Series 2) LGA 1851, ATX, DDR5, 5x M.2, PCIe 5.0, Thunderbolt 4, WIFI7, 2.5GbE LAN, EZ-Latch</x:v>
      </x:c>
      <x:c r="D269" s="34" t="str">
        <x:v>GIGABYTE</x:v>
      </x:c>
      <x:c r="E269" s="82" t="n">
        <x:v>274.98</x:v>
      </x:c>
      <x:c r="F269" s="34" t="str">
        <x:v>USD</x:v>
      </x:c>
      <x:c r="G269" s="34" t="str">
        <x:v>retail</x:v>
      </x:c>
      <x:c r="H269" s="34" t="str">
        <x:v>2026-06-29</x:v>
      </x:c>
      <x:c r="I269" s="34" t="str">
        <x:v>socket=LGA1851; chipset=Z890; formFactor=ATX; memoryType=DDR5; maxMemoryGb=256; m2Slots=5; storageInterfaces=NVMe/SATA; cpuTiers=mid/high/enthusiast</x:v>
      </x:c>
      <x:c r="J269" s="34" t="str">
        <x:v>LGA1851, Z890, ATX, DDR5, ca-retail</x:v>
      </x:c>
      <x:c r="K269" s="34" t="str">
        <x:v>ATX Z890 motherboard for LGA1851 from CA retailer; M.2 slot count derived when source omits it.</x:v>
      </x:c>
      <x:c r="L269" s="34" t="str">
        <x:v>https://www.newegg.ca/p/13-145-525</x:v>
      </x:c>
      <x:c r="M269" s="35" t="str">
        <x:v>https://www.newegg.ca/p/13-145-525</x:v>
      </x:c>
    </x:row>
    <x:row r="270">
      <x:c r="A270" s="33" t="str">
        <x:v>motherboard</x:v>
      </x:c>
      <x:c r="B270" s="34" t="str">
        <x:v>ca-newegg-motherboard-asus-prime-z890-p-intel-z890-lga-1851-atx-motherboard-ddr5-slots-pcie-</x:v>
      </x:c>
      <x:c r="C270" s="34" t="str">
        <x:v>ASUS PRIME Z890-P Intel Z890 (LGA 1851) ATX motherboard, DDR5 slots,PCIe 5.0,DisplayPort,HDMI,USB 20Gbps,4 x M.2 slots,Realtek 2.5 Gb Ethernet,PCIe Slot Q-Release,Pre-mounted I/O shield,Aura Sync</x:v>
      </x:c>
      <x:c r="D270" s="34" t="str">
        <x:v>ASUS</x:v>
      </x:c>
      <x:c r="E270" s="82" t="n">
        <x:v>338.45</x:v>
      </x:c>
      <x:c r="F270" s="34" t="str">
        <x:v>USD</x:v>
      </x:c>
      <x:c r="G270" s="34" t="str">
        <x:v>retail</x:v>
      </x:c>
      <x:c r="H270" s="34" t="str">
        <x:v>2026-06-29</x:v>
      </x:c>
      <x:c r="I270" s="34" t="str">
        <x:v>socket=LGA1851; chipset=Z890; formFactor=ATX; memoryType=DDR5; maxMemoryGb=256; m2Slots=2; storageInterfaces=NVMe/SATA; cpuTiers=mid/high/enthusiast</x:v>
      </x:c>
      <x:c r="J270" s="34" t="str">
        <x:v>LGA1851, Z890, ATX, DDR5, ca-retail</x:v>
      </x:c>
      <x:c r="K270" s="34" t="str">
        <x:v>ATX Z890 motherboard for LGA1851 from CA retailer; M.2 slot count derived when source omits it.</x:v>
      </x:c>
      <x:c r="L270" s="34" t="str">
        <x:v>https://www.newegg.ca/p/9SIC6VJKX78281</x:v>
      </x:c>
      <x:c r="M270" s="35" t="str">
        <x:v>https://www.newegg.ca/p/9SIC6VJKX78281</x:v>
      </x:c>
    </x:row>
    <x:row r="271">
      <x:c r="A271" s="33" t="str">
        <x:v>motherboard</x:v>
      </x:c>
      <x:c r="B271" s="34" t="str">
        <x:v>ca-newegg-motherboard-msi-mpg-z890i-edge-ti-wifi-white-motherboard-mini-itx-supports-intel-c</x:v>
      </x:c>
      <x:c r="C271" s="34" t="str">
        <x:v>MSI MPG Z890I EDGE TI WIFI White Motherboard, Mini-ITX - Supports Intel Core Ultra Processors (Series 2), LGA 1851 - 110A SPS VRM, DDR5 Memory Boost (8600+ MT/s OC), PCIe 5.0 x16, M.2 Gen5, Wi-Fi 7, 5</x:v>
      </x:c>
      <x:c r="D271" s="34" t="str">
        <x:v>MSI</x:v>
      </x:c>
      <x:c r="E271" s="82" t="n">
        <x:v>648.69</x:v>
      </x:c>
      <x:c r="F271" s="34" t="str">
        <x:v>USD</x:v>
      </x:c>
      <x:c r="G271" s="34" t="str">
        <x:v>retail</x:v>
      </x:c>
      <x:c r="H271" s="34" t="str">
        <x:v>2026-06-29</x:v>
      </x:c>
      <x:c r="I271" s="34" t="str">
        <x:v>socket=LGA1851; chipset=Z890I; formFactor=Mini-ITX; memoryType=DDR5; maxMemoryGb=256; m2Slots=2; storageInterfaces=NVMe/SATA; cpuTiers=mid/high/enthusiast</x:v>
      </x:c>
      <x:c r="J271" s="34" t="str">
        <x:v>LGA1851, Z890I, Mini-ITX, DDR5, ca-retail, white, sff</x:v>
      </x:c>
      <x:c r="K271" s="34" t="str">
        <x:v>Mini-ITX Z890I motherboard for LGA1851 from CA retailer; M.2 slot count derived when source omits it.</x:v>
      </x:c>
      <x:c r="L271" s="34" t="str">
        <x:v>https://www.newegg.ca/p/9SIC72ZKYX1468</x:v>
      </x:c>
      <x:c r="M271" s="35" t="str">
        <x:v>https://www.newegg.ca/p/9SIC72ZKYX1468</x:v>
      </x:c>
    </x:row>
    <x:row r="272">
      <x:c r="A272" s="33" t="str">
        <x:v>motherboard</x:v>
      </x:c>
      <x:c r="B272" s="34" t="str">
        <x:v>ca-newegg-motherboard-gigabyte-z890i-aorus-ultra-ultra-core-series-2-lga-1851-mini-itx-ddr5-</x:v>
      </x:c>
      <x:c r="C272" s="34" t="str">
        <x:v>GIGABYTE Z890I AORUS ULTRA Ultra Core (Series 2) LGA 1851, Mini-ITX, DDR5, 2x M.2, PCIe 5.0, Thunderbolt 4, WIFI7, 2.5GbE LAN, EZ-Latch</x:v>
      </x:c>
      <x:c r="D272" s="34" t="str">
        <x:v>GIGABYTE</x:v>
      </x:c>
      <x:c r="E272" s="82" t="n">
        <x:v>358.42</x:v>
      </x:c>
      <x:c r="F272" s="34" t="str">
        <x:v>USD</x:v>
      </x:c>
      <x:c r="G272" s="34" t="str">
        <x:v>retail</x:v>
      </x:c>
      <x:c r="H272" s="34" t="str">
        <x:v>2026-06-29</x:v>
      </x:c>
      <x:c r="I272" s="34" t="str">
        <x:v>socket=LGA1851; chipset=Z890I; formFactor=Mini-ITX; memoryType=DDR5; maxMemoryGb=256; m2Slots=2; storageInterfaces=NVMe/SATA; cpuTiers=mid/high/enthusiast</x:v>
      </x:c>
      <x:c r="J272" s="34" t="str">
        <x:v>LGA1851, Z890I, Mini-ITX, DDR5, ca-retail, sff</x:v>
      </x:c>
      <x:c r="K272" s="34" t="str">
        <x:v>Mini-ITX Z890I motherboard for LGA1851 from CA retailer; M.2 slot count derived when source omits it.</x:v>
      </x:c>
      <x:c r="L272" s="34" t="str">
        <x:v>https://www.newegg.ca/p/13-145-534</x:v>
      </x:c>
      <x:c r="M272" s="35" t="str">
        <x:v>https://www.newegg.ca/p/13-145-534</x:v>
      </x:c>
    </x:row>
    <x:row r="273">
      <x:c r="A273" s="33" t="str">
        <x:v>motherboard</x:v>
      </x:c>
      <x:c r="B273" s="34" t="str">
        <x:v>ca-newegg-motherboard-msi-pro-z890-s-wifi-white-intel-z890-lga-1851-4x-ddr5-4x-pci-e-x16-slo</x:v>
      </x:c>
      <x:c r="C273" s="34" t="str">
        <x:v>MSI PRO Z890-S WIFI WHITE INTEL Z890 LGA 1851 4x DDR5  4x PCI-E x16 slot  3x M.2, Wi-Fi 7 SATA 6G 2.5Gbps LAN ATX Motherboard</x:v>
      </x:c>
      <x:c r="D273" s="34" t="str">
        <x:v>MSI</x:v>
      </x:c>
      <x:c r="E273" s="82" t="n">
        <x:v>232.68</x:v>
      </x:c>
      <x:c r="F273" s="34" t="str">
        <x:v>USD</x:v>
      </x:c>
      <x:c r="G273" s="34" t="str">
        <x:v>retail</x:v>
      </x:c>
      <x:c r="H273" s="34" t="str">
        <x:v>2026-06-29</x:v>
      </x:c>
      <x:c r="I273" s="34" t="str">
        <x:v>socket=LGA1851; chipset=Z890; formFactor=ATX; memoryType=DDR5; maxMemoryGb=256; m2Slots=3; storageInterfaces=NVMe/SATA; cpuTiers=mid/high/enthusiast</x:v>
      </x:c>
      <x:c r="J273" s="34" t="str">
        <x:v>LGA1851, Z890, ATX, DDR5, ca-retail, white</x:v>
      </x:c>
      <x:c r="K273" s="34" t="str">
        <x:v>ATX Z890 motherboard for LGA1851 from CA retailer; M.2 slot count derived when source omits it.</x:v>
      </x:c>
      <x:c r="L273" s="34" t="str">
        <x:v>https://www.newegg.ca/p/13-144-684</x:v>
      </x:c>
      <x:c r="M273" s="35" t="str">
        <x:v>https://www.newegg.ca/p/13-144-684</x:v>
      </x:c>
    </x:row>
    <x:row r="274">
      <x:c r="A274" s="33" t="str">
        <x:v>motherboard</x:v>
      </x:c>
      <x:c r="B274" s="34" t="str">
        <x:v>ca-newegg-motherboard-gigabyte-z890-eagle-wifi7-plus-intel-lga-1851-atx-motherboard-support-</x:v>
      </x:c>
      <x:c r="C274" s="34" t="str">
        <x:v>GIGABYTE Z890 EAGLE WIFI7 PLUS Intel LGA 1851 ATX Motherboard, Support Core Ultra (Series 2), DDR5, 14+1+2 Power Phase, 4x M.2, PCIe 5.0, USB4, WiFi 7, 2.5GbE, EZ-Latch, D5 Bionic Corsa</x:v>
      </x:c>
      <x:c r="D274" s="34" t="str">
        <x:v>GIGABYTE</x:v>
      </x:c>
      <x:c r="E274" s="82" t="n">
        <x:v>263.66</x:v>
      </x:c>
      <x:c r="F274" s="34" t="str">
        <x:v>USD</x:v>
      </x:c>
      <x:c r="G274" s="34" t="str">
        <x:v>retail</x:v>
      </x:c>
      <x:c r="H274" s="34" t="str">
        <x:v>2026-06-29</x:v>
      </x:c>
      <x:c r="I274" s="34" t="str">
        <x:v>socket=LGA1851; chipset=Z890; formFactor=ATX; memoryType=DDR5; maxMemoryGb=256; m2Slots=4; storageInterfaces=NVMe/SATA; cpuTiers=mid/high/enthusiast</x:v>
      </x:c>
      <x:c r="J274" s="34" t="str">
        <x:v>LGA1851, Z890, ATX, DDR5, ca-retail</x:v>
      </x:c>
      <x:c r="K274" s="34" t="str">
        <x:v>ATX Z890 motherboard for LGA1851 from CA retailer; M.2 slot count derived when source omits it.</x:v>
      </x:c>
      <x:c r="L274" s="34" t="str">
        <x:v>https://www.newegg.ca/p/13-145-616</x:v>
      </x:c>
      <x:c r="M274" s="35" t="str">
        <x:v>https://www.newegg.ca/p/13-145-616</x:v>
      </x:c>
    </x:row>
    <x:row r="275">
      <x:c r="A275" s="33" t="str">
        <x:v>motherboard</x:v>
      </x:c>
      <x:c r="B275" s="34" t="str">
        <x:v>ca-canadacomputers-motherboard-msi-pro-z890-s-wifi-intel-z890-atx-lga-1851-motherboard</x:v>
      </x:c>
      <x:c r="C275" s="34" t="str">
        <x:v>MSI PRO Z890-S WIFI , Intel Z890 ATX LGA 1851 Motherboard</x:v>
      </x:c>
      <x:c r="D275" s="34" t="str">
        <x:v>MSI</x:v>
      </x:c>
      <x:c r="E275" s="82" t="n">
        <x:v>176.19</x:v>
      </x:c>
      <x:c r="F275" s="34" t="str">
        <x:v>USD</x:v>
      </x:c>
      <x:c r="G275" s="34" t="str">
        <x:v>retail</x:v>
      </x:c>
      <x:c r="H275" s="34" t="str">
        <x:v>2026-06-29</x:v>
      </x:c>
      <x:c r="I275" s="34" t="str">
        <x:v>socket=LGA1851; chipset=Z890; formFactor=ATX; memoryType=DDR5; maxMemoryGb=256; m2Slots=2; storageInterfaces=NVMe/SATA; cpuTiers=mid/high/enthusiast</x:v>
      </x:c>
      <x:c r="J275" s="34" t="str">
        <x:v>LGA1851, Z890, ATX, DDR5, ca-retail</x:v>
      </x:c>
      <x:c r="K275" s="34" t="str">
        <x:v>ATX Z890 motherboard for LGA1851 from CA retailer; M.2 slot count derived when source omits it.</x:v>
      </x:c>
      <x:c r="L275" s="34" t="str">
        <x:v>https://www.canadacomputers.com/en/intel-motherboards/264268/msi-pro-z890-s-wifi-intel-z890-atx-lga-1851-motherboard-pro-z890-s-wifi.html</x:v>
      </x:c>
      <x:c r="M275" s="35" t="str">
        <x:v>https://www.canadacomputers.com/en/intel-motherboards/264268/msi-pro-z890-s-wifi-intel-z890-atx-lga-1851-motherboard-pro-z890-s-wifi.html</x:v>
      </x:c>
    </x:row>
    <x:row r="276">
      <x:c r="A276" s="33" t="str">
        <x:v>motherboard</x:v>
      </x:c>
      <x:c r="B276" s="34" t="str">
        <x:v>ca-canadacomputers-motherboard-gigabyte-z890-aorus-elite-wifi7-ultra-core-series-2-lga-1851-atx</x:v>
      </x:c>
      <x:c r="C276" s="34" t="str">
        <x:v>GIGABYTE Z890 AORUS ELITE WIFI7 Ultra Core (Series 2) LGA 1851, ATX</x:v>
      </x:c>
      <x:c r="D276" s="34" t="str">
        <x:v>GIGABYTE</x:v>
      </x:c>
      <x:c r="E276" s="82" t="n">
        <x:v>239.65</x:v>
      </x:c>
      <x:c r="F276" s="34" t="str">
        <x:v>USD</x:v>
      </x:c>
      <x:c r="G276" s="34" t="str">
        <x:v>retail</x:v>
      </x:c>
      <x:c r="H276" s="34" t="str">
        <x:v>2026-06-29</x:v>
      </x:c>
      <x:c r="I276" s="34" t="str">
        <x:v>socket=LGA1851; chipset=Z890; formFactor=ATX; memoryType=DDR5; maxMemoryGb=256; m2Slots=2; storageInterfaces=NVMe/SATA; cpuTiers=mid/high/enthusiast</x:v>
      </x:c>
      <x:c r="J276" s="34" t="str">
        <x:v>LGA1851, Z890, ATX, DDR5, ca-retail</x:v>
      </x:c>
      <x:c r="K276" s="34" t="str">
        <x:v>ATX Z890 motherboard for LGA1851 from CA retailer; M.2 slot count derived when source omits it.</x:v>
      </x:c>
      <x:c r="L276" s="34" t="str">
        <x:v>https://www.canadacomputers.com/en/intel-motherboards/264438/gigabyte-z890-aorus-elite-wifi7-ultra-core-series-2-lga-1851-atx-z890-aorus-elite-wifi7.html</x:v>
      </x:c>
      <x:c r="M276" s="35" t="str">
        <x:v>https://www.canadacomputers.com/en/intel-motherboards/264438/gigabyte-z890-aorus-elite-wifi7-ultra-core-series-2-lga-1851-atx-z890-aorus-elite-wifi7.html</x:v>
      </x:c>
    </x:row>
    <x:row r="277">
      <x:c r="A277" s="33" t="str">
        <x:v>motherboard</x:v>
      </x:c>
      <x:c r="B277" s="34" t="str">
        <x:v>ca-canadacomputers-motherboard-asus-tuf-gaming-z890-plus-wifi-z890-lga-1851-atx-motherboard</x:v>
      </x:c>
      <x:c r="C277" s="34" t="str">
        <x:v>ASUS TUF GAMING Z890-PLUS WIFI Z890 LGA 1851 ATX motherboard</x:v>
      </x:c>
      <x:c r="D277" s="34" t="str">
        <x:v>ASUS</x:v>
      </x:c>
      <x:c r="E277" s="82" t="n">
        <x:v>282.04</x:v>
      </x:c>
      <x:c r="F277" s="34" t="str">
        <x:v>USD</x:v>
      </x:c>
      <x:c r="G277" s="34" t="str">
        <x:v>retail</x:v>
      </x:c>
      <x:c r="H277" s="34" t="str">
        <x:v>2026-06-29</x:v>
      </x:c>
      <x:c r="I277" s="34" t="str">
        <x:v>socket=LGA1851; chipset=Z890; formFactor=ATX; memoryType=DDR5; maxMemoryGb=256; m2Slots=2; storageInterfaces=NVMe/SATA; cpuTiers=mid/high/enthusiast</x:v>
      </x:c>
      <x:c r="J277" s="34" t="str">
        <x:v>LGA1851, Z890, ATX, DDR5, ca-retail</x:v>
      </x:c>
      <x:c r="K277" s="34" t="str">
        <x:v>ATX Z890 motherboard for LGA1851 from CA retailer; M.2 slot count derived when source omits it.</x:v>
      </x:c>
      <x:c r="L277" s="34" t="str">
        <x:v>https://www.canadacomputers.com/en/intel-motherboards/264279/asus-tuf-gaming-z890-plus-wifi-z890-lga-1851-atx-motherboard-tuf-gaming-z890-plus-wifi.html</x:v>
      </x:c>
      <x:c r="M277" s="35" t="str">
        <x:v>https://www.canadacomputers.com/en/intel-motherboards/264279/asus-tuf-gaming-z890-plus-wifi-z890-lga-1851-atx-motherboard-tuf-gaming-z890-plus-wifi.html</x:v>
      </x:c>
    </x:row>
    <x:row r="278">
      <x:c r="A278" s="33" t="str">
        <x:v>motherboard</x:v>
      </x:c>
      <x:c r="B278" s="34" t="str">
        <x:v>ca-canadacomputers-motherboard-asus-rog-strix-z890-a-gaming-wifi-z890-lga-1851-atx-motherboard</x:v>
      </x:c>
      <x:c r="C278" s="34" t="str">
        <x:v>ASUS ROG STRIX Z890-A GAMING WIFI Z890 LGA 1851 ATX motherboard</x:v>
      </x:c>
      <x:c r="D278" s="34" t="str">
        <x:v>ASUS</x:v>
      </x:c>
      <x:c r="E278" s="82" t="n">
        <x:v>296.14</x:v>
      </x:c>
      <x:c r="F278" s="34" t="str">
        <x:v>USD</x:v>
      </x:c>
      <x:c r="G278" s="34" t="str">
        <x:v>retail</x:v>
      </x:c>
      <x:c r="H278" s="34" t="str">
        <x:v>2026-06-29</x:v>
      </x:c>
      <x:c r="I278" s="34" t="str">
        <x:v>socket=LGA1851; chipset=Z890; formFactor=ATX; memoryType=DDR5; maxMemoryGb=256; m2Slots=2; storageInterfaces=NVMe/SATA; cpuTiers=mid/high/enthusiast</x:v>
      </x:c>
      <x:c r="J278" s="34" t="str">
        <x:v>LGA1851, Z890, ATX, DDR5, ca-retail</x:v>
      </x:c>
      <x:c r="K278" s="34" t="str">
        <x:v>ATX Z890 motherboard for LGA1851 from CA retailer; M.2 slot count derived when source omits it.</x:v>
      </x:c>
      <x:c r="L278" s="34" t="str">
        <x:v>https://www.canadacomputers.com/en/intel-motherboards/264375/asus-rog-strix-z890-a-gaming-wifi-z890-lga-1851-atx-motherboard-rog-strix-z890-a-gaming-wifi.html</x:v>
      </x:c>
      <x:c r="M278" s="35" t="str">
        <x:v>https://www.canadacomputers.com/en/intel-motherboards/264375/asus-rog-strix-z890-a-gaming-wifi-z890-lga-1851-atx-motherboard-rog-strix-z890-a-gaming-wifi.html</x:v>
      </x:c>
    </x:row>
    <x:row r="279">
      <x:c r="A279" s="33" t="str">
        <x:v>motherboard</x:v>
      </x:c>
      <x:c r="B279" s="34" t="str">
        <x:v>ca-canadacomputers-motherboard-asus-rog-strix-b860-i-gaming-wifi-b860-lga-1851-mini-itx-motherboard</x:v>
      </x:c>
      <x:c r="C279" s="34" t="str">
        <x:v>ASUS ROG STRIX B860-I GAMING WIFI B860 LGA 1851 Mini-ITX motherboard</x:v>
      </x:c>
      <x:c r="D279" s="34" t="str">
        <x:v>ASUS</x:v>
      </x:c>
      <x:c r="E279" s="82" t="n">
        <x:v>218.58</x:v>
      </x:c>
      <x:c r="F279" s="34" t="str">
        <x:v>USD</x:v>
      </x:c>
      <x:c r="G279" s="34" t="str">
        <x:v>retail</x:v>
      </x:c>
      <x:c r="H279" s="34" t="str">
        <x:v>2026-06-29</x:v>
      </x:c>
      <x:c r="I279" s="34" t="str">
        <x:v>socket=LGA1851; chipset=B860; formFactor=Mini-ITX; memoryType=DDR5; maxMemoryGb=256; m2Slots=2; storageInterfaces=NVMe/SATA; cpuTiers=entry/mid/high</x:v>
      </x:c>
      <x:c r="J279" s="34" t="str">
        <x:v>LGA1851, B860, Mini-ITX, DDR5, ca-retail, sff</x:v>
      </x:c>
      <x:c r="K279" s="34" t="str">
        <x:v>Mini-ITX B860 motherboard for LGA1851 from CA retailer; M.2 slot count derived when source omits it.</x:v>
      </x:c>
      <x:c r="L279" s="34" t="str">
        <x:v>https://www.canadacomputers.com/en/intel-motherboards/267911/asus-rog-strix-b860-i-gaming-wifi-b860-lga-1851-mini-itx-motherboard-rog-strix-b860-i-gaming-wifi.html</x:v>
      </x:c>
      <x:c r="M279" s="35" t="str">
        <x:v>https://www.canadacomputers.com/en/intel-motherboards/267911/asus-rog-strix-b860-i-gaming-wifi-b860-lga-1851-mini-itx-motherboard-rog-strix-b860-i-gaming-wifi.html</x:v>
      </x:c>
    </x:row>
    <x:row r="280">
      <x:c r="A280" s="33" t="str">
        <x:v>motherboard</x:v>
      </x:c>
      <x:c r="B280" s="34" t="str">
        <x:v>ca-canadacomputers-motherboard-asus-tuf-gaming-b860-plus-wifi-b860-lga-1851-atx-motherboard</x:v>
      </x:c>
      <x:c r="C280" s="34" t="str">
        <x:v>ASUS TUF GAMING B860-PLUS WIFI B860 LGA 1851 ATX motherboard</x:v>
      </x:c>
      <x:c r="D280" s="34" t="str">
        <x:v>ASUS</x:v>
      </x:c>
      <x:c r="E280" s="82" t="n">
        <x:v>176.19</x:v>
      </x:c>
      <x:c r="F280" s="34" t="str">
        <x:v>USD</x:v>
      </x:c>
      <x:c r="G280" s="34" t="str">
        <x:v>retail</x:v>
      </x:c>
      <x:c r="H280" s="34" t="str">
        <x:v>2026-06-29</x:v>
      </x:c>
      <x:c r="I280" s="34" t="str">
        <x:v>socket=LGA1851; chipset=B860; formFactor=ATX; memoryType=DDR5; maxMemoryGb=256; m2Slots=2; storageInterfaces=NVMe/SATA; cpuTiers=entry/mid/high</x:v>
      </x:c>
      <x:c r="J280" s="34" t="str">
        <x:v>LGA1851, B860, ATX, DDR5, ca-retail</x:v>
      </x:c>
      <x:c r="K280" s="34" t="str">
        <x:v>ATX B860 motherboard for LGA1851 from CA retailer; M.2 slot count derived when source omits it.</x:v>
      </x:c>
      <x:c r="L280" s="34" t="str">
        <x:v>https://www.canadacomputers.com/en/intel-motherboards/267912/asus-tuf-gaming-b860-plus-wifi-b860-lga-1851-atx-motherboard-tuf-gaming-b860-plus-wifi.html</x:v>
      </x:c>
      <x:c r="M280" s="35" t="str">
        <x:v>https://www.canadacomputers.com/en/intel-motherboards/267912/asus-tuf-gaming-b860-plus-wifi-b860-lga-1851-atx-motherboard-tuf-gaming-b860-plus-wifi.html</x:v>
      </x:c>
    </x:row>
    <x:row r="281">
      <x:c r="A281" s="33" t="str">
        <x:v>motherboard</x:v>
      </x:c>
      <x:c r="B281" s="34" t="str">
        <x:v>ca-canadacomputers-motherboard-asus-tuf-gaming-b860m-plus-wifi-b860-lga-1851-matx-motherboard</x:v>
      </x:c>
      <x:c r="C281" s="34" t="str">
        <x:v>ASUS TUF GAMING B860M-PLUS WIFI B860 LGA 1851 mATX motherboard</x:v>
      </x:c>
      <x:c r="D281" s="34" t="str">
        <x:v>ASUS</x:v>
      </x:c>
      <x:c r="E281" s="82" t="n">
        <x:v>176.19</x:v>
      </x:c>
      <x:c r="F281" s="34" t="str">
        <x:v>USD</x:v>
      </x:c>
      <x:c r="G281" s="34" t="str">
        <x:v>retail</x:v>
      </x:c>
      <x:c r="H281" s="34" t="str">
        <x:v>2026-06-29</x:v>
      </x:c>
      <x:c r="I281" s="34" t="str">
        <x:v>socket=LGA1851; chipset=B860M; formFactor=Micro-ATX; memoryType=DDR5; maxMemoryGb=256; m2Slots=2; storageInterfaces=NVMe/SATA; cpuTiers=entry/mid/high</x:v>
      </x:c>
      <x:c r="J281" s="34" t="str">
        <x:v>LGA1851, B860M, Micro-ATX, DDR5, ca-retail</x:v>
      </x:c>
      <x:c r="K281" s="34" t="str">
        <x:v>Micro-ATX B860M motherboard for LGA1851 from CA retailer; M.2 slot count derived when source omits it.</x:v>
      </x:c>
      <x:c r="L281" s="34" t="str">
        <x:v>https://www.canadacomputers.com/en/intel-motherboards/267913/asus-tuf-gaming-b860m-plus-wifi-b860-lga-1851-matx-motherboard-tuf-gaming-b860m-plus-wifi.html</x:v>
      </x:c>
      <x:c r="M281" s="35" t="str">
        <x:v>https://www.canadacomputers.com/en/intel-motherboards/267913/asus-tuf-gaming-b860m-plus-wifi-b860-lga-1851-matx-motherboard-tuf-gaming-b860m-plus-wifi.html</x:v>
      </x:c>
    </x:row>
    <x:row r="282">
      <x:c r="A282" s="33" t="str">
        <x:v>motherboard</x:v>
      </x:c>
      <x:c r="B282" s="34" t="str">
        <x:v>ca-canadacomputers-motherboard-msi-pro-b860m-a-wifi-intel-b860-matx-motherboard</x:v>
      </x:c>
      <x:c r="C282" s="34" t="str">
        <x:v>MSI PRO B860M-A WIFI, INTEL B860 mATX Motherboard</x:v>
      </x:c>
      <x:c r="D282" s="34" t="str">
        <x:v>MSI</x:v>
      </x:c>
      <x:c r="E282" s="82" t="n">
        <x:v>179.8</x:v>
      </x:c>
      <x:c r="F282" s="34" t="str">
        <x:v>USD</x:v>
      </x:c>
      <x:c r="G282" s="34" t="str">
        <x:v>retail</x:v>
      </x:c>
      <x:c r="H282" s="34" t="str">
        <x:v>2026-06-29</x:v>
      </x:c>
      <x:c r="I282" s="34" t="str">
        <x:v>socket=LGA1851; chipset=B860M; formFactor=Micro-ATX; memoryType=DDR5; maxMemoryGb=256; m2Slots=2; storageInterfaces=NVMe/SATA; cpuTiers=entry/mid/high</x:v>
      </x:c>
      <x:c r="J282" s="34" t="str">
        <x:v>LGA1851, B860M, Micro-ATX, DDR5, ca-retail</x:v>
      </x:c>
      <x:c r="K282" s="34" t="str">
        <x:v>Micro-ATX B860M motherboard for LGA1851 from CA retailer; M.2 slot count derived when source omits it.</x:v>
      </x:c>
      <x:c r="L282" s="34" t="str">
        <x:v>https://www.canadacomputers.com/en/intel-motherboards/267748/msi-pro-b860m-a-wifi-intel-b860-matx-motherboard-pro-b860m-a-wifi.html</x:v>
      </x:c>
      <x:c r="M282" s="35" t="str">
        <x:v>https://www.canadacomputers.com/en/intel-motherboards/267748/msi-pro-b860m-a-wifi-intel-b860-matx-motherboard-pro-b860m-a-wifi.html</x:v>
      </x:c>
    </x:row>
    <x:row r="283">
      <x:c r="A283" s="33" t="str">
        <x:v>motherboard</x:v>
      </x:c>
      <x:c r="B283" s="34" t="str">
        <x:v>ca-canadacomputers-motherboard-msi-pro-h810i-wifi-support-intel-coretm-ultra-processors-motherboard</x:v>
      </x:c>
      <x:c r="C283" s="34" t="str">
        <x:v>MSI PRO H810I WIFI, Support Intel®CoreTM Ultra Processors Motherboard</x:v>
      </x:c>
      <x:c r="D283" s="34" t="str">
        <x:v>MSI</x:v>
      </x:c>
      <x:c r="E283" s="82" t="n">
        <x:v>140.94</x:v>
      </x:c>
      <x:c r="F283" s="34" t="str">
        <x:v>USD</x:v>
      </x:c>
      <x:c r="G283" s="34" t="str">
        <x:v>retail</x:v>
      </x:c>
      <x:c r="H283" s="34" t="str">
        <x:v>2026-06-29</x:v>
      </x:c>
      <x:c r="I283" s="34" t="str">
        <x:v>socket=LGA1851; chipset=H810I; formFactor=Mini-ITX; memoryType=DDR5; maxMemoryGb=256; m2Slots=2; storageInterfaces=NVMe/SATA; cpuTiers=entry/mid/high</x:v>
      </x:c>
      <x:c r="J283" s="34" t="str">
        <x:v>LGA1851, H810I, Mini-ITX, DDR5, ca-retail</x:v>
      </x:c>
      <x:c r="K283" s="34" t="str">
        <x:v>Mini-ITX H810I motherboard for LGA1851 from CA retailer; M.2 slot count derived when source omits it.</x:v>
      </x:c>
      <x:c r="L283" s="34" t="str">
        <x:v>https://www.canadacomputers.com/en/intel-motherboards/280280/msi-pro-h810i-wifi-support-intel-coretm-ultra-processors-motherboard-pro-h810i-wifi.html</x:v>
      </x:c>
      <x:c r="M283" s="35" t="str">
        <x:v>https://www.canadacomputers.com/en/intel-motherboards/280280/msi-pro-h810i-wifi-support-intel-coretm-ultra-processors-motherboard-pro-h810i-wifi.html</x:v>
      </x:c>
    </x:row>
    <x:row r="284">
      <x:c r="A284" s="33" t="str">
        <x:v>motherboard</x:v>
      </x:c>
      <x:c r="B284" s="34" t="str">
        <x:v>ca-canadacomputers-motherboard-gigabyte-h810m-s2h-gen-5-intel-lga-1851-matx-motherboard</x:v>
      </x:c>
      <x:c r="C284" s="34" t="str">
        <x:v>GIGABYTE H810M S2H GEN 5 Intel LGA 1851 mATX Motherboard</x:v>
      </x:c>
      <x:c r="D284" s="34" t="str">
        <x:v>GIGABYTE</x:v>
      </x:c>
      <x:c r="E284" s="82" t="n">
        <x:v>112.81</x:v>
      </x:c>
      <x:c r="F284" s="34" t="str">
        <x:v>USD</x:v>
      </x:c>
      <x:c r="G284" s="34" t="str">
        <x:v>retail</x:v>
      </x:c>
      <x:c r="H284" s="34" t="str">
        <x:v>2026-06-29</x:v>
      </x:c>
      <x:c r="I284" s="34" t="str">
        <x:v>socket=LGA1851; chipset=H810M; formFactor=Micro-ATX; memoryType=DDR5; maxMemoryGb=256; m2Slots=2; storageInterfaces=NVMe/SATA; cpuTiers=entry/mid/high</x:v>
      </x:c>
      <x:c r="J284" s="34" t="str">
        <x:v>LGA1851, H810M, Micro-ATX, DDR5, ca-retail</x:v>
      </x:c>
      <x:c r="K284" s="34" t="str">
        <x:v>Micro-ATX H810M motherboard for LGA1851 from CA retailer; M.2 slot count derived when source omits it.</x:v>
      </x:c>
      <x:c r="L284" s="34" t="str">
        <x:v>https://www.canadacomputers.com/en/intel-motherboards/288697/gigabyte-h810m-s2h-gen-5-intel-lga-1851-matx-motherboard-h810m-s2h-gen-5.html</x:v>
      </x:c>
      <x:c r="M284" s="35" t="str">
        <x:v>https://www.canadacomputers.com/en/intel-motherboards/288697/gigabyte-h810m-s2h-gen-5-intel-lga-1851-matx-motherboard-h810m-s2h-gen-5.html</x:v>
      </x:c>
    </x:row>
    <x:row r="285">
      <x:c r="A285" s="33" t="str">
        <x:v>motherboard</x:v>
      </x:c>
      <x:c r="B285" s="34" t="str">
        <x:v>ca-canadacomputers-motherboard-gigabyte-h810m-gaming-wifi6-gen-5-intel-lga-1851-micro-atx-motherboard</x:v>
      </x:c>
      <x:c r="C285" s="34" t="str">
        <x:v>GIGABYTE H810M GAMING WIFI6 GEN 5 Intel LGA 1851 Micro ATX Motherboard</x:v>
      </x:c>
      <x:c r="D285" s="34" t="str">
        <x:v>GIGABYTE</x:v>
      </x:c>
      <x:c r="E285" s="82" t="n">
        <x:v>126.91</x:v>
      </x:c>
      <x:c r="F285" s="34" t="str">
        <x:v>USD</x:v>
      </x:c>
      <x:c r="G285" s="34" t="str">
        <x:v>retail</x:v>
      </x:c>
      <x:c r="H285" s="34" t="str">
        <x:v>2026-06-29</x:v>
      </x:c>
      <x:c r="I285" s="34" t="str">
        <x:v>socket=LGA1851; chipset=H810M; formFactor=Micro-ATX; memoryType=DDR5; maxMemoryGb=256; m2Slots=2; storageInterfaces=NVMe/SATA; cpuTiers=entry/mid/high</x:v>
      </x:c>
      <x:c r="J285" s="34" t="str">
        <x:v>LGA1851, H810M, Micro-ATX, DDR5, ca-retail</x:v>
      </x:c>
      <x:c r="K285" s="34" t="str">
        <x:v>Micro-ATX H810M motherboard for LGA1851 from CA retailer; M.2 slot count derived when source omits it.</x:v>
      </x:c>
      <x:c r="L285" s="34" t="str">
        <x:v>https://www.canadacomputers.com/en/intel-motherboards/288695/gigabyte-h810m-gaming-wifi6-gen-5-intel-lga-1851-micro-atx-motherboard-h810m-gaming-wifi6-gen-5.html</x:v>
      </x:c>
      <x:c r="M285" s="35" t="str">
        <x:v>https://www.canadacomputers.com/en/intel-motherboards/288695/gigabyte-h810m-gaming-wifi6-gen-5-intel-lga-1851-micro-atx-motherboard-h810m-gaming-wifi6-gen-5.html</x:v>
      </x:c>
    </x:row>
    <x:row r="286">
      <x:c r="A286" s="33" t="str">
        <x:v>motherboard</x:v>
      </x:c>
      <x:c r="B286" s="34" t="str">
        <x:v>ca-canadacomputers-motherboard-asus-pro-h810m-ct-csm-micro-atx-matx-intel-h810-business-motherboard</x:v>
      </x:c>
      <x:c r="C286" s="34" t="str">
        <x:v>ASUS PRO H810M-CT-CSM Micro-ATX mATX Intel H810 business motherboard</x:v>
      </x:c>
      <x:c r="D286" s="34" t="str">
        <x:v>ASUS</x:v>
      </x:c>
      <x:c r="E286" s="82" t="n">
        <x:v>119.86</x:v>
      </x:c>
      <x:c r="F286" s="34" t="str">
        <x:v>USD</x:v>
      </x:c>
      <x:c r="G286" s="34" t="str">
        <x:v>retail</x:v>
      </x:c>
      <x:c r="H286" s="34" t="str">
        <x:v>2026-06-29</x:v>
      </x:c>
      <x:c r="I286" s="34" t="str">
        <x:v>socket=LGA1851; chipset=H810M; formFactor=Micro-ATX; memoryType=DDR5; maxMemoryGb=256; m2Slots=2; storageInterfaces=NVMe/SATA; cpuTiers=entry/mid/high</x:v>
      </x:c>
      <x:c r="J286" s="34" t="str">
        <x:v>LGA1851, H810M, Micro-ATX, DDR5, ca-retail</x:v>
      </x:c>
      <x:c r="K286" s="34" t="str">
        <x:v>Micro-ATX H810M motherboard for LGA1851 from CA retailer; M.2 slot count derived when source omits it.</x:v>
      </x:c>
      <x:c r="L286" s="34" t="str">
        <x:v>https://www.canadacomputers.com/en/intel-motherboards/279341/asus-pro-h810m-ct-csm-micro-atx-matx-intel-h810-business-motherboard-pro-h810m-ct-csm.html</x:v>
      </x:c>
      <x:c r="M286" s="35" t="str">
        <x:v>https://www.canadacomputers.com/en/intel-motherboards/279341/asus-pro-h810m-ct-csm-micro-atx-matx-intel-h810-business-motherboard-pro-h810m-ct-csm.html</x:v>
      </x:c>
    </x:row>
    <x:row r="287">
      <x:c r="A287" s="33" t="str">
        <x:v>motherboard</x:v>
      </x:c>
      <x:c r="B287" s="34" t="str">
        <x:v>ca-canadacomputers-motherboard-gigabyte-x870-aorus-elite-wifi7-amd-am5-lga-1718-motherboard-atx</x:v>
      </x:c>
      <x:c r="C287" s="34" t="str">
        <x:v>GIGABYTE X870 AORUS ELITE WIFI7 AMD AM5 LGA 1718 Motherboard, ATX</x:v>
      </x:c>
      <x:c r="D287" s="34" t="str">
        <x:v>GIGABYTE</x:v>
      </x:c>
      <x:c r="E287" s="82" t="n">
        <x:v>239.73</x:v>
      </x:c>
      <x:c r="F287" s="34" t="str">
        <x:v>USD</x:v>
      </x:c>
      <x:c r="G287" s="34" t="str">
        <x:v>retail</x:v>
      </x:c>
      <x:c r="H287" s="34" t="str">
        <x:v>2026-06-29</x:v>
      </x:c>
      <x:c r="I287" s="34" t="str">
        <x:v>socket=LGA1851; chipset=X870; formFactor=ATX; memoryType=DDR5; maxMemoryGb=256; m2Slots=2; storageInterfaces=NVMe/SATA; cpuTiers=mid/high/enthusiast</x:v>
      </x:c>
      <x:c r="J287" s="34" t="str">
        <x:v>LGA1851, X870, ATX, DDR5, ca-retail</x:v>
      </x:c>
      <x:c r="K287" s="34" t="str">
        <x:v>ATX X870 motherboard for LGA1851 from CA retailer; M.2 slot count derived when source omits it.</x:v>
      </x:c>
      <x:c r="L287" s="34" t="str">
        <x:v>https://www.canadacomputers.com/en/amd-motherboards/263045/gigabyte-x870-aorus-elite-wifi7-amd-am5-lga-1718-motherboard-atx-x870-aorus-elite-wifi7.html</x:v>
      </x:c>
      <x:c r="M287" s="35" t="str">
        <x:v>https://www.canadacomputers.com/en/amd-motherboards/263045/gigabyte-x870-aorus-elite-wifi7-amd-am5-lga-1718-motherboard-atx-x870-aorus-elite-wifi7.html</x:v>
      </x:c>
    </x:row>
    <x:row r="288">
      <x:c r="A288" s="33" t="str">
        <x:v>motherboard</x:v>
      </x:c>
      <x:c r="B288" s="34" t="str">
        <x:v>ca-canadacomputers-motherboard-gigabyte-x870-aorus-elite-wifi7-ice-amd-am5-lga-1718-motherboard-atx</x:v>
      </x:c>
      <x:c r="C288" s="34" t="str">
        <x:v>GIGABYTE X870 AORUS ELITE WIFI7 ICE AMD AM5 LGA 1718 Motherboard, ATX</x:v>
      </x:c>
      <x:c r="D288" s="34" t="str">
        <x:v>GIGABYTE</x:v>
      </x:c>
      <x:c r="E288" s="82" t="n">
        <x:v>232.68</x:v>
      </x:c>
      <x:c r="F288" s="34" t="str">
        <x:v>USD</x:v>
      </x:c>
      <x:c r="G288" s="34" t="str">
        <x:v>retail</x:v>
      </x:c>
      <x:c r="H288" s="34" t="str">
        <x:v>2026-06-29</x:v>
      </x:c>
      <x:c r="I288" s="34" t="str">
        <x:v>socket=LGA1851; chipset=X870; formFactor=ATX; memoryType=DDR5; maxMemoryGb=256; m2Slots=2; storageInterfaces=NVMe/SATA; cpuTiers=mid/high/enthusiast</x:v>
      </x:c>
      <x:c r="J288" s="34" t="str">
        <x:v>LGA1851, X870, ATX, DDR5, ca-retail</x:v>
      </x:c>
      <x:c r="K288" s="34" t="str">
        <x:v>ATX X870 motherboard for LGA1851 from CA retailer; M.2 slot count derived when source omits it.</x:v>
      </x:c>
      <x:c r="L288" s="34" t="str">
        <x:v>https://www.canadacomputers.com/en/amd-motherboards/263043/gigabyte-x870-aorus-elite-wifi7-ice-amd-am5-lga-1718-motherboard-atx-x870-aorus-elite-wifi7-ice.html</x:v>
      </x:c>
      <x:c r="M288" s="35" t="str">
        <x:v>https://www.canadacomputers.com/en/amd-motherboards/263043/gigabyte-x870-aorus-elite-wifi7-ice-amd-am5-lga-1718-motherboard-atx-x870-aorus-elite-wifi7-ice.html</x:v>
      </x:c>
    </x:row>
    <x:row r="289">
      <x:c r="A289" s="33" t="str">
        <x:v>motherboard</x:v>
      </x:c>
      <x:c r="B289" s="34" t="str">
        <x:v>ca-canadacomputers-motherboard-asus-tuf-gaming-x870-plus-wifi-amd-am5-x870-atx-motherboard</x:v>
      </x:c>
      <x:c r="C289" s="34" t="str">
        <x:v>ASUS TUF GAMING X870-PLUS WIFI AMD AM5 X870 ATX motherboard</x:v>
      </x:c>
      <x:c r="D289" s="34" t="str">
        <x:v>ASUS</x:v>
      </x:c>
      <x:c r="E289" s="82" t="n">
        <x:v>282.04</x:v>
      </x:c>
      <x:c r="F289" s="34" t="str">
        <x:v>USD</x:v>
      </x:c>
      <x:c r="G289" s="34" t="str">
        <x:v>retail</x:v>
      </x:c>
      <x:c r="H289" s="34" t="str">
        <x:v>2026-06-29</x:v>
      </x:c>
      <x:c r="I289" s="34" t="str">
        <x:v>socket=LGA1851; chipset=X870; formFactor=ATX; memoryType=DDR5; maxMemoryGb=256; m2Slots=2; storageInterfaces=NVMe/SATA; cpuTiers=mid/high/enthusiast</x:v>
      </x:c>
      <x:c r="J289" s="34" t="str">
        <x:v>LGA1851, X870, ATX, DDR5, ca-retail</x:v>
      </x:c>
      <x:c r="K289" s="34" t="str">
        <x:v>ATX X870 motherboard for LGA1851 from CA retailer; M.2 slot count derived when source omits it.</x:v>
      </x:c>
      <x:c r="L289" s="34" t="str">
        <x:v>https://www.canadacomputers.com/en/amd-motherboards/262947/asus-tuf-gaming-x870-plus-wifi-amd-am5-x870-atx-motherboard-tuf-gaming-x870-plus-wifi.html</x:v>
      </x:c>
      <x:c r="M289" s="35" t="str">
        <x:v>https://www.canadacomputers.com/en/amd-motherboards/262947/asus-tuf-gaming-x870-plus-wifi-amd-am5-x870-atx-motherboard-tuf-gaming-x870-plus-wifi.html</x:v>
      </x:c>
    </x:row>
    <x:row r="290">
      <x:c r="A290" s="33" t="str">
        <x:v>motherboard</x:v>
      </x:c>
      <x:c r="B290" s="34" t="str">
        <x:v>ca-canadacomputers-motherboard-msi-mag-x870-tomahawk-wifi-amd-x870-atx-am5-motherboard</x:v>
      </x:c>
      <x:c r="C290" s="34" t="str">
        <x:v>MSI MAG X870 TOMAHAWK WIFI, AMD X870 ATX AM5 Motherboard</x:v>
      </x:c>
      <x:c r="D290" s="34" t="str">
        <x:v>MSI</x:v>
      </x:c>
      <x:c r="E290" s="82" t="n">
        <x:v>274.99</x:v>
      </x:c>
      <x:c r="F290" s="34" t="str">
        <x:v>USD</x:v>
      </x:c>
      <x:c r="G290" s="34" t="str">
        <x:v>retail</x:v>
      </x:c>
      <x:c r="H290" s="34" t="str">
        <x:v>2026-06-29</x:v>
      </x:c>
      <x:c r="I290" s="34" t="str">
        <x:v>socket=LGA1851; chipset=X870; formFactor=ATX; memoryType=DDR5; maxMemoryGb=256; m2Slots=2; storageInterfaces=NVMe/SATA; cpuTiers=mid/high/enthusiast</x:v>
      </x:c>
      <x:c r="J290" s="34" t="str">
        <x:v>LGA1851, X870, ATX, DDR5, ca-retail</x:v>
      </x:c>
      <x:c r="K290" s="34" t="str">
        <x:v>ATX X870 motherboard for LGA1851 from CA retailer; M.2 slot count derived when source omits it.</x:v>
      </x:c>
      <x:c r="L290" s="34" t="str">
        <x:v>https://www.canadacomputers.com/en/amd-motherboards/262410/msi-mag-x870-tomahawk-wifi-amd-x870-atx-am5-motherboard-mag-x870-tomahawk-wifi.html</x:v>
      </x:c>
      <x:c r="M290" s="35" t="str">
        <x:v>https://www.canadacomputers.com/en/amd-motherboards/262410/msi-mag-x870-tomahawk-wifi-amd-x870-atx-am5-motherboard-mag-x870-tomahawk-wifi.html</x:v>
      </x:c>
    </x:row>
    <x:row r="291">
      <x:c r="A291" s="33" t="str">
        <x:v>motherboard</x:v>
      </x:c>
      <x:c r="B291" s="34" t="str">
        <x:v>ca-canadacomputers-motherboard-msi-mag-x870e-tomahawk-wifi-amd-ryzen-9000-8000-7000-series</x:v>
      </x:c>
      <x:c r="C291" s="34" t="str">
        <x:v>MSI MAG X870E TOMAHAWK WIFI, AMD Ryzen™ 9000 / 8000 / 7000 Series</x:v>
      </x:c>
      <x:c r="D291" s="34" t="str">
        <x:v>MSI</x:v>
      </x:c>
      <x:c r="E291" s="82" t="n">
        <x:v>256.65</x:v>
      </x:c>
      <x:c r="F291" s="34" t="str">
        <x:v>USD</x:v>
      </x:c>
      <x:c r="G291" s="34" t="str">
        <x:v>retail</x:v>
      </x:c>
      <x:c r="H291" s="34" t="str">
        <x:v>2026-06-29</x:v>
      </x:c>
      <x:c r="I291" s="34" t="str">
        <x:v>socket=AM4; chipset=X870E; formFactor=ATX; memoryType=DDR5; maxMemoryGb=256; m2Slots=2; storageInterfaces=NVMe/SATA; cpuTiers=mid/high/enthusiast</x:v>
      </x:c>
      <x:c r="J291" s="34" t="str">
        <x:v>AM4, X870E, ATX, DDR5, ca-retail</x:v>
      </x:c>
      <x:c r="K291" s="34" t="str">
        <x:v>ATX X870E motherboard for AM4 from CA retailer; M.2 slot count derived when source omits it.</x:v>
      </x:c>
      <x:c r="L291" s="34" t="str">
        <x:v>https://www.canadacomputers.com/en/amd-motherboards/268433/msi-mag-x870e-tomahawk-wifi-amd-ryzen-9000-8000-7000-series-mag-x870e-tomahawk-wifi.html</x:v>
      </x:c>
      <x:c r="M291" s="35" t="str">
        <x:v>https://www.canadacomputers.com/en/amd-motherboards/268433/msi-mag-x870e-tomahawk-wifi-amd-ryzen-9000-8000-7000-series-mag-x870e-tomahawk-wifi.html</x:v>
      </x:c>
    </x:row>
    <x:row r="292">
      <x:c r="A292" s="33" t="str">
        <x:v>motherboard</x:v>
      </x:c>
      <x:c r="B292" s="34" t="str">
        <x:v>ca-canadacomputers-motherboard-gigabyte-x870e-aorus-elite-wifi7-amd-am5-lga-1718-motherboard-atx</x:v>
      </x:c>
      <x:c r="C292" s="34" t="str">
        <x:v>GIGABYTE X870E AORUS ELITE WIFI7 AMD AM5 LGA 1718 Motherboard, ATX</x:v>
      </x:c>
      <x:c r="D292" s="34" t="str">
        <x:v>GIGABYTE</x:v>
      </x:c>
      <x:c r="E292" s="82" t="n">
        <x:v>260.88</x:v>
      </x:c>
      <x:c r="F292" s="34" t="str">
        <x:v>USD</x:v>
      </x:c>
      <x:c r="G292" s="34" t="str">
        <x:v>retail</x:v>
      </x:c>
      <x:c r="H292" s="34" t="str">
        <x:v>2026-06-29</x:v>
      </x:c>
      <x:c r="I292" s="34" t="str">
        <x:v>socket=LGA1851; chipset=X870E; formFactor=ATX; memoryType=DDR5; maxMemoryGb=256; m2Slots=2; storageInterfaces=NVMe/SATA; cpuTiers=mid/high/enthusiast</x:v>
      </x:c>
      <x:c r="J292" s="34" t="str">
        <x:v>LGA1851, X870E, ATX, DDR5, ca-retail</x:v>
      </x:c>
      <x:c r="K292" s="34" t="str">
        <x:v>ATX X870E motherboard for LGA1851 from CA retailer; M.2 slot count derived when source omits it.</x:v>
      </x:c>
      <x:c r="L292" s="34" t="str">
        <x:v>https://www.canadacomputers.com/en/amd-motherboards/263042/gigabyte-x870e-aorus-elite-wifi7-amd-am5-lga-1718-motherboard-atx-x870e-aorus-elite-wifi7.html</x:v>
      </x:c>
      <x:c r="M292" s="35" t="str">
        <x:v>https://www.canadacomputers.com/en/amd-motherboards/263042/gigabyte-x870e-aorus-elite-wifi7-amd-am5-lga-1718-motherboard-atx-x870e-aorus-elite-wifi7.html</x:v>
      </x:c>
    </x:row>
    <x:row r="293">
      <x:c r="A293" s="33" t="str">
        <x:v>motherboard</x:v>
      </x:c>
      <x:c r="B293" s="34" t="str">
        <x:v>ca-canadacomputers-motherboard-asus-rog-strix-x870e-e-gaming-wifi-amd-am5-x870-atx-motherboard</x:v>
      </x:c>
      <x:c r="C293" s="34" t="str">
        <x:v>ASUS ROG STRIX X870E-E GAMING WIFI AMD AM5 X870 ATX motherboard</x:v>
      </x:c>
      <x:c r="D293" s="34" t="str">
        <x:v>ASUS</x:v>
      </x:c>
      <x:c r="E293" s="82" t="n">
        <x:v>479.47</x:v>
      </x:c>
      <x:c r="F293" s="34" t="str">
        <x:v>USD</x:v>
      </x:c>
      <x:c r="G293" s="34" t="str">
        <x:v>retail</x:v>
      </x:c>
      <x:c r="H293" s="34" t="str">
        <x:v>2026-06-29</x:v>
      </x:c>
      <x:c r="I293" s="34" t="str">
        <x:v>socket=LGA1851; chipset=X870E; formFactor=ATX; memoryType=DDR5; maxMemoryGb=256; m2Slots=2; storageInterfaces=NVMe/SATA; cpuTiers=mid/high/enthusiast</x:v>
      </x:c>
      <x:c r="J293" s="34" t="str">
        <x:v>LGA1851, X870E, ATX, DDR5, ca-retail</x:v>
      </x:c>
      <x:c r="K293" s="34" t="str">
        <x:v>ATX X870E motherboard for LGA1851 from CA retailer; M.2 slot count derived when source omits it.</x:v>
      </x:c>
      <x:c r="L293" s="34" t="str">
        <x:v>https://www.canadacomputers.com/en/amd-motherboards/262943/asus-rog-strix-x870e-e-gaming-wifi-amd-am5-x870-atx-motherboard-rog-strix-x870e-e-gaming-wifi.html</x:v>
      </x:c>
      <x:c r="M293" s="35" t="str">
        <x:v>https://www.canadacomputers.com/en/amd-motherboards/262943/asus-rog-strix-x870e-e-gaming-wifi-amd-am5-x870-atx-motherboard-rog-strix-x870e-e-gaming-wifi.html</x:v>
      </x:c>
    </x:row>
    <x:row r="294">
      <x:c r="A294" s="33" t="str">
        <x:v>motherboard</x:v>
      </x:c>
      <x:c r="B294" s="34" t="str">
        <x:v>ca-canadacomputers-motherboard-gigabyte-x870e-aorus-pro-ice-amd-am5-lga-1718-motherboard-atx-ddr5</x:v>
      </x:c>
      <x:c r="C294" s="34" t="str">
        <x:v>GIGABYTE X870E AORUS PRO ICE AMD AM5 LGA 1718 Motherboard, ATX, DDR5</x:v>
      </x:c>
      <x:c r="D294" s="34" t="str">
        <x:v>GIGABYTE</x:v>
      </x:c>
      <x:c r="E294" s="82" t="n">
        <x:v>366.65</x:v>
      </x:c>
      <x:c r="F294" s="34" t="str">
        <x:v>USD</x:v>
      </x:c>
      <x:c r="G294" s="34" t="str">
        <x:v>retail</x:v>
      </x:c>
      <x:c r="H294" s="34" t="str">
        <x:v>2026-06-29</x:v>
      </x:c>
      <x:c r="I294" s="34" t="str">
        <x:v>socket=LGA1851; chipset=X870E; formFactor=ATX; memoryType=DDR5; maxMemoryGb=256; m2Slots=2; storageInterfaces=NVMe/SATA; cpuTiers=mid/high/enthusiast</x:v>
      </x:c>
      <x:c r="J294" s="34" t="str">
        <x:v>LGA1851, X870E, ATX, DDR5, ca-retail</x:v>
      </x:c>
      <x:c r="K294" s="34" t="str">
        <x:v>ATX X870E motherboard for LGA1851 from CA retailer; M.2 slot count derived when source omits it.</x:v>
      </x:c>
      <x:c r="L294" s="34" t="str">
        <x:v>https://www.canadacomputers.com/en/amd-motherboards/263040/gigabyte-x870e-aorus-pro-ice-amd-am5-lga-1718-motherboard-atx-ddr5-x870e-aorus-pro-ice.html</x:v>
      </x:c>
      <x:c r="M294" s="35" t="str">
        <x:v>https://www.canadacomputers.com/en/amd-motherboards/263040/gigabyte-x870e-aorus-pro-ice-amd-am5-lga-1718-motherboard-atx-ddr5-x870e-aorus-pro-ice.html</x:v>
      </x:c>
    </x:row>
    <x:row r="295">
      <x:c r="A295" s="33" t="str">
        <x:v>motherboard</x:v>
      </x:c>
      <x:c r="B295" s="34" t="str">
        <x:v>ca-canadacomputers-motherboard-gigabyte-b850-aorus-elite-wifi7-amd-am5-lga-1718-motherboard-atx</x:v>
      </x:c>
      <x:c r="C295" s="34" t="str">
        <x:v>GIGABYTE B850 AORUS ELITE WIFI7 AMD AM5 LGA 1718 Motherboard, ATX</x:v>
      </x:c>
      <x:c r="D295" s="34" t="str">
        <x:v>GIGABYTE</x:v>
      </x:c>
      <x:c r="E295" s="82" t="n">
        <x:v>239.73</x:v>
      </x:c>
      <x:c r="F295" s="34" t="str">
        <x:v>USD</x:v>
      </x:c>
      <x:c r="G295" s="34" t="str">
        <x:v>retail</x:v>
      </x:c>
      <x:c r="H295" s="34" t="str">
        <x:v>2026-06-29</x:v>
      </x:c>
      <x:c r="I295" s="34" t="str">
        <x:v>socket=LGA1851; chipset=B850; formFactor=ATX; memoryType=DDR5; maxMemoryGb=256; m2Slots=2; storageInterfaces=NVMe/SATA; cpuTiers=entry/mid/high</x:v>
      </x:c>
      <x:c r="J295" s="34" t="str">
        <x:v>LGA1851, B850, ATX, DDR5, ca-retail</x:v>
      </x:c>
      <x:c r="K295" s="34" t="str">
        <x:v>ATX B850 motherboard for LGA1851 from CA retailer; M.2 slot count derived when source omits it.</x:v>
      </x:c>
      <x:c r="L295" s="34" t="str">
        <x:v>https://www.canadacomputers.com/en/amd-motherboards/267127/gigabyte-b850-aorus-elite-wifi7-amd-am5-lga-1718-motherboard-atx-b850-aorus-elite-wifi7.html</x:v>
      </x:c>
      <x:c r="M295" s="35" t="str">
        <x:v>https://www.canadacomputers.com/en/amd-motherboards/267127/gigabyte-b850-aorus-elite-wifi7-amd-am5-lga-1718-motherboard-atx-b850-aorus-elite-wifi7.html</x:v>
      </x:c>
    </x:row>
    <x:row r="296">
      <x:c r="A296" s="33" t="str">
        <x:v>motherboard</x:v>
      </x:c>
      <x:c r="B296" s="34" t="str">
        <x:v>ca-canadacomputers-motherboard-gigabyte-b850-eagle-wifi6e-amd-am5-lga-1718-motherboard-atx-ddr5</x:v>
      </x:c>
      <x:c r="C296" s="34" t="str">
        <x:v>GIGABYTE B850 EAGLE WIFI6E AMD AM5 LGA 1718 Motherboard, ATX, DDR5</x:v>
      </x:c>
      <x:c r="D296" s="34" t="str">
        <x:v>GIGABYTE</x:v>
      </x:c>
      <x:c r="E296" s="82" t="n">
        <x:v>183.32</x:v>
      </x:c>
      <x:c r="F296" s="34" t="str">
        <x:v>USD</x:v>
      </x:c>
      <x:c r="G296" s="34" t="str">
        <x:v>retail</x:v>
      </x:c>
      <x:c r="H296" s="34" t="str">
        <x:v>2026-06-29</x:v>
      </x:c>
      <x:c r="I296" s="34" t="str">
        <x:v>socket=LGA1851; chipset=B850; formFactor=ATX; memoryType=DDR5; maxMemoryGb=256; m2Slots=2; storageInterfaces=NVMe/SATA; cpuTiers=entry/mid/high</x:v>
      </x:c>
      <x:c r="J296" s="34" t="str">
        <x:v>LGA1851, B850, ATX, DDR5, ca-retail</x:v>
      </x:c>
      <x:c r="K296" s="34" t="str">
        <x:v>ATX B850 motherboard for LGA1851 from CA retailer; M.2 slot count derived when source omits it.</x:v>
      </x:c>
      <x:c r="L296" s="34" t="str">
        <x:v>https://www.canadacomputers.com/en/amd-motherboards/267132/gigabyte-b850-eagle-wifi6e-amd-am5-lga-1718-motherboard-atx-ddr5-b850-eagle-wifi6e.html</x:v>
      </x:c>
      <x:c r="M296" s="35" t="str">
        <x:v>https://www.canadacomputers.com/en/amd-motherboards/267132/gigabyte-b850-eagle-wifi6e-amd-am5-lga-1718-motherboard-atx-ddr5-b850-eagle-wifi6e.html</x:v>
      </x:c>
    </x:row>
    <x:row r="297">
      <x:c r="A297" s="33" t="str">
        <x:v>motherboard</x:v>
      </x:c>
      <x:c r="B297" s="34" t="str">
        <x:v>ca-canadacomputers-motherboard-asus-tuf-gaming-b850-e-wifi-amd-b850-am5-ddr5-atx-wi-fi-6e</x:v>
      </x:c>
      <x:c r="C297" s="34" t="str">
        <x:v>ASUS TUF GAMING B850-E WIFI AMD B850 AM5 DDR5 ATX Wi-Fi 6E</x:v>
      </x:c>
      <x:c r="D297" s="34" t="str">
        <x:v>ASUS</x:v>
      </x:c>
      <x:c r="E297" s="82" t="n">
        <x:v>218.58</x:v>
      </x:c>
      <x:c r="F297" s="34" t="str">
        <x:v>USD</x:v>
      </x:c>
      <x:c r="G297" s="34" t="str">
        <x:v>retail</x:v>
      </x:c>
      <x:c r="H297" s="34" t="str">
        <x:v>2026-06-29</x:v>
      </x:c>
      <x:c r="I297" s="34" t="str">
        <x:v>socket=LGA1851; chipset=B850; formFactor=ATX; memoryType=DDR5; maxMemoryGb=256; m2Slots=2; storageInterfaces=NVMe/SATA; cpuTiers=entry/mid/high</x:v>
      </x:c>
      <x:c r="J297" s="34" t="str">
        <x:v>LGA1851, B850, ATX, DDR5, ca-retail</x:v>
      </x:c>
      <x:c r="K297" s="34" t="str">
        <x:v>ATX B850 motherboard for LGA1851 from CA retailer; M.2 slot count derived when source omits it.</x:v>
      </x:c>
      <x:c r="L297" s="34" t="str">
        <x:v>https://www.canadacomputers.com/en/amd-motherboards/274367/asus-tuf-gaming-b850-e-wifi-amd-b850-am5-ddr5-atx-wi-fi-6e-tuf-gaming-b850-e-wifi.html</x:v>
      </x:c>
      <x:c r="M297" s="35" t="str">
        <x:v>https://www.canadacomputers.com/en/amd-motherboards/274367/asus-tuf-gaming-b850-e-wifi-amd-b850-am5-ddr5-atx-wi-fi-6e-tuf-gaming-b850-e-wifi.html</x:v>
      </x:c>
    </x:row>
    <x:row r="298">
      <x:c r="A298" s="33" t="str">
        <x:v>motherboard</x:v>
      </x:c>
      <x:c r="B298" s="34" t="str">
        <x:v>ca-canadacomputers-motherboard-gigabyte-b850-gaming-x-wifi6e-amd-am5-lga-1718-motherboard-atx-ddr5</x:v>
      </x:c>
      <x:c r="C298" s="34" t="str">
        <x:v>GIGABYTE B850 GAMING X WIFI6E AMD AM5 LGA 1718 Motherboard, ATX, DDR5</x:v>
      </x:c>
      <x:c r="D298" s="34" t="str">
        <x:v>GIGABYTE</x:v>
      </x:c>
      <x:c r="E298" s="82" t="n">
        <x:v>211.53</x:v>
      </x:c>
      <x:c r="F298" s="34" t="str">
        <x:v>USD</x:v>
      </x:c>
      <x:c r="G298" s="34" t="str">
        <x:v>retail</x:v>
      </x:c>
      <x:c r="H298" s="34" t="str">
        <x:v>2026-06-29</x:v>
      </x:c>
      <x:c r="I298" s="34" t="str">
        <x:v>socket=LGA1851; chipset=B850; formFactor=ATX; memoryType=DDR5; maxMemoryGb=256; m2Slots=2; storageInterfaces=NVMe/SATA; cpuTiers=entry/mid/high</x:v>
      </x:c>
      <x:c r="J298" s="34" t="str">
        <x:v>LGA1851, B850, ATX, DDR5, ca-retail</x:v>
      </x:c>
      <x:c r="K298" s="34" t="str">
        <x:v>ATX B850 motherboard for LGA1851 from CA retailer; M.2 slot count derived when source omits it.</x:v>
      </x:c>
      <x:c r="L298" s="34" t="str">
        <x:v>https://www.canadacomputers.com/en/amd-motherboards/267131/gigabyte-b850-gaming-x-wifi6e-amd-am5-lga-1718-motherboard-atx-ddr5-b850-gaming-x-wifi6e.html</x:v>
      </x:c>
      <x:c r="M298" s="35" t="str">
        <x:v>https://www.canadacomputers.com/en/amd-motherboards/267131/gigabyte-b850-gaming-x-wifi6e-amd-am5-lga-1718-motherboard-atx-ddr5-b850-gaming-x-wifi6e.html</x:v>
      </x:c>
    </x:row>
    <x:row r="299">
      <x:c r="A299" s="33" t="str">
        <x:v>motherboard</x:v>
      </x:c>
      <x:c r="B299" s="34" t="str">
        <x:v>ca-canadacomputers-motherboard-msi-pro-b840m-b-amd-am5-matx-motherboard</x:v>
      </x:c>
      <x:c r="C299" s="34" t="str">
        <x:v>MSI PRO B840M-B AMD AM5 mATX Motherboard</x:v>
      </x:c>
      <x:c r="D299" s="34" t="str">
        <x:v>MSI</x:v>
      </x:c>
      <x:c r="E299" s="82" t="n">
        <x:v>119.78</x:v>
      </x:c>
      <x:c r="F299" s="34" t="str">
        <x:v>USD</x:v>
      </x:c>
      <x:c r="G299" s="34" t="str">
        <x:v>retail</x:v>
      </x:c>
      <x:c r="H299" s="34" t="str">
        <x:v>2026-06-29</x:v>
      </x:c>
      <x:c r="I299" s="34" t="str">
        <x:v>socket=LGA1851; chipset=B840M; formFactor=Micro-ATX; memoryType=DDR5; maxMemoryGb=256; m2Slots=2; storageInterfaces=NVMe/SATA; cpuTiers=entry/mid/high</x:v>
      </x:c>
      <x:c r="J299" s="34" t="str">
        <x:v>LGA1851, B840M, Micro-ATX, DDR5, ca-retail</x:v>
      </x:c>
      <x:c r="K299" s="34" t="str">
        <x:v>Micro-ATX B840M motherboard for LGA1851 from CA retailer; M.2 slot count derived when source omits it.</x:v>
      </x:c>
      <x:c r="L299" s="34" t="str">
        <x:v>https://www.canadacomputers.com/en/amd-motherboards/279650/msi-pro-b840m-b-amd-am5-matx-motherboard-pro-b840m-b.html</x:v>
      </x:c>
      <x:c r="M299" s="35" t="str">
        <x:v>https://www.canadacomputers.com/en/amd-motherboards/279650/msi-pro-b840m-b-amd-am5-matx-motherboard-pro-b840m-b.html</x:v>
      </x:c>
    </x:row>
    <x:row r="300">
      <x:c r="A300" s="33" t="str">
        <x:v>ram</x:v>
      </x:c>
      <x:c r="B300" s="34" t="str">
        <x:v>ram-32</x:v>
      </x:c>
      <x:c r="C300" s="34" t="str">
        <x:v>G.Skill Flare X5 32GB DDR5-6000</x:v>
      </x:c>
      <x:c r="D300" s="34" t="str">
        <x:v>G.Skill</x:v>
      </x:c>
      <x:c r="E300" s="82" t="n">
        <x:v>104</x:v>
      </x:c>
      <x:c r="F300" s="34" t="str">
        <x:v>USD</x:v>
      </x:c>
      <x:c r="G300" s="34" t="str">
        <x:v>reference</x:v>
      </x:c>
      <x:c r="H300" s="34" t="str">
        <x:v>baseline seed</x:v>
      </x:c>
      <x:c r="I300" s="34" t="str">
        <x:v>memoryType=DDR5; capacityGb=32; speedMt=6000; sticks=2</x:v>
      </x:c>
      <x:c r="J300" s="34" t="str">
        <x:v>DDR5, 32GB</x:v>
      </x:c>
      <x:c r="K300" s="34" t="str">
        <x:v>32GB DDR5 memory kit.</x:v>
      </x:c>
      <x:c r="L300" s="34" t="str"/>
      <x:c r="M300" s="35" t="str"/>
    </x:row>
    <x:row r="301">
      <x:c r="A301" s="33" t="str">
        <x:v>ram</x:v>
      </x:c>
      <x:c r="B301" s="34" t="str">
        <x:v>ram-64</x:v>
      </x:c>
      <x:c r="C301" s="34" t="str">
        <x:v>Corsair Vengeance 64GB DDR5-6000</x:v>
      </x:c>
      <x:c r="D301" s="34" t="str">
        <x:v>Corsair</x:v>
      </x:c>
      <x:c r="E301" s="82" t="n">
        <x:v>189</x:v>
      </x:c>
      <x:c r="F301" s="34" t="str">
        <x:v>USD</x:v>
      </x:c>
      <x:c r="G301" s="34" t="str">
        <x:v>reference</x:v>
      </x:c>
      <x:c r="H301" s="34" t="str">
        <x:v>baseline seed</x:v>
      </x:c>
      <x:c r="I301" s="34" t="str">
        <x:v>memoryType=DDR5; capacityGb=64; speedMt=6000; sticks=2</x:v>
      </x:c>
      <x:c r="J301" s="34" t="str">
        <x:v>DDR5, 64GB</x:v>
      </x:c>
      <x:c r="K301" s="34" t="str">
        <x:v>64GB DDR5 memory kit.</x:v>
      </x:c>
      <x:c r="L301" s="34" t="str"/>
      <x:c r="M301" s="35" t="str"/>
    </x:row>
    <x:row r="302">
      <x:c r="A302" s="33" t="str">
        <x:v>ram</x:v>
      </x:c>
      <x:c r="B302" s="34" t="str">
        <x:v>ram-64-white-rgb</x:v>
      </x:c>
      <x:c r="C302" s="34" t="str">
        <x:v>Corsair Dominator Titanium RGB 64GB White</x:v>
      </x:c>
      <x:c r="D302" s="34" t="str">
        <x:v>Corsair</x:v>
      </x:c>
      <x:c r="E302" s="82" t="n">
        <x:v>289</x:v>
      </x:c>
      <x:c r="F302" s="34" t="str">
        <x:v>USD</x:v>
      </x:c>
      <x:c r="G302" s="34" t="str">
        <x:v>reference</x:v>
      </x:c>
      <x:c r="H302" s="34" t="str">
        <x:v>baseline seed</x:v>
      </x:c>
      <x:c r="I302" s="34" t="str">
        <x:v>memoryType=DDR5; capacityGb=64; speedMt=6400; sticks=2</x:v>
      </x:c>
      <x:c r="J302" s="34" t="str">
        <x:v>DDR5, 64GB, white, rgb</x:v>
      </x:c>
      <x:c r="K302" s="34" t="str">
        <x:v>64GB DDR5 memory kit.</x:v>
      </x:c>
      <x:c r="L302" s="34" t="str"/>
      <x:c r="M302" s="35" t="str"/>
    </x:row>
    <x:row r="303">
      <x:c r="A303" s="33" t="str">
        <x:v>ram</x:v>
      </x:c>
      <x:c r="B303" s="34" t="str">
        <x:v>ram-96</x:v>
      </x:c>
      <x:c r="C303" s="34" t="str">
        <x:v>Crucial Pro 96GB DDR5-5600</x:v>
      </x:c>
      <x:c r="D303" s="34" t="str">
        <x:v>Crucial</x:v>
      </x:c>
      <x:c r="E303" s="82" t="n">
        <x:v>269</x:v>
      </x:c>
      <x:c r="F303" s="34" t="str">
        <x:v>USD</x:v>
      </x:c>
      <x:c r="G303" s="34" t="str">
        <x:v>reference</x:v>
      </x:c>
      <x:c r="H303" s="34" t="str">
        <x:v>baseline seed</x:v>
      </x:c>
      <x:c r="I303" s="34" t="str">
        <x:v>memoryType=DDR5; capacityGb=96; speedMt=5600; sticks=2</x:v>
      </x:c>
      <x:c r="J303" s="34" t="str">
        <x:v>DDR5, 96GB</x:v>
      </x:c>
      <x:c r="K303" s="34" t="str">
        <x:v>96GB DDR5 memory kit.</x:v>
      </x:c>
      <x:c r="L303" s="34" t="str"/>
      <x:c r="M303" s="35" t="str"/>
    </x:row>
    <x:row r="304">
      <x:c r="A304" s="33" t="str">
        <x:v>ram</x:v>
      </x:c>
      <x:c r="B304" s="34" t="str">
        <x:v>ram-128</x:v>
      </x:c>
      <x:c r="C304" s="34" t="str">
        <x:v>Kingston Fury 128GB DDR5-5600</x:v>
      </x:c>
      <x:c r="D304" s="34" t="str">
        <x:v>Kingston</x:v>
      </x:c>
      <x:c r="E304" s="82" t="n">
        <x:v>419</x:v>
      </x:c>
      <x:c r="F304" s="34" t="str">
        <x:v>USD</x:v>
      </x:c>
      <x:c r="G304" s="34" t="str">
        <x:v>reference</x:v>
      </x:c>
      <x:c r="H304" s="34" t="str">
        <x:v>baseline seed</x:v>
      </x:c>
      <x:c r="I304" s="34" t="str">
        <x:v>memoryType=DDR5; capacityGb=128; speedMt=5600; sticks=4</x:v>
      </x:c>
      <x:c r="J304" s="34" t="str">
        <x:v>DDR5, 128GB</x:v>
      </x:c>
      <x:c r="K304" s="34" t="str">
        <x:v>128GB DDR5 memory kit.</x:v>
      </x:c>
      <x:c r="L304" s="34" t="str"/>
      <x:c r="M304" s="35" t="str"/>
    </x:row>
    <x:row r="305">
      <x:c r="A305" s="33" t="str">
        <x:v>ram</x:v>
      </x:c>
      <x:c r="B305" s="34" t="str">
        <x:v>ram-48-6000</x:v>
      </x:c>
      <x:c r="C305" s="34" t="str">
        <x:v>G.Skill Trident Z5 Neo RGB 48GB DDR5-6000</x:v>
      </x:c>
      <x:c r="D305" s="34" t="str">
        <x:v>G.Skill</x:v>
      </x:c>
      <x:c r="E305" s="82" t="n">
        <x:v>159</x:v>
      </x:c>
      <x:c r="F305" s="34" t="str">
        <x:v>USD</x:v>
      </x:c>
      <x:c r="G305" s="34" t="str">
        <x:v>reference</x:v>
      </x:c>
      <x:c r="H305" s="34" t="str">
        <x:v>2026-06-28</x:v>
      </x:c>
      <x:c r="I305" s="34" t="str">
        <x:v>memoryType=DDR5; capacityGb=48; speedMt=6000; sticks=2</x:v>
      </x:c>
      <x:c r="J305" s="34" t="str">
        <x:v>DDR5, 48GB, rgb, expo</x:v>
      </x:c>
      <x:c r="K305" s="34" t="str">
        <x:v>48GB DDR5 memory kit.</x:v>
      </x:c>
      <x:c r="L305" s="34" t="str">
        <x:v>https://www.gskill.com/product/165/390/Trident-Z5-Neo-RGB-DDR5-AMD-EXPO</x:v>
      </x:c>
      <x:c r="M305" s="35" t="str">
        <x:v>https://www.gskill.com/product/165/390/Trident-Z5-Neo-RGB-DDR5-AMD-EXPO</x:v>
      </x:c>
    </x:row>
    <x:row r="306">
      <x:c r="A306" s="33" t="str">
        <x:v>ram</x:v>
      </x:c>
      <x:c r="B306" s="34" t="str">
        <x:v>ram-64-6000-white</x:v>
      </x:c>
      <x:c r="C306" s="34" t="str">
        <x:v>Corsair Vengeance RGB 64GB DDR5-6000 White</x:v>
      </x:c>
      <x:c r="D306" s="34" t="str">
        <x:v>Corsair</x:v>
      </x:c>
      <x:c r="E306" s="82" t="n">
        <x:v>209</x:v>
      </x:c>
      <x:c r="F306" s="34" t="str">
        <x:v>USD</x:v>
      </x:c>
      <x:c r="G306" s="34" t="str">
        <x:v>reference</x:v>
      </x:c>
      <x:c r="H306" s="34" t="str">
        <x:v>2026-06-28</x:v>
      </x:c>
      <x:c r="I306" s="34" t="str">
        <x:v>memoryType=DDR5; capacityGb=64; speedMt=6000; sticks=2</x:v>
      </x:c>
      <x:c r="J306" s="34" t="str">
        <x:v>DDR5, 64GB, white, rgb</x:v>
      </x:c>
      <x:c r="K306" s="34" t="str">
        <x:v>64GB DDR5 memory kit.</x:v>
      </x:c>
      <x:c r="L306" s="34" t="str">
        <x:v>https://www.corsair.com/us/en/c/memory/ddr5-ram</x:v>
      </x:c>
      <x:c r="M306" s="35" t="str">
        <x:v>https://www.corsair.com/us/en/c/memory/ddr5-ram</x:v>
      </x:c>
    </x:row>
    <x:row r="307">
      <x:c r="A307" s="33" t="str">
        <x:v>ram</x:v>
      </x:c>
      <x:c r="B307" s="34" t="str">
        <x:v>ram-96-6400</x:v>
      </x:c>
      <x:c r="C307" s="34" t="str">
        <x:v>Corsair Vengeance 96GB DDR5-6400</x:v>
      </x:c>
      <x:c r="D307" s="34" t="str">
        <x:v>Corsair</x:v>
      </x:c>
      <x:c r="E307" s="82" t="n">
        <x:v>299</x:v>
      </x:c>
      <x:c r="F307" s="34" t="str">
        <x:v>USD</x:v>
      </x:c>
      <x:c r="G307" s="34" t="str">
        <x:v>reference</x:v>
      </x:c>
      <x:c r="H307" s="34" t="str">
        <x:v>2026-06-28</x:v>
      </x:c>
      <x:c r="I307" s="34" t="str">
        <x:v>memoryType=DDR5; capacityGb=96; speedMt=6400; sticks=2</x:v>
      </x:c>
      <x:c r="J307" s="34" t="str">
        <x:v>DDR5, 96GB, workstation</x:v>
      </x:c>
      <x:c r="K307" s="34" t="str">
        <x:v>96GB DDR5 memory kit.</x:v>
      </x:c>
      <x:c r="L307" s="34" t="str">
        <x:v>https://www.corsair.com/us/en/c/memory/ddr5-ram</x:v>
      </x:c>
      <x:c r="M307" s="35" t="str">
        <x:v>https://www.corsair.com/us/en/c/memory/ddr5-ram</x:v>
      </x:c>
    </x:row>
    <x:row r="308">
      <x:c r="A308" s="33" t="str">
        <x:v>ram</x:v>
      </x:c>
      <x:c r="B308" s="34" t="str">
        <x:v>hf-memory-48752</x:v>
      </x:c>
      <x:c r="C308" s="34" t="str">
        <x:v>Corsair Vengeance LPX 16 GB</x:v>
      </x:c>
      <x:c r="D308" s="34" t="str">
        <x:v>Corsair</x:v>
      </x:c>
      <x:c r="E308" s="82" t="n">
        <x:v>189.07</x:v>
      </x:c>
      <x:c r="F308" s="34" t="str">
        <x:v>USD</x:v>
      </x:c>
      <x:c r="G308" s="34" t="str">
        <x:v>reference</x:v>
      </x:c>
      <x:c r="H308" s="34" t="str">
        <x:v>2026-06-28</x:v>
      </x:c>
      <x:c r="I308" s="34" t="str">
        <x:v>memoryType=DDR4; capacityGb=16; speedMt=3200; sticks=2</x:v>
      </x:c>
      <x:c r="J308" s="34" t="str">
        <x:v>DDR4, 16GB, 3200MT/s, dataset</x:v>
      </x:c>
      <x:c r="K308" s="34" t="str">
        <x:v>16GB DDR4-3200 memory kit (2 modules).</x:v>
      </x:c>
      <x:c r="L308" s="34" t="str">
        <x:v>https://fr.pcpartpicker.com/product/p6RFf7/corsair-memory-cmk16gx4m2b3200c16</x:v>
      </x:c>
      <x:c r="M308" s="35" t="str">
        <x:v>https://fr.pcpartpicker.com/product/p6RFf7/corsair-memory-cmk16gx4m2b3200c16</x:v>
      </x:c>
    </x:row>
    <x:row r="309">
      <x:c r="A309" s="33" t="str">
        <x:v>ram</x:v>
      </x:c>
      <x:c r="B309" s="34" t="str">
        <x:v>hf-memory-179887</x:v>
      </x:c>
      <x:c r="C309" s="34" t="str">
        <x:v>Corsair Vengeance RGB Pro 16 GB</x:v>
      </x:c>
      <x:c r="D309" s="34" t="str">
        <x:v>Corsair</x:v>
      </x:c>
      <x:c r="E309" s="82" t="n">
        <x:v>188.11</x:v>
      </x:c>
      <x:c r="F309" s="34" t="str">
        <x:v>USD</x:v>
      </x:c>
      <x:c r="G309" s="34" t="str">
        <x:v>reference</x:v>
      </x:c>
      <x:c r="H309" s="34" t="str">
        <x:v>2026-06-28</x:v>
      </x:c>
      <x:c r="I309" s="34" t="str">
        <x:v>memoryType=DDR4; capacityGb=16; speedMt=3200; sticks=2</x:v>
      </x:c>
      <x:c r="J309" s="34" t="str">
        <x:v>DDR4, 16GB, 3200MT/s, dataset</x:v>
      </x:c>
      <x:c r="K309" s="34" t="str">
        <x:v>16GB DDR4-3200 memory kit (2 modules).</x:v>
      </x:c>
      <x:c r="L309" s="34" t="str">
        <x:v>https://fr.pcpartpicker.com/product/QDhKHx/corsair-vengeance-rgb-pro-16gb-2-x-8gb-ddr4-3200-memory-cmw16gx4m2c3200c16</x:v>
      </x:c>
      <x:c r="M309" s="35" t="str">
        <x:v>https://fr.pcpartpicker.com/product/QDhKHx/corsair-vengeance-rgb-pro-16gb-2-x-8gb-ddr4-3200-memory-cmw16gx4m2c3200c16</x:v>
      </x:c>
    </x:row>
    <x:row r="310">
      <x:c r="A310" s="33" t="str">
        <x:v>ram</x:v>
      </x:c>
      <x:c r="B310" s="34" t="str">
        <x:v>hf-memory-84605</x:v>
      </x:c>
      <x:c r="C310" s="34" t="str">
        <x:v>G.Skill Trident Z RGB 16 GB</x:v>
      </x:c>
      <x:c r="D310" s="34" t="str">
        <x:v>G.Skill</x:v>
      </x:c>
      <x:c r="E310" s="82" t="n">
        <x:v>181.26</x:v>
      </x:c>
      <x:c r="F310" s="34" t="str">
        <x:v>USD</x:v>
      </x:c>
      <x:c r="G310" s="34" t="str">
        <x:v>reference</x:v>
      </x:c>
      <x:c r="H310" s="34" t="str">
        <x:v>2026-06-28</x:v>
      </x:c>
      <x:c r="I310" s="34" t="str">
        <x:v>memoryType=DDR4; capacityGb=16; speedMt=3200; sticks=2</x:v>
      </x:c>
      <x:c r="J310" s="34" t="str">
        <x:v>DDR4, 16GB, 3200MT/s, dataset</x:v>
      </x:c>
      <x:c r="K310" s="34" t="str">
        <x:v>16GB DDR4-3200 memory kit (2 modules).</x:v>
      </x:c>
      <x:c r="L310" s="34" t="str">
        <x:v>https://fr.pcpartpicker.com/product/ybrcCJ/gskill-tridentz-rgb-16gb-2-x-8gb-ddr4-3200-memory-f4-3200c16d-16gtzr</x:v>
      </x:c>
      <x:c r="M310" s="35" t="str">
        <x:v>https://fr.pcpartpicker.com/product/ybrcCJ/gskill-tridentz-rgb-16gb-2-x-8gb-ddr4-3200-memory-f4-3200c16d-16gtzr</x:v>
      </x:c>
    </x:row>
    <x:row r="311">
      <x:c r="A311" s="33" t="str">
        <x:v>ram</x:v>
      </x:c>
      <x:c r="B311" s="34" t="str">
        <x:v>hf-memory-4744</x:v>
      </x:c>
      <x:c r="C311" s="34" t="str">
        <x:v>G.Skill Ripjaws X 8 GB</x:v>
      </x:c>
      <x:c r="D311" s="34" t="str">
        <x:v>G.Skill</x:v>
      </x:c>
      <x:c r="E311" s="82" t="n">
        <x:v>78.44</x:v>
      </x:c>
      <x:c r="F311" s="34" t="str">
        <x:v>USD</x:v>
      </x:c>
      <x:c r="G311" s="34" t="str">
        <x:v>reference</x:v>
      </x:c>
      <x:c r="H311" s="34" t="str">
        <x:v>2026-06-28</x:v>
      </x:c>
      <x:c r="I311" s="34" t="str">
        <x:v>memoryType=DDR4; capacityGb=8; speedMt=1600; sticks=2</x:v>
      </x:c>
      <x:c r="J311" s="34" t="str">
        <x:v>DDR4, 8GB, 1600MT/s, dataset</x:v>
      </x:c>
      <x:c r="K311" s="34" t="str">
        <x:v>8GB DDR4-1600 memory kit (2 modules).</x:v>
      </x:c>
      <x:c r="L311" s="34" t="str">
        <x:v>https://fr.pcpartpicker.com/product/LzTmP6/gskill-memory-f312800cl9d8gbxl</x:v>
      </x:c>
      <x:c r="M311" s="35" t="str">
        <x:v>https://fr.pcpartpicker.com/product/LzTmP6/gskill-memory-f312800cl9d8gbxl</x:v>
      </x:c>
    </x:row>
    <x:row r="312">
      <x:c r="A312" s="33" t="str">
        <x:v>ram</x:v>
      </x:c>
      <x:c r="B312" s="34" t="str">
        <x:v>hf-memory-49070</x:v>
      </x:c>
      <x:c r="C312" s="34" t="str">
        <x:v>G.Skill Ripjaws V 16 GB</x:v>
      </x:c>
      <x:c r="D312" s="34" t="str">
        <x:v>G.Skill</x:v>
      </x:c>
      <x:c r="E312" s="82" t="n">
        <x:v>162.81</x:v>
      </x:c>
      <x:c r="F312" s="34" t="str">
        <x:v>USD</x:v>
      </x:c>
      <x:c r="G312" s="34" t="str">
        <x:v>reference</x:v>
      </x:c>
      <x:c r="H312" s="34" t="str">
        <x:v>2026-06-28</x:v>
      </x:c>
      <x:c r="I312" s="34" t="str">
        <x:v>memoryType=DDR4; capacityGb=16; speedMt=3200; sticks=2</x:v>
      </x:c>
      <x:c r="J312" s="34" t="str">
        <x:v>DDR4, 16GB, 3200MT/s, dataset</x:v>
      </x:c>
      <x:c r="K312" s="34" t="str">
        <x:v>16GB DDR4-3200 memory kit (2 modules).</x:v>
      </x:c>
      <x:c r="L312" s="34" t="str">
        <x:v>https://fr.pcpartpicker.com/product/Cf98TW/gskill-ripjaws-v-series-16-gb-2-x-8-gb-ddr4-3200-cl16-memory-f4-3200c16d-16gvkb</x:v>
      </x:c>
      <x:c r="M312" s="35" t="str">
        <x:v>https://fr.pcpartpicker.com/product/Cf98TW/gskill-ripjaws-v-series-16-gb-2-x-8-gb-ddr4-3200-cl16-memory-f4-3200c16d-16gvkb</x:v>
      </x:c>
    </x:row>
    <x:row r="313">
      <x:c r="A313" s="33" t="str">
        <x:v>ram</x:v>
      </x:c>
      <x:c r="B313" s="34" t="str">
        <x:v>hf-memory-250745</x:v>
      </x:c>
      <x:c r="C313" s="34" t="str">
        <x:v>G.Skill Trident Z Neo 32 GB</x:v>
      </x:c>
      <x:c r="D313" s="34" t="str">
        <x:v>G.Skill</x:v>
      </x:c>
      <x:c r="E313" s="82" t="n">
        <x:v>361.4</x:v>
      </x:c>
      <x:c r="F313" s="34" t="str">
        <x:v>USD</x:v>
      </x:c>
      <x:c r="G313" s="34" t="str">
        <x:v>reference</x:v>
      </x:c>
      <x:c r="H313" s="34" t="str">
        <x:v>2026-06-28</x:v>
      </x:c>
      <x:c r="I313" s="34" t="str">
        <x:v>memoryType=DDR4; capacityGb=32; speedMt=3600; sticks=2</x:v>
      </x:c>
      <x:c r="J313" s="34" t="str">
        <x:v>DDR4, 32GB, 3600MT/s, dataset</x:v>
      </x:c>
      <x:c r="K313" s="34" t="str">
        <x:v>32GB DDR4-3600 memory kit (2 modules).</x:v>
      </x:c>
      <x:c r="L313" s="34" t="str">
        <x:v>https://fr.pcpartpicker.com/product/w3FKHx/gskill-trident-z-neo-32-gb-2-x-16-gb-ddr4-3600-cl16-memory-f4-3600c16d-32gtznc</x:v>
      </x:c>
      <x:c r="M313" s="35" t="str">
        <x:v>https://fr.pcpartpicker.com/product/w3FKHx/gskill-trident-z-neo-32-gb-2-x-16-gb-ddr4-3600-cl16-memory-f4-3600c16d-32gtznc</x:v>
      </x:c>
    </x:row>
    <x:row r="314">
      <x:c r="A314" s="33" t="str">
        <x:v>ram</x:v>
      </x:c>
      <x:c r="B314" s="34" t="str">
        <x:v>hf-memory-49519</x:v>
      </x:c>
      <x:c r="C314" s="34" t="str">
        <x:v>G.Skill Ripjaws V 32 GB</x:v>
      </x:c>
      <x:c r="D314" s="34" t="str">
        <x:v>G.Skill</x:v>
      </x:c>
      <x:c r="E314" s="82" t="n">
        <x:v>288.22</x:v>
      </x:c>
      <x:c r="F314" s="34" t="str">
        <x:v>USD</x:v>
      </x:c>
      <x:c r="G314" s="34" t="str">
        <x:v>reference</x:v>
      </x:c>
      <x:c r="H314" s="34" t="str">
        <x:v>2026-06-28</x:v>
      </x:c>
      <x:c r="I314" s="34" t="str">
        <x:v>memoryType=DDR4; capacityGb=32; speedMt=3200; sticks=2</x:v>
      </x:c>
      <x:c r="J314" s="34" t="str">
        <x:v>DDR4, 32GB, 3200MT/s, dataset</x:v>
      </x:c>
      <x:c r="K314" s="34" t="str">
        <x:v>32GB DDR4-3200 memory kit (2 modules).</x:v>
      </x:c>
      <x:c r="L314" s="34" t="str">
        <x:v>https://fr.pcpartpicker.com/product/kXbkcf/gskill-ripjaws-v-32-gb-2-x-16-gb-ddr4-3200-cl16-memory-f4-3200c16d-32gvk</x:v>
      </x:c>
      <x:c r="M314" s="35" t="str">
        <x:v>https://fr.pcpartpicker.com/product/kXbkcf/gskill-ripjaws-v-32-gb-2-x-16-gb-ddr4-3200-cl16-memory-f4-3200c16d-32gvk</x:v>
      </x:c>
    </x:row>
    <x:row r="315">
      <x:c r="A315" s="33" t="str">
        <x:v>ram</x:v>
      </x:c>
      <x:c r="B315" s="34" t="str">
        <x:v>hf-memory-435128</x:v>
      </x:c>
      <x:c r="C315" s="34" t="str">
        <x:v>G.Skill Trident Z5 Neo RGB 32 GB</x:v>
      </x:c>
      <x:c r="D315" s="34" t="str">
        <x:v>G.Skill</x:v>
      </x:c>
      <x:c r="E315" s="82" t="n">
        <x:v>570.04</x:v>
      </x:c>
      <x:c r="F315" s="34" t="str">
        <x:v>USD</x:v>
      </x:c>
      <x:c r="G315" s="34" t="str">
        <x:v>reference</x:v>
      </x:c>
      <x:c r="H315" s="34" t="str">
        <x:v>2026-06-28</x:v>
      </x:c>
      <x:c r="I315" s="34" t="str">
        <x:v>memoryType=DDR5; capacityGb=32; speedMt=6000; sticks=2</x:v>
      </x:c>
      <x:c r="J315" s="34" t="str">
        <x:v>DDR5, 32GB, 6000MT/s, dataset</x:v>
      </x:c>
      <x:c r="K315" s="34" t="str">
        <x:v>32GB DDR5-6000 memory kit (2 modules).</x:v>
      </x:c>
      <x:c r="L315" s="34" t="str">
        <x:v>https://fr.pcpartpicker.com/product/CXKKHx/gskill-trident-z5-neo-rgb-32-gb-2-x-16-gb-ddr5-6000-cl30-memory-f5-6000j3038f16gx2-tz5nr</x:v>
      </x:c>
      <x:c r="M315" s="35" t="str">
        <x:v>https://fr.pcpartpicker.com/product/CXKKHx/gskill-trident-z5-neo-rgb-32-gb-2-x-16-gb-ddr5-6000-cl30-memory-f5-6000j3038f16gx2-tz5nr</x:v>
      </x:c>
    </x:row>
    <x:row r="316">
      <x:c r="A316" s="33" t="str">
        <x:v>ram</x:v>
      </x:c>
      <x:c r="B316" s="34" t="str">
        <x:v>hf-memory-471234</x:v>
      </x:c>
      <x:c r="C316" s="34" t="str">
        <x:v>TEAMGROUP T-Create Expert 32 GB</x:v>
      </x:c>
      <x:c r="D316" s="34" t="str">
        <x:v>TEAMGROUP</x:v>
      </x:c>
      <x:c r="E316" s="82" t="n">
        <x:v>540.28</x:v>
      </x:c>
      <x:c r="F316" s="34" t="str">
        <x:v>USD</x:v>
      </x:c>
      <x:c r="G316" s="34" t="str">
        <x:v>reference</x:v>
      </x:c>
      <x:c r="H316" s="34" t="str">
        <x:v>2026-06-28</x:v>
      </x:c>
      <x:c r="I316" s="34" t="str">
        <x:v>memoryType=DDR5; capacityGb=32; speedMt=6000; sticks=2</x:v>
      </x:c>
      <x:c r="J316" s="34" t="str">
        <x:v>DDR5, 32GB, 6000MT/s, dataset</x:v>
      </x:c>
      <x:c r="K316" s="34" t="str">
        <x:v>32GB DDR5-6000 memory kit (2 modules).</x:v>
      </x:c>
      <x:c r="L316" s="34" t="str">
        <x:v>https://fr.pcpartpicker.com/product/H9CZxr/teamgroup-t-create-expert-32-gb-2-x-16-gb-ddr5-6000-cl30-memory-ctced532g6000hc30dc01</x:v>
      </x:c>
      <x:c r="M316" s="35" t="str">
        <x:v>https://fr.pcpartpicker.com/product/H9CZxr/teamgroup-t-create-expert-32-gb-2-x-16-gb-ddr5-6000-cl30-memory-ctced532g6000hc30dc01</x:v>
      </x:c>
    </x:row>
    <x:row r="317">
      <x:c r="A317" s="33" t="str">
        <x:v>ram</x:v>
      </x:c>
      <x:c r="B317" s="34" t="str">
        <x:v>hf-memory-238654</x:v>
      </x:c>
      <x:c r="C317" s="34" t="str">
        <x:v>TEAMGROUP T-Force Vulcan Z 16 GB</x:v>
      </x:c>
      <x:c r="D317" s="34" t="str">
        <x:v>TEAMGROUP</x:v>
      </x:c>
      <x:c r="E317" s="82" t="n">
        <x:v>173.28</x:v>
      </x:c>
      <x:c r="F317" s="34" t="str">
        <x:v>USD</x:v>
      </x:c>
      <x:c r="G317" s="34" t="str">
        <x:v>reference</x:v>
      </x:c>
      <x:c r="H317" s="34" t="str">
        <x:v>2026-06-28</x:v>
      </x:c>
      <x:c r="I317" s="34" t="str">
        <x:v>memoryType=DDR4; capacityGb=16; speedMt=3200; sticks=2</x:v>
      </x:c>
      <x:c r="J317" s="34" t="str">
        <x:v>DDR4, 16GB, 3200MT/s, dataset</x:v>
      </x:c>
      <x:c r="K317" s="34" t="str">
        <x:v>16GB DDR4-3200 memory kit (2 modules).</x:v>
      </x:c>
      <x:c r="L317" s="34" t="str">
        <x:v>https://fr.pcpartpicker.com/product/z3VD4D/team-t-force-vulcan-z-16-gb-2-x-8-gb-ddr4-3200-memory-tlzgd416g3200hc16cdc01</x:v>
      </x:c>
      <x:c r="M317" s="35" t="str">
        <x:v>https://fr.pcpartpicker.com/product/z3VD4D/team-t-force-vulcan-z-16-gb-2-x-8-gb-ddr4-3200-memory-tlzgd416g3200hc16cdc01</x:v>
      </x:c>
    </x:row>
    <x:row r="318">
      <x:c r="A318" s="33" t="str">
        <x:v>ram</x:v>
      </x:c>
      <x:c r="B318" s="34" t="str">
        <x:v>hf-memory-435139</x:v>
      </x:c>
      <x:c r="C318" s="34" t="str">
        <x:v>G.Skill Flare X5 32 GB</x:v>
      </x:c>
      <x:c r="D318" s="34" t="str">
        <x:v>G.Skill</x:v>
      </x:c>
      <x:c r="E318" s="82" t="n">
        <x:v>409.18</x:v>
      </x:c>
      <x:c r="F318" s="34" t="str">
        <x:v>USD</x:v>
      </x:c>
      <x:c r="G318" s="34" t="str">
        <x:v>reference</x:v>
      </x:c>
      <x:c r="H318" s="34" t="str">
        <x:v>2026-06-28</x:v>
      </x:c>
      <x:c r="I318" s="34" t="str">
        <x:v>memoryType=DDR5; capacityGb=32; speedMt=6000; sticks=2</x:v>
      </x:c>
      <x:c r="J318" s="34" t="str">
        <x:v>DDR5, 32GB, 6000MT/s, dataset</x:v>
      </x:c>
      <x:c r="K318" s="34" t="str">
        <x:v>32GB DDR5-6000 memory kit (2 modules).</x:v>
      </x:c>
      <x:c r="L318" s="34" t="str">
        <x:v>https://fr.pcpartpicker.com/product/pwxRsY/gskill-flare-x5-32-gb-2-x-16-gb-ddr5-6000-cl36-memory-f5-6000j3636f16gx2-fx5</x:v>
      </x:c>
      <x:c r="M318" s="35" t="str">
        <x:v>https://fr.pcpartpicker.com/product/pwxRsY/gskill-flare-x5-32-gb-2-x-16-gb-ddr5-6000-cl36-memory-f5-6000j3636f16gx2-fx5</x:v>
      </x:c>
    </x:row>
    <x:row r="319">
      <x:c r="A319" s="33" t="str">
        <x:v>ram</x:v>
      </x:c>
      <x:c r="B319" s="34" t="str">
        <x:v>hf-memory-5156</x:v>
      </x:c>
      <x:c r="C319" s="34" t="str">
        <x:v>Corsair Vengeance 8 GB</x:v>
      </x:c>
      <x:c r="D319" s="34" t="str">
        <x:v>Corsair</x:v>
      </x:c>
      <x:c r="E319" s="82" t="n">
        <x:v>162.61</x:v>
      </x:c>
      <x:c r="F319" s="34" t="str">
        <x:v>USD</x:v>
      </x:c>
      <x:c r="G319" s="34" t="str">
        <x:v>reference</x:v>
      </x:c>
      <x:c r="H319" s="34" t="str">
        <x:v>2026-06-28</x:v>
      </x:c>
      <x:c r="I319" s="34" t="str">
        <x:v>memoryType=DDR4; capacityGb=8; speedMt=1600; sticks=2</x:v>
      </x:c>
      <x:c r="J319" s="34" t="str">
        <x:v>DDR4, 8GB, 1600MT/s, dataset</x:v>
      </x:c>
      <x:c r="K319" s="34" t="str">
        <x:v>8GB DDR4-1600 memory kit (2 modules).</x:v>
      </x:c>
      <x:c r="L319" s="34" t="str">
        <x:v>https://fr.pcpartpicker.com/product/6hzv6h/corsair-memory-cmz8gx3m2a1600c9b</x:v>
      </x:c>
      <x:c r="M319" s="35" t="str">
        <x:v>https://fr.pcpartpicker.com/product/6hzv6h/corsair-memory-cmz8gx3m2a1600c9b</x:v>
      </x:c>
    </x:row>
    <x:row r="320">
      <x:c r="A320" s="33" t="str">
        <x:v>ram</x:v>
      </x:c>
      <x:c r="B320" s="34" t="str">
        <x:v>hf-memory-464670</x:v>
      </x:c>
      <x:c r="C320" s="34" t="str">
        <x:v>Corsair Vengeance RGB 32 GB</x:v>
      </x:c>
      <x:c r="D320" s="34" t="str">
        <x:v>Corsair</x:v>
      </x:c>
      <x:c r="E320" s="82" t="n">
        <x:v>466.86</x:v>
      </x:c>
      <x:c r="F320" s="34" t="str">
        <x:v>USD</x:v>
      </x:c>
      <x:c r="G320" s="34" t="str">
        <x:v>reference</x:v>
      </x:c>
      <x:c r="H320" s="34" t="str">
        <x:v>2026-06-28</x:v>
      </x:c>
      <x:c r="I320" s="34" t="str">
        <x:v>memoryType=DDR5; capacityGb=32; speedMt=6000; sticks=2</x:v>
      </x:c>
      <x:c r="J320" s="34" t="str">
        <x:v>DDR5, 32GB, 6000MT/s, dataset</x:v>
      </x:c>
      <x:c r="K320" s="34" t="str">
        <x:v>32GB DDR5-6000 memory kit (2 modules).</x:v>
      </x:c>
      <x:c r="L320" s="34" t="str">
        <x:v>https://fr.pcpartpicker.com/product/kTJp99/corsair-vengeance-rgb-32-gb-2-x-16-gb-ddr5-6000-cl36-memory-cmh32gx5m2e6000c36</x:v>
      </x:c>
      <x:c r="M320" s="35" t="str">
        <x:v>https://fr.pcpartpicker.com/product/kTJp99/corsair-vengeance-rgb-32-gb-2-x-16-gb-ddr5-6000-cl36-memory-cmh32gx5m2e6000c36</x:v>
      </x:c>
    </x:row>
    <x:row r="321">
      <x:c r="A321" s="33" t="str">
        <x:v>ram</x:v>
      </x:c>
      <x:c r="B321" s="34" t="str">
        <x:v>hf-memory-266012</x:v>
      </x:c>
      <x:c r="C321" s="34" t="str">
        <x:v>Corsair Vengeance LPX 32 GB</x:v>
      </x:c>
      <x:c r="D321" s="34" t="str">
        <x:v>Corsair</x:v>
      </x:c>
      <x:c r="E321" s="82" t="n">
        <x:v>282.62</x:v>
      </x:c>
      <x:c r="F321" s="34" t="str">
        <x:v>USD</x:v>
      </x:c>
      <x:c r="G321" s="34" t="str">
        <x:v>reference</x:v>
      </x:c>
      <x:c r="H321" s="34" t="str">
        <x:v>2026-06-28</x:v>
      </x:c>
      <x:c r="I321" s="34" t="str">
        <x:v>memoryType=DDR4; capacityGb=32; speedMt=3600; sticks=2</x:v>
      </x:c>
      <x:c r="J321" s="34" t="str">
        <x:v>DDR4, 32GB, 3600MT/s, dataset</x:v>
      </x:c>
      <x:c r="K321" s="34" t="str">
        <x:v>32GB DDR4-3600 memory kit (2 modules).</x:v>
      </x:c>
      <x:c r="L321" s="34" t="str">
        <x:v>https://fr.pcpartpicker.com/product/Yg3mP6/corsair-vengeance-lpx-32-gb-2-x-16-gb-ddr4-3600-memory-cmk32gx4m2d3600c18</x:v>
      </x:c>
      <x:c r="M321" s="35" t="str">
        <x:v>https://fr.pcpartpicker.com/product/Yg3mP6/corsair-vengeance-lpx-32-gb-2-x-16-gb-ddr4-3600-memory-cmk32gx4m2d3600c18</x:v>
      </x:c>
    </x:row>
    <x:row r="322">
      <x:c r="A322" s="33" t="str">
        <x:v>ram</x:v>
      </x:c>
      <x:c r="B322" s="34" t="str">
        <x:v>hf-memory-274320</x:v>
      </x:c>
      <x:c r="C322" s="34" t="str">
        <x:v>Corsair Vengeance RGB Pro 32 GB</x:v>
      </x:c>
      <x:c r="D322" s="34" t="str">
        <x:v>Corsair</x:v>
      </x:c>
      <x:c r="E322" s="82" t="n">
        <x:v>438.94</x:v>
      </x:c>
      <x:c r="F322" s="34" t="str">
        <x:v>USD</x:v>
      </x:c>
      <x:c r="G322" s="34" t="str">
        <x:v>reference</x:v>
      </x:c>
      <x:c r="H322" s="34" t="str">
        <x:v>2026-06-28</x:v>
      </x:c>
      <x:c r="I322" s="34" t="str">
        <x:v>memoryType=DDR4; capacityGb=32; speedMt=3600; sticks=2</x:v>
      </x:c>
      <x:c r="J322" s="34" t="str">
        <x:v>DDR4, 32GB, 3600MT/s, dataset</x:v>
      </x:c>
      <x:c r="K322" s="34" t="str">
        <x:v>32GB DDR4-3600 memory kit (2 modules).</x:v>
      </x:c>
      <x:c r="L322" s="34" t="str">
        <x:v>https://fr.pcpartpicker.com/product/khmFf7/corsair-vengeance-rgb-pro-32-gb-2-x-16-gb-ddr4-3600-memory-cmw32gx4m2z3600c18</x:v>
      </x:c>
      <x:c r="M322" s="35" t="str">
        <x:v>https://fr.pcpartpicker.com/product/khmFf7/corsair-vengeance-rgb-pro-32-gb-2-x-16-gb-ddr4-3600-memory-cmw32gx4m2z3600c18</x:v>
      </x:c>
    </x:row>
    <x:row r="323">
      <x:c r="A323" s="33" t="str">
        <x:v>ram</x:v>
      </x:c>
      <x:c r="B323" s="34" t="str">
        <x:v>hf-memory-5437</x:v>
      </x:c>
      <x:c r="C323" s="34" t="str">
        <x:v>G.Skill Sniper 8 GB</x:v>
      </x:c>
      <x:c r="D323" s="34" t="str">
        <x:v>G.Skill</x:v>
      </x:c>
      <x:c r="E323" s="82" t="n">
        <x:v>90.98</x:v>
      </x:c>
      <x:c r="F323" s="34" t="str">
        <x:v>USD</x:v>
      </x:c>
      <x:c r="G323" s="34" t="str">
        <x:v>reference</x:v>
      </x:c>
      <x:c r="H323" s="34" t="str">
        <x:v>2026-06-28</x:v>
      </x:c>
      <x:c r="I323" s="34" t="str">
        <x:v>memoryType=DDR4; capacityGb=8; speedMt=1866; sticks=2</x:v>
      </x:c>
      <x:c r="J323" s="34" t="str">
        <x:v>DDR4, 8GB, 1866MT/s, dataset</x:v>
      </x:c>
      <x:c r="K323" s="34" t="str">
        <x:v>8GB DDR4-1866 memory kit (2 modules).</x:v>
      </x:c>
      <x:c r="L323" s="34" t="str">
        <x:v>https://fr.pcpartpicker.com/product/WtDwrH/gskill-memory-f314900cl9d8gbsr</x:v>
      </x:c>
      <x:c r="M323" s="35" t="str">
        <x:v>https://fr.pcpartpicker.com/product/WtDwrH/gskill-memory-f314900cl9d8gbsr</x:v>
      </x:c>
    </x:row>
    <x:row r="324">
      <x:c r="A324" s="33" t="str">
        <x:v>ram</x:v>
      </x:c>
      <x:c r="B324" s="34" t="str">
        <x:v>hf-memory-426510</x:v>
      </x:c>
      <x:c r="C324" s="34" t="str">
        <x:v>TEAMGROUP T-Force Delta RGB 32 GB</x:v>
      </x:c>
      <x:c r="D324" s="34" t="str">
        <x:v>TEAMGROUP</x:v>
      </x:c>
      <x:c r="E324" s="82" t="n">
        <x:v>493.55</x:v>
      </x:c>
      <x:c r="F324" s="34" t="str">
        <x:v>USD</x:v>
      </x:c>
      <x:c r="G324" s="34" t="str">
        <x:v>reference</x:v>
      </x:c>
      <x:c r="H324" s="34" t="str">
        <x:v>2026-06-28</x:v>
      </x:c>
      <x:c r="I324" s="34" t="str">
        <x:v>memoryType=DDR5; capacityGb=32; speedMt=6000; sticks=2</x:v>
      </x:c>
      <x:c r="J324" s="34" t="str">
        <x:v>DDR5, 32GB, 6000MT/s, dataset</x:v>
      </x:c>
      <x:c r="K324" s="34" t="str">
        <x:v>32GB DDR5-6000 memory kit (2 modules).</x:v>
      </x:c>
      <x:c r="L324" s="34" t="str">
        <x:v>https://fr.pcpartpicker.com/product/WFVmP6/teamgroup-t-force-delta-rgb-32-gb-2-x-16-gb-ddr5-6000-cl30-memory-ff4d532g6000hc30dc01</x:v>
      </x:c>
      <x:c r="M324" s="35" t="str">
        <x:v>https://fr.pcpartpicker.com/product/WFVmP6/teamgroup-t-force-delta-rgb-32-gb-2-x-16-gb-ddr5-6000-cl30-memory-ff4d532g6000hc30dc01</x:v>
      </x:c>
    </x:row>
    <x:row r="325">
      <x:c r="A325" s="33" t="str">
        <x:v>ram</x:v>
      </x:c>
      <x:c r="B325" s="34" t="str">
        <x:v>hf-memory-250941</x:v>
      </x:c>
      <x:c r="C325" s="34" t="str">
        <x:v>G.Skill Trident Z Neo 16 GB</x:v>
      </x:c>
      <x:c r="D325" s="34" t="str">
        <x:v>G.Skill</x:v>
      </x:c>
      <x:c r="E325" s="82" t="n">
        <x:v>228.01</x:v>
      </x:c>
      <x:c r="F325" s="34" t="str">
        <x:v>USD</x:v>
      </x:c>
      <x:c r="G325" s="34" t="str">
        <x:v>reference</x:v>
      </x:c>
      <x:c r="H325" s="34" t="str">
        <x:v>2026-06-28</x:v>
      </x:c>
      <x:c r="I325" s="34" t="str">
        <x:v>memoryType=DDR4; capacityGb=16; speedMt=3600; sticks=2</x:v>
      </x:c>
      <x:c r="J325" s="34" t="str">
        <x:v>DDR4, 16GB, 3600MT/s, dataset</x:v>
      </x:c>
      <x:c r="K325" s="34" t="str">
        <x:v>16GB DDR4-3600 memory kit (2 modules).</x:v>
      </x:c>
      <x:c r="L325" s="34" t="str">
        <x:v>https://fr.pcpartpicker.com/product/JgLwrH/gskill-trident-z-neo-16-gb-2-x-8-gb-ddr4-3600-cl16-memory-f4-3600c16d-16gtznc</x:v>
      </x:c>
      <x:c r="M325" s="35" t="str">
        <x:v>https://fr.pcpartpicker.com/product/JgLwrH/gskill-trident-z-neo-16-gb-2-x-8-gb-ddr4-3600-cl16-memory-f4-3600c16d-16gtznc</x:v>
      </x:c>
    </x:row>
    <x:row r="326">
      <x:c r="A326" s="33" t="str">
        <x:v>ram</x:v>
      </x:c>
      <x:c r="B326" s="34" t="str">
        <x:v>hf-memory-471700</x:v>
      </x:c>
      <x:c r="C326" s="34" t="str">
        <x:v>Corsair Vengeance 32 GB</x:v>
      </x:c>
      <x:c r="D326" s="34" t="str">
        <x:v>Corsair</x:v>
      </x:c>
      <x:c r="E326" s="82" t="n">
        <x:v>638.44</x:v>
      </x:c>
      <x:c r="F326" s="34" t="str">
        <x:v>USD</x:v>
      </x:c>
      <x:c r="G326" s="34" t="str">
        <x:v>reference</x:v>
      </x:c>
      <x:c r="H326" s="34" t="str">
        <x:v>2026-06-28</x:v>
      </x:c>
      <x:c r="I326" s="34" t="str">
        <x:v>memoryType=DDR5; capacityGb=32; speedMt=6000; sticks=2</x:v>
      </x:c>
      <x:c r="J326" s="34" t="str">
        <x:v>DDR5, 32GB, 6000MT/s, dataset</x:v>
      </x:c>
      <x:c r="K326" s="34" t="str">
        <x:v>32GB DDR5-6000 memory kit (2 modules).</x:v>
      </x:c>
      <x:c r="L326" s="34" t="str">
        <x:v>https://fr.pcpartpicker.com/product/JkfxFT/corsair-vengeance-32-gb-2-x-16-gb-ddr5-6000-cl30-memory-cmk32gx5m2b6000c30</x:v>
      </x:c>
      <x:c r="M326" s="35" t="str">
        <x:v>https://fr.pcpartpicker.com/product/JkfxFT/corsair-vengeance-32-gb-2-x-16-gb-ddr5-6000-cl30-memory-cmk32gx5m2b6000c30</x:v>
      </x:c>
    </x:row>
    <x:row r="327">
      <x:c r="A327" s="33" t="str">
        <x:v>ram</x:v>
      </x:c>
      <x:c r="B327" s="34" t="str">
        <x:v>hf-memory-163391</x:v>
      </x:c>
      <x:c r="C327" s="34" t="str">
        <x:v>G.Skill Aegis 16 GB</x:v>
      </x:c>
      <x:c r="D327" s="34" t="str">
        <x:v>G.Skill</x:v>
      </x:c>
      <x:c r="E327" s="82" t="n">
        <x:v>174.32</x:v>
      </x:c>
      <x:c r="F327" s="34" t="str">
        <x:v>USD</x:v>
      </x:c>
      <x:c r="G327" s="34" t="str">
        <x:v>reference</x:v>
      </x:c>
      <x:c r="H327" s="34" t="str">
        <x:v>2026-06-28</x:v>
      </x:c>
      <x:c r="I327" s="34" t="str">
        <x:v>memoryType=DDR4; capacityGb=16; speedMt=3000; sticks=2</x:v>
      </x:c>
      <x:c r="J327" s="34" t="str">
        <x:v>DDR4, 16GB, 3000MT/s, dataset</x:v>
      </x:c>
      <x:c r="K327" s="34" t="str">
        <x:v>16GB DDR4-3000 memory kit (2 modules).</x:v>
      </x:c>
      <x:c r="L327" s="34" t="str">
        <x:v>https://fr.pcpartpicker.com/product/FNprxr/gskill-aegis-16-gb-2-x-8-gb-ddr4-3000-cl16-memory-f4-3000c16d-16gisb</x:v>
      </x:c>
      <x:c r="M327" s="35" t="str">
        <x:v>https://fr.pcpartpicker.com/product/FNprxr/gskill-aegis-16-gb-2-x-8-gb-ddr4-3000-cl16-memory-f4-3000c16d-16gisb</x:v>
      </x:c>
    </x:row>
    <x:row r="328">
      <x:c r="A328" s="33" t="str">
        <x:v>ram</x:v>
      </x:c>
      <x:c r="B328" s="34" t="str">
        <x:v>hf-memory-346914</x:v>
      </x:c>
      <x:c r="C328" s="34" t="str">
        <x:v>Silicon Power GAMING 16 GB</x:v>
      </x:c>
      <x:c r="D328" s="34" t="str">
        <x:v>Silicon Power</x:v>
      </x:c>
      <x:c r="E328" s="82" t="n">
        <x:v>159.6</x:v>
      </x:c>
      <x:c r="F328" s="34" t="str">
        <x:v>USD</x:v>
      </x:c>
      <x:c r="G328" s="34" t="str">
        <x:v>reference</x:v>
      </x:c>
      <x:c r="H328" s="34" t="str">
        <x:v>2026-06-28</x:v>
      </x:c>
      <x:c r="I328" s="34" t="str">
        <x:v>memoryType=DDR4; capacityGb=16; speedMt=3200; sticks=2</x:v>
      </x:c>
      <x:c r="J328" s="34" t="str">
        <x:v>DDR4, 16GB, 3200MT/s, dataset</x:v>
      </x:c>
      <x:c r="K328" s="34" t="str">
        <x:v>16GB DDR4-3200 memory kit (2 modules).</x:v>
      </x:c>
      <x:c r="L328" s="34" t="str">
        <x:v>https://fr.pcpartpicker.com/product/P4FKHx/silicon-power-gaming-16-gb-2-x-8-gb-ddr4-3200-cl16-memory-sp016gxlzu320bdaj5</x:v>
      </x:c>
      <x:c r="M328" s="35" t="str">
        <x:v>https://fr.pcpartpicker.com/product/P4FKHx/silicon-power-gaming-16-gb-2-x-8-gb-ddr4-3200-cl16-memory-sp016gxlzu320bdaj5</x:v>
      </x:c>
    </x:row>
    <x:row r="329">
      <x:c r="A329" s="33" t="str">
        <x:v>ram</x:v>
      </x:c>
      <x:c r="B329" s="34" t="str">
        <x:v>hf-memory-9557</x:v>
      </x:c>
      <x:c r="C329" s="34" t="str">
        <x:v>G.Skill Ripjaws X 16 GB</x:v>
      </x:c>
      <x:c r="D329" s="34" t="str">
        <x:v>G.Skill</x:v>
      </x:c>
      <x:c r="E329" s="82" t="n">
        <x:v>112.76</x:v>
      </x:c>
      <x:c r="F329" s="34" t="str">
        <x:v>USD</x:v>
      </x:c>
      <x:c r="G329" s="34" t="str">
        <x:v>reference</x:v>
      </x:c>
      <x:c r="H329" s="34" t="str">
        <x:v>2026-06-28</x:v>
      </x:c>
      <x:c r="I329" s="34" t="str">
        <x:v>memoryType=DDR4; capacityGb=16; speedMt=1600; sticks=2</x:v>
      </x:c>
      <x:c r="J329" s="34" t="str">
        <x:v>DDR4, 16GB, 1600MT/s, dataset</x:v>
      </x:c>
      <x:c r="K329" s="34" t="str">
        <x:v>16GB DDR4-1600 memory kit (2 modules).</x:v>
      </x:c>
      <x:c r="L329" s="34" t="str">
        <x:v>https://fr.pcpartpicker.com/product/qqvRsY/gskill-memory-f312800cl10d16gbxl</x:v>
      </x:c>
      <x:c r="M329" s="35" t="str">
        <x:v>https://fr.pcpartpicker.com/product/qqvRsY/gskill-memory-f312800cl10d16gbxl</x:v>
      </x:c>
    </x:row>
    <x:row r="330">
      <x:c r="A330" s="33" t="str">
        <x:v>ram</x:v>
      </x:c>
      <x:c r="B330" s="34" t="str">
        <x:v>hf-memory-512976</x:v>
      </x:c>
      <x:c r="C330" s="34" t="str">
        <x:v>Crucial Pro Overclocking 32 GB</x:v>
      </x:c>
      <x:c r="D330" s="34" t="str">
        <x:v>Crucial</x:v>
      </x:c>
      <x:c r="E330" s="82" t="n">
        <x:v>486.14</x:v>
      </x:c>
      <x:c r="F330" s="34" t="str">
        <x:v>USD</x:v>
      </x:c>
      <x:c r="G330" s="34" t="str">
        <x:v>reference</x:v>
      </x:c>
      <x:c r="H330" s="34" t="str">
        <x:v>2026-06-28</x:v>
      </x:c>
      <x:c r="I330" s="34" t="str">
        <x:v>memoryType=DDR5; capacityGb=32; speedMt=6000; sticks=2</x:v>
      </x:c>
      <x:c r="J330" s="34" t="str">
        <x:v>DDR5, 32GB, 6000MT/s, dataset</x:v>
      </x:c>
      <x:c r="K330" s="34" t="str">
        <x:v>32GB DDR5-6000 memory kit (2 modules).</x:v>
      </x:c>
      <x:c r="L330" s="34" t="str">
        <x:v>https://fr.pcpartpicker.com/product/QF9wrH/crucial-pro-overclocking-32-gb-2-x-16-gb-ddr5-6000-cl36-memory-cp2k16g60c36u5b</x:v>
      </x:c>
      <x:c r="M330" s="35" t="str">
        <x:v>https://fr.pcpartpicker.com/product/QF9wrH/crucial-pro-overclocking-32-gb-2-x-16-gb-ddr5-6000-cl36-memory-cp2k16g60c36u5b</x:v>
      </x:c>
    </x:row>
    <x:row r="331">
      <x:c r="A331" s="33" t="str">
        <x:v>ram</x:v>
      </x:c>
      <x:c r="B331" s="34" t="str">
        <x:v>hf-memory-440072</x:v>
      </x:c>
      <x:c r="C331" s="34" t="str">
        <x:v>G.Skill Trident Z5 Neo RGB 64 GB</x:v>
      </x:c>
      <x:c r="D331" s="34" t="str">
        <x:v>G.Skill</x:v>
      </x:c>
      <x:c r="E331" s="82" t="n">
        <x:v>1018.22</x:v>
      </x:c>
      <x:c r="F331" s="34" t="str">
        <x:v>USD</x:v>
      </x:c>
      <x:c r="G331" s="34" t="str">
        <x:v>reference</x:v>
      </x:c>
      <x:c r="H331" s="34" t="str">
        <x:v>2026-06-28</x:v>
      </x:c>
      <x:c r="I331" s="34" t="str">
        <x:v>memoryType=DDR5; capacityGb=64; speedMt=6000; sticks=2</x:v>
      </x:c>
      <x:c r="J331" s="34" t="str">
        <x:v>DDR5, 64GB, 6000MT/s, dataset</x:v>
      </x:c>
      <x:c r="K331" s="34" t="str">
        <x:v>64GB DDR5-6000 memory kit (2 modules).</x:v>
      </x:c>
      <x:c r="L331" s="34" t="str">
        <x:v>https://fr.pcpartpicker.com/product/hRQcCJ/gskill-trident-z5-neo-rgb-64-gb-2-x-32-gb-ddr5-6000-cl30-memory-f5-6000j3040g32gx2-tz5nr</x:v>
      </x:c>
      <x:c r="M331" s="35" t="str">
        <x:v>https://fr.pcpartpicker.com/product/hRQcCJ/gskill-trident-z5-neo-rgb-64-gb-2-x-32-gb-ddr5-6000-cl30-memory-f5-6000j3040g32gx2-tz5nr</x:v>
      </x:c>
    </x:row>
    <x:row r="332">
      <x:c r="A332" s="33" t="str">
        <x:v>ram</x:v>
      </x:c>
      <x:c r="B332" s="34" t="str">
        <x:v>hf-memory-217734</x:v>
      </x:c>
      <x:c r="C332" s="34" t="str">
        <x:v>TEAMGROUP T-Force Delta RGB 16 GB</x:v>
      </x:c>
      <x:c r="D332" s="34" t="str">
        <x:v>TEAMGROUP</x:v>
      </x:c>
      <x:c r="E332" s="82" t="n">
        <x:v>197.23</x:v>
      </x:c>
      <x:c r="F332" s="34" t="str">
        <x:v>USD</x:v>
      </x:c>
      <x:c r="G332" s="34" t="str">
        <x:v>reference</x:v>
      </x:c>
      <x:c r="H332" s="34" t="str">
        <x:v>2026-06-28</x:v>
      </x:c>
      <x:c r="I332" s="34" t="str">
        <x:v>memoryType=DDR4; capacityGb=16; speedMt=3200; sticks=2</x:v>
      </x:c>
      <x:c r="J332" s="34" t="str">
        <x:v>DDR4, 16GB, 3200MT/s, dataset</x:v>
      </x:c>
      <x:c r="K332" s="34" t="str">
        <x:v>16GB DDR4-3200 memory kit (2 modules).</x:v>
      </x:c>
      <x:c r="L332" s="34" t="str">
        <x:v>https://fr.pcpartpicker.com/product/2bJtt6/teamgroup-t-force-delta-rgb-16-gb-2-x-8-gb-ddr4-3200-cl16-memory-tf3d416g3200hc16cdc01</x:v>
      </x:c>
      <x:c r="M332" s="35" t="str">
        <x:v>https://fr.pcpartpicker.com/product/2bJtt6/teamgroup-t-force-delta-rgb-16-gb-2-x-8-gb-ddr4-3200-cl16-memory-tf3d416g3200hc16cdc01</x:v>
      </x:c>
    </x:row>
    <x:row r="333">
      <x:c r="A333" s="33" t="str">
        <x:v>ram</x:v>
      </x:c>
      <x:c r="B333" s="34" t="str">
        <x:v>hf-memory-10571</x:v>
      </x:c>
      <x:c r="C333" s="34" t="str">
        <x:v>G.Skill Ares 8 GB</x:v>
      </x:c>
      <x:c r="D333" s="34" t="str">
        <x:v>G.Skill</x:v>
      </x:c>
      <x:c r="E333" s="82" t="n">
        <x:v>78.44</x:v>
      </x:c>
      <x:c r="F333" s="34" t="str">
        <x:v>USD</x:v>
      </x:c>
      <x:c r="G333" s="34" t="str">
        <x:v>reference</x:v>
      </x:c>
      <x:c r="H333" s="34" t="str">
        <x:v>2026-06-28</x:v>
      </x:c>
      <x:c r="I333" s="34" t="str">
        <x:v>memoryType=DDR4; capacityGb=8; speedMt=1600; sticks=2</x:v>
      </x:c>
      <x:c r="J333" s="34" t="str">
        <x:v>DDR4, 8GB, 1600MT/s, dataset</x:v>
      </x:c>
      <x:c r="K333" s="34" t="str">
        <x:v>8GB DDR4-1600 memory kit (2 modules).</x:v>
      </x:c>
      <x:c r="L333" s="34" t="str">
        <x:v>https://fr.pcpartpicker.com/product/NTLypg/gskill-memory-f31600c9d8gab</x:v>
      </x:c>
      <x:c r="M333" s="35" t="str">
        <x:v>https://fr.pcpartpicker.com/product/NTLypg/gskill-memory-f31600c9d8gab</x:v>
      </x:c>
    </x:row>
    <x:row r="334">
      <x:c r="A334" s="33" t="str">
        <x:v>ram</x:v>
      </x:c>
      <x:c r="B334" s="34" t="str">
        <x:v>hf-memory-403990</x:v>
      </x:c>
      <x:c r="C334" s="34" t="str">
        <x:v>G.Skill Trident Z5 RGB 32 GB</x:v>
      </x:c>
      <x:c r="D334" s="34" t="str">
        <x:v>G.Skill</x:v>
      </x:c>
      <x:c r="E334" s="82" t="n">
        <x:v>516.35</x:v>
      </x:c>
      <x:c r="F334" s="34" t="str">
        <x:v>USD</x:v>
      </x:c>
      <x:c r="G334" s="34" t="str">
        <x:v>reference</x:v>
      </x:c>
      <x:c r="H334" s="34" t="str">
        <x:v>2026-06-28</x:v>
      </x:c>
      <x:c r="I334" s="34" t="str">
        <x:v>memoryType=DDR5; capacityGb=32; speedMt=6000; sticks=2</x:v>
      </x:c>
      <x:c r="J334" s="34" t="str">
        <x:v>DDR5, 32GB, 6000MT/s, dataset</x:v>
      </x:c>
      <x:c r="K334" s="34" t="str">
        <x:v>32GB DDR5-6000 memory kit (2 modules).</x:v>
      </x:c>
      <x:c r="L334" s="34" t="str">
        <x:v>https://fr.pcpartpicker.com/product/mhJgXL/gskill-trident-z5-rgb-32-gb-2-x-16-gb-ddr5-6000-cl36-memory-f5-6000j3636f16gx2-tz5rk</x:v>
      </x:c>
      <x:c r="M334" s="35" t="str">
        <x:v>https://fr.pcpartpicker.com/product/mhJgXL/gskill-trident-z5-rgb-32-gb-2-x-16-gb-ddr5-6000-cl36-memory-f5-6000j3636f16gx2-tz5rk</x:v>
      </x:c>
    </x:row>
    <x:row r="335">
      <x:c r="A335" s="33" t="str">
        <x:v>ram</x:v>
      </x:c>
      <x:c r="B335" s="34" t="str">
        <x:v>hf-memory-52221</x:v>
      </x:c>
      <x:c r="C335" s="34" t="str">
        <x:v>Corsair Vengeance LPX 8 GB</x:v>
      </x:c>
      <x:c r="D335" s="34" t="str">
        <x:v>Corsair</x:v>
      </x:c>
      <x:c r="E335" s="82" t="n">
        <x:v>106.02</x:v>
      </x:c>
      <x:c r="F335" s="34" t="str">
        <x:v>USD</x:v>
      </x:c>
      <x:c r="G335" s="34" t="str">
        <x:v>reference</x:v>
      </x:c>
      <x:c r="H335" s="34" t="str">
        <x:v>2026-06-28</x:v>
      </x:c>
      <x:c r="I335" s="34" t="str">
        <x:v>memoryType=DDR4; capacityGb=8; speedMt=2400; sticks=1</x:v>
      </x:c>
      <x:c r="J335" s="34" t="str">
        <x:v>DDR4, 8GB, 2400MT/s, dataset</x:v>
      </x:c>
      <x:c r="K335" s="34" t="str">
        <x:v>8GB DDR4-2400 memory kit (1 modules).</x:v>
      </x:c>
      <x:c r="L335" s="34" t="str">
        <x:v>https://fr.pcpartpicker.com/product/sMbkcf/corsair-memory-cmk8gx4m1a2400c16</x:v>
      </x:c>
      <x:c r="M335" s="35" t="str">
        <x:v>https://fr.pcpartpicker.com/product/sMbkcf/corsair-memory-cmk8gx4m1a2400c16</x:v>
      </x:c>
    </x:row>
    <x:row r="336">
      <x:c r="A336" s="33" t="str">
        <x:v>ram</x:v>
      </x:c>
      <x:c r="B336" s="34" t="str">
        <x:v>hf-memory-347596</x:v>
      </x:c>
      <x:c r="C336" s="34" t="str">
        <x:v>Corsair Vengeance RGB Pro SL 32 GB</x:v>
      </x:c>
      <x:c r="D336" s="34" t="str">
        <x:v>Corsair</x:v>
      </x:c>
      <x:c r="E336" s="82" t="n">
        <x:v>410.46</x:v>
      </x:c>
      <x:c r="F336" s="34" t="str">
        <x:v>USD</x:v>
      </x:c>
      <x:c r="G336" s="34" t="str">
        <x:v>reference</x:v>
      </x:c>
      <x:c r="H336" s="34" t="str">
        <x:v>2026-06-28</x:v>
      </x:c>
      <x:c r="I336" s="34" t="str">
        <x:v>memoryType=DDR4; capacityGb=32; speedMt=3600; sticks=2</x:v>
      </x:c>
      <x:c r="J336" s="34" t="str">
        <x:v>DDR4, 32GB, 3600MT/s, dataset</x:v>
      </x:c>
      <x:c r="K336" s="34" t="str">
        <x:v>32GB DDR4-3600 memory kit (2 modules).</x:v>
      </x:c>
      <x:c r="L336" s="34" t="str">
        <x:v>https://fr.pcpartpicker.com/product/bjjNnQ/corsair-vengeance-rgb-pro-sl-32-gb-2-x-16-gb-ddr4-3600-cl18-memory-cmh32gx4m2d3600c18w</x:v>
      </x:c>
      <x:c r="M336" s="35" t="str">
        <x:v>https://fr.pcpartpicker.com/product/bjjNnQ/corsair-vengeance-rgb-pro-sl-32-gb-2-x-16-gb-ddr4-3600-cl18-memory-cmh32gx4m2d3600c18w</x:v>
      </x:c>
    </x:row>
    <x:row r="337">
      <x:c r="A337" s="33" t="str">
        <x:v>ram</x:v>
      </x:c>
      <x:c r="B337" s="34" t="str">
        <x:v>hf-memory-262764</x:v>
      </x:c>
      <x:c r="C337" s="34" t="str">
        <x:v>G.Skill Trident Z RGB 32 GB</x:v>
      </x:c>
      <x:c r="D337" s="34" t="str">
        <x:v>G.Skill</x:v>
      </x:c>
      <x:c r="E337" s="82" t="n">
        <x:v>446.91</x:v>
      </x:c>
      <x:c r="F337" s="34" t="str">
        <x:v>USD</x:v>
      </x:c>
      <x:c r="G337" s="34" t="str">
        <x:v>reference</x:v>
      </x:c>
      <x:c r="H337" s="34" t="str">
        <x:v>2026-06-28</x:v>
      </x:c>
      <x:c r="I337" s="34" t="str">
        <x:v>memoryType=DDR4; capacityGb=32; speedMt=3600; sticks=2</x:v>
      </x:c>
      <x:c r="J337" s="34" t="str">
        <x:v>DDR4, 32GB, 3600MT/s, dataset</x:v>
      </x:c>
      <x:c r="K337" s="34" t="str">
        <x:v>32GB DDR4-3600 memory kit (2 modules).</x:v>
      </x:c>
      <x:c r="L337" s="34" t="str">
        <x:v>https://fr.pcpartpicker.com/product/jxH8TW/gskill-trident-z-rgb-32-gb-2-x-16-gb-ddr4-3600-memory-f4-3600c16d-32gtzrc</x:v>
      </x:c>
      <x:c r="M337" s="35" t="str">
        <x:v>https://fr.pcpartpicker.com/product/jxH8TW/gskill-trident-z-rgb-32-gb-2-x-16-gb-ddr4-3600-memory-f4-3600c16d-32gtzrc</x:v>
      </x:c>
    </x:row>
    <x:row r="338">
      <x:c r="A338" s="33" t="str">
        <x:v>ram</x:v>
      </x:c>
      <x:c r="B338" s="34" t="str">
        <x:v>hf-memory-527309</x:v>
      </x:c>
      <x:c r="C338" s="34" t="str">
        <x:v>Kingston FURY Beast 32 GB</x:v>
      </x:c>
      <x:c r="D338" s="34" t="str">
        <x:v>Kingston</x:v>
      </x:c>
      <x:c r="E338" s="82" t="n">
        <x:v>535.84</x:v>
      </x:c>
      <x:c r="F338" s="34" t="str">
        <x:v>USD</x:v>
      </x:c>
      <x:c r="G338" s="34" t="str">
        <x:v>reference</x:v>
      </x:c>
      <x:c r="H338" s="34" t="str">
        <x:v>2026-06-28</x:v>
      </x:c>
      <x:c r="I338" s="34" t="str">
        <x:v>memoryType=DDR5; capacityGb=32; speedMt=6000; sticks=2</x:v>
      </x:c>
      <x:c r="J338" s="34" t="str">
        <x:v>DDR5, 32GB, 6000MT/s, dataset</x:v>
      </x:c>
      <x:c r="K338" s="34" t="str">
        <x:v>32GB DDR5-6000 memory kit (2 modules).</x:v>
      </x:c>
      <x:c r="L338" s="34" t="str">
        <x:v>https://fr.pcpartpicker.com/product/q7LdnQ/kingston-fury-beast-32-gb-2-x-16-gb-ddr5-6000-cl30-memory-kf560c30bbek2-32</x:v>
      </x:c>
      <x:c r="M338" s="35" t="str">
        <x:v>https://fr.pcpartpicker.com/product/q7LdnQ/kingston-fury-beast-32-gb-2-x-16-gb-ddr5-6000-cl30-memory-kf560c30bbek2-32</x:v>
      </x:c>
    </x:row>
    <x:row r="339">
      <x:c r="A339" s="33" t="str">
        <x:v>ram</x:v>
      </x:c>
      <x:c r="B339" s="34" t="str">
        <x:v>hf-memory-482629</x:v>
      </x:c>
      <x:c r="C339" s="34" t="str">
        <x:v>G.Skill Flare X5 64 GB</x:v>
      </x:c>
      <x:c r="D339" s="34" t="str">
        <x:v>G.Skill</x:v>
      </x:c>
      <x:c r="E339" s="82" t="n">
        <x:v>1031.68</x:v>
      </x:c>
      <x:c r="F339" s="34" t="str">
        <x:v>USD</x:v>
      </x:c>
      <x:c r="G339" s="34" t="str">
        <x:v>reference</x:v>
      </x:c>
      <x:c r="H339" s="34" t="str">
        <x:v>2026-06-28</x:v>
      </x:c>
      <x:c r="I339" s="34" t="str">
        <x:v>memoryType=DDR5; capacityGb=64; speedMt=6000; sticks=2</x:v>
      </x:c>
      <x:c r="J339" s="34" t="str">
        <x:v>DDR5, 64GB, 6000MT/s, dataset</x:v>
      </x:c>
      <x:c r="K339" s="34" t="str">
        <x:v>64GB DDR5-6000 memory kit (2 modules).</x:v>
      </x:c>
      <x:c r="L339" s="34" t="str">
        <x:v>https://fr.pcpartpicker.com/product/6QcgXL/gskill-flare-x5-64-gb-2-x-32-gb-ddr5-6000-cl30-memory-f5-6000j3040g32gx2-fx5</x:v>
      </x:c>
      <x:c r="M339" s="35" t="str">
        <x:v>https://fr.pcpartpicker.com/product/6QcgXL/gskill-flare-x5-64-gb-2-x-32-gb-ddr5-6000-cl30-memory-f5-6000j3040g32gx2-fx5</x:v>
      </x:c>
    </x:row>
    <x:row r="340">
      <x:c r="A340" s="33" t="str">
        <x:v>ram</x:v>
      </x:c>
      <x:c r="B340" s="34" t="str">
        <x:v>hf-memory-413392</x:v>
      </x:c>
      <x:c r="C340" s="34" t="str">
        <x:v>G.Skill Ripjaws S5 32 GB</x:v>
      </x:c>
      <x:c r="D340" s="34" t="str">
        <x:v>G.Skill</x:v>
      </x:c>
      <x:c r="E340" s="82" t="n">
        <x:v>657.03</x:v>
      </x:c>
      <x:c r="F340" s="34" t="str">
        <x:v>USD</x:v>
      </x:c>
      <x:c r="G340" s="34" t="str">
        <x:v>reference</x:v>
      </x:c>
      <x:c r="H340" s="34" t="str">
        <x:v>2026-06-28</x:v>
      </x:c>
      <x:c r="I340" s="34" t="str">
        <x:v>memoryType=DDR5; capacityGb=32; speedMt=6000; sticks=2</x:v>
      </x:c>
      <x:c r="J340" s="34" t="str">
        <x:v>DDR5, 32GB, 6000MT/s, dataset</x:v>
      </x:c>
      <x:c r="K340" s="34" t="str">
        <x:v>32GB DDR5-6000 memory kit (2 modules).</x:v>
      </x:c>
      <x:c r="L340" s="34" t="str">
        <x:v>https://fr.pcpartpicker.com/product/x4VmP6/gskill-ripjaws-s5-32-gb-2-x-16-gb-ddr5-6000-cl30-memory-f5-6000j3040f16gx2-rs5k</x:v>
      </x:c>
      <x:c r="M340" s="35" t="str">
        <x:v>https://fr.pcpartpicker.com/product/x4VmP6/gskill-ripjaws-s5-32-gb-2-x-16-gb-ddr5-6000-cl30-memory-f5-6000j3040f16gx2-rs5k</x:v>
      </x:c>
    </x:row>
    <x:row r="341">
      <x:c r="A341" s="33" t="str">
        <x:v>ram</x:v>
      </x:c>
      <x:c r="B341" s="34" t="str">
        <x:v>hf-memory-440094</x:v>
      </x:c>
      <x:c r="C341" s="34" t="str">
        <x:v>G.Skill Trident Z5 RGB 64 GB</x:v>
      </x:c>
      <x:c r="D341" s="34" t="str">
        <x:v>G.Skill</x:v>
      </x:c>
      <x:c r="E341" s="82" t="n">
        <x:v>1119.68</x:v>
      </x:c>
      <x:c r="F341" s="34" t="str">
        <x:v>USD</x:v>
      </x:c>
      <x:c r="G341" s="34" t="str">
        <x:v>reference</x:v>
      </x:c>
      <x:c r="H341" s="34" t="str">
        <x:v>2026-06-28</x:v>
      </x:c>
      <x:c r="I341" s="34" t="str">
        <x:v>memoryType=DDR5; capacityGb=64; speedMt=6400; sticks=2</x:v>
      </x:c>
      <x:c r="J341" s="34" t="str">
        <x:v>DDR5, 64GB, 6400MT/s, dataset</x:v>
      </x:c>
      <x:c r="K341" s="34" t="str">
        <x:v>64GB DDR5-6400 memory kit (2 modules).</x:v>
      </x:c>
      <x:c r="L341" s="34" t="str">
        <x:v>https://fr.pcpartpicker.com/product/636p99/gskill-trident-z5-rgb-64-gb-2-x-32-gb-ddr5-6400-cl32-memory-f5-6400j3239g32gx2-tz5rk</x:v>
      </x:c>
      <x:c r="M341" s="35" t="str">
        <x:v>https://fr.pcpartpicker.com/product/636p99/gskill-trident-z5-rgb-64-gb-2-x-32-gb-ddr5-6400-cl32-memory-f5-6400j3239g32gx2-tz5rk</x:v>
      </x:c>
    </x:row>
    <x:row r="342">
      <x:c r="A342" s="33" t="str">
        <x:v>ram</x:v>
      </x:c>
      <x:c r="B342" s="34" t="str">
        <x:v>hf-memory-13061</x:v>
      </x:c>
      <x:c r="C342" s="34" t="str">
        <x:v>Patriot Viper 3 8 GB</x:v>
      </x:c>
      <x:c r="D342" s="34" t="str">
        <x:v>Patriot</x:v>
      </x:c>
      <x:c r="E342" s="82" t="n">
        <x:v>37.61</x:v>
      </x:c>
      <x:c r="F342" s="34" t="str">
        <x:v>USD</x:v>
      </x:c>
      <x:c r="G342" s="34" t="str">
        <x:v>reference</x:v>
      </x:c>
      <x:c r="H342" s="34" t="str">
        <x:v>2026-06-28</x:v>
      </x:c>
      <x:c r="I342" s="34" t="str">
        <x:v>memoryType=DDR4; capacityGb=8; speedMt=1600; sticks=2</x:v>
      </x:c>
      <x:c r="J342" s="34" t="str">
        <x:v>DDR4, 8GB, 1600MT/s, dataset</x:v>
      </x:c>
      <x:c r="K342" s="34" t="str">
        <x:v>8GB DDR4-1600 memory kit (2 modules).</x:v>
      </x:c>
      <x:c r="L342" s="34" t="str">
        <x:v>https://fr.pcpartpicker.com/product/nBCwrH/patriot-memory-pv38g160c9k</x:v>
      </x:c>
      <x:c r="M342" s="35" t="str">
        <x:v>https://fr.pcpartpicker.com/product/nBCwrH/patriot-memory-pv38g160c9k</x:v>
      </x:c>
    </x:row>
    <x:row r="343">
      <x:c r="A343" s="33" t="str">
        <x:v>ram</x:v>
      </x:c>
      <x:c r="B343" s="34" t="str">
        <x:v>hf-memory-559058</x:v>
      </x:c>
      <x:c r="C343" s="34" t="str">
        <x:v>Patriot Viper Venom 32 GB</x:v>
      </x:c>
      <x:c r="D343" s="34" t="str">
        <x:v>Patriot</x:v>
      </x:c>
      <x:c r="E343" s="82" t="n">
        <x:v>469.61</x:v>
      </x:c>
      <x:c r="F343" s="34" t="str">
        <x:v>USD</x:v>
      </x:c>
      <x:c r="G343" s="34" t="str">
        <x:v>reference</x:v>
      </x:c>
      <x:c r="H343" s="34" t="str">
        <x:v>2026-06-28</x:v>
      </x:c>
      <x:c r="I343" s="34" t="str">
        <x:v>memoryType=DDR5; capacityGb=32; speedMt=6000; sticks=2</x:v>
      </x:c>
      <x:c r="J343" s="34" t="str">
        <x:v>DDR5, 32GB, 6000MT/s, dataset</x:v>
      </x:c>
      <x:c r="K343" s="34" t="str">
        <x:v>32GB DDR5-6000 memory kit (2 modules).</x:v>
      </x:c>
      <x:c r="L343" s="34" t="str">
        <x:v>https://fr.pcpartpicker.com/product/4cCCmG/patriot-viper-venom-32-gb-2-x-16-gb-ddr5-6000-cl30-memory-pvv532g600c30k</x:v>
      </x:c>
      <x:c r="M343" s="35" t="str">
        <x:v>https://fr.pcpartpicker.com/product/4cCCmG/patriot-viper-venom-32-gb-2-x-16-gb-ddr5-6000-cl30-memory-pvv532g600c30k</x:v>
      </x:c>
    </x:row>
    <x:row r="344">
      <x:c r="A344" s="33" t="str">
        <x:v>ram</x:v>
      </x:c>
      <x:c r="B344" s="34" t="str">
        <x:v>hf-memory-435127</x:v>
      </x:c>
      <x:c r="C344" s="34" t="str">
        <x:v>G.Skill Trident Z5 Neo 32 GB</x:v>
      </x:c>
      <x:c r="D344" s="34" t="str">
        <x:v>G.Skill</x:v>
      </x:c>
      <x:c r="E344" s="82" t="n">
        <x:v>591.71</x:v>
      </x:c>
      <x:c r="F344" s="34" t="str">
        <x:v>USD</x:v>
      </x:c>
      <x:c r="G344" s="34" t="str">
        <x:v>reference</x:v>
      </x:c>
      <x:c r="H344" s="34" t="str">
        <x:v>2026-06-28</x:v>
      </x:c>
      <x:c r="I344" s="34" t="str">
        <x:v>memoryType=DDR5; capacityGb=32; speedMt=6000; sticks=2</x:v>
      </x:c>
      <x:c r="J344" s="34" t="str">
        <x:v>DDR5, 32GB, 6000MT/s, dataset</x:v>
      </x:c>
      <x:c r="K344" s="34" t="str">
        <x:v>32GB DDR5-6000 memory kit (2 modules).</x:v>
      </x:c>
      <x:c r="L344" s="34" t="str">
        <x:v>https://fr.pcpartpicker.com/product/DgVmP6/gskill-trident-z5-neo-32-gb-2-x-16-gb-ddr5-6000-cl30-memory-f5-6000j3038f16gx2-tz5n</x:v>
      </x:c>
      <x:c r="M344" s="35" t="str">
        <x:v>https://fr.pcpartpicker.com/product/DgVmP6/gskill-trident-z5-neo-32-gb-2-x-16-gb-ddr5-6000-cl30-memory-f5-6000j3038f16gx2-tz5n</x:v>
      </x:c>
    </x:row>
    <x:row r="345">
      <x:c r="A345" s="33" t="str">
        <x:v>ram</x:v>
      </x:c>
      <x:c r="B345" s="34" t="str">
        <x:v>hf-memory-127239</x:v>
      </x:c>
      <x:c r="C345" s="34" t="str">
        <x:v>G.Skill Aegis 8 GB</x:v>
      </x:c>
      <x:c r="D345" s="34" t="str">
        <x:v>G.Skill</x:v>
      </x:c>
      <x:c r="E345" s="82" t="n">
        <x:v>112.64</x:v>
      </x:c>
      <x:c r="F345" s="34" t="str">
        <x:v>USD</x:v>
      </x:c>
      <x:c r="G345" s="34" t="str">
        <x:v>reference</x:v>
      </x:c>
      <x:c r="H345" s="34" t="str">
        <x:v>2026-06-28</x:v>
      </x:c>
      <x:c r="I345" s="34" t="str">
        <x:v>memoryType=DDR4; capacityGb=8; speedMt=3000; sticks=1</x:v>
      </x:c>
      <x:c r="J345" s="34" t="str">
        <x:v>DDR4, 8GB, 3000MT/s, dataset</x:v>
      </x:c>
      <x:c r="K345" s="34" t="str">
        <x:v>8GB DDR4-3000 memory kit (1 modules).</x:v>
      </x:c>
      <x:c r="L345" s="34" t="str">
        <x:v>https://fr.pcpartpicker.com/product/XJYWGX/gskill-aegis-8-gb-1-x-8-gb-ddr4-3000-cl16-memory-f4-3000c16s-8gisb</x:v>
      </x:c>
      <x:c r="M345" s="35" t="str">
        <x:v>https://fr.pcpartpicker.com/product/XJYWGX/gskill-aegis-8-gb-1-x-8-gb-ddr4-3000-cl16-memory-f4-3000c16s-8gisb</x:v>
      </x:c>
    </x:row>
    <x:row r="346">
      <x:c r="A346" s="33" t="str">
        <x:v>ram</x:v>
      </x:c>
      <x:c r="B346" s="34" t="str">
        <x:v>hf-memory-384728</x:v>
      </x:c>
      <x:c r="C346" s="34" t="str">
        <x:v>Kingston FURY Beast 16 GB</x:v>
      </x:c>
      <x:c r="D346" s="34" t="str">
        <x:v>Kingston</x:v>
      </x:c>
      <x:c r="E346" s="82" t="n">
        <x:v>177.46</x:v>
      </x:c>
      <x:c r="F346" s="34" t="str">
        <x:v>USD</x:v>
      </x:c>
      <x:c r="G346" s="34" t="str">
        <x:v>reference</x:v>
      </x:c>
      <x:c r="H346" s="34" t="str">
        <x:v>2026-06-28</x:v>
      </x:c>
      <x:c r="I346" s="34" t="str">
        <x:v>memoryType=DDR4; capacityGb=16; speedMt=3200; sticks=2</x:v>
      </x:c>
      <x:c r="J346" s="34" t="str">
        <x:v>DDR4, 16GB, 3200MT/s, dataset</x:v>
      </x:c>
      <x:c r="K346" s="34" t="str">
        <x:v>16GB DDR4-3200 memory kit (2 modules).</x:v>
      </x:c>
      <x:c r="L346" s="34" t="str">
        <x:v>https://fr.pcpartpicker.com/product/6YfnTW/kingston-fury-beast-16-gb-2-x-8-gb-ddr4-3200-cl16-memory-kf432c16bbk216</x:v>
      </x:c>
      <x:c r="M346" s="35" t="str">
        <x:v>https://fr.pcpartpicker.com/product/6YfnTW/kingston-fury-beast-16-gb-2-x-8-gb-ddr4-3200-cl16-memory-kf432c16bbk216</x:v>
      </x:c>
    </x:row>
    <x:row r="347">
      <x:c r="A347" s="33" t="str">
        <x:v>ram</x:v>
      </x:c>
      <x:c r="B347" s="34" t="str">
        <x:v>hf-memory-472476</x:v>
      </x:c>
      <x:c r="C347" s="34" t="str">
        <x:v>Corsair Vengeance RGB 64 GB</x:v>
      </x:c>
      <x:c r="D347" s="34" t="str">
        <x:v>Corsair</x:v>
      </x:c>
      <x:c r="E347" s="82" t="n">
        <x:v>1446.67</x:v>
      </x:c>
      <x:c r="F347" s="34" t="str">
        <x:v>USD</x:v>
      </x:c>
      <x:c r="G347" s="34" t="str">
        <x:v>reference</x:v>
      </x:c>
      <x:c r="H347" s="34" t="str">
        <x:v>2026-06-28</x:v>
      </x:c>
      <x:c r="I347" s="34" t="str">
        <x:v>memoryType=DDR5; capacityGb=64; speedMt=6000; sticks=2</x:v>
      </x:c>
      <x:c r="J347" s="34" t="str">
        <x:v>DDR5, 64GB, 6000MT/s, dataset</x:v>
      </x:c>
      <x:c r="K347" s="34" t="str">
        <x:v>64GB DDR5-6000 memory kit (2 modules).</x:v>
      </x:c>
      <x:c r="L347" s="34" t="str">
        <x:v>https://fr.pcpartpicker.com/product/WTMMnQ/corsair-vengeance-rgb-64-gb-2-x-32-gb-ddr5-6000-cl30-memory-cmh64gx5m2b6000c30</x:v>
      </x:c>
      <x:c r="M347" s="35" t="str">
        <x:v>https://fr.pcpartpicker.com/product/WTMMnQ/corsair-vengeance-rgb-64-gb-2-x-32-gb-ddr5-6000-cl30-memory-cmh64gx5m2b6000c30</x:v>
      </x:c>
    </x:row>
    <x:row r="348">
      <x:c r="A348" s="33" t="str">
        <x:v>ram</x:v>
      </x:c>
      <x:c r="B348" s="34" t="str">
        <x:v>hf-memory-19951</x:v>
      </x:c>
      <x:c r="C348" s="34" t="str">
        <x:v>Corsair Vengeance Pro 16 GB</x:v>
      </x:c>
      <x:c r="D348" s="34" t="str">
        <x:v>Corsair</x:v>
      </x:c>
      <x:c r="E348" s="82" t="n">
        <x:v>273.4</x:v>
      </x:c>
      <x:c r="F348" s="34" t="str">
        <x:v>USD</x:v>
      </x:c>
      <x:c r="G348" s="34" t="str">
        <x:v>reference</x:v>
      </x:c>
      <x:c r="H348" s="34" t="str">
        <x:v>2026-06-28</x:v>
      </x:c>
      <x:c r="I348" s="34" t="str">
        <x:v>memoryType=DDR4; capacityGb=16; speedMt=1600; sticks=2</x:v>
      </x:c>
      <x:c r="J348" s="34" t="str">
        <x:v>DDR4, 16GB, 1600MT/s, dataset</x:v>
      </x:c>
      <x:c r="K348" s="34" t="str">
        <x:v>16GB DDR4-1600 memory kit (2 modules).</x:v>
      </x:c>
      <x:c r="L348" s="34" t="str">
        <x:v>https://fr.pcpartpicker.com/product/7x7wrH/corsair-memory-cmy16gx3m2a1600c9r</x:v>
      </x:c>
      <x:c r="M348" s="35" t="str">
        <x:v>https://fr.pcpartpicker.com/product/7x7wrH/corsair-memory-cmy16gx3m2a1600c9r</x:v>
      </x:c>
    </x:row>
    <x:row r="349">
      <x:c r="A349" s="33" t="str">
        <x:v>ram</x:v>
      </x:c>
      <x:c r="B349" s="34" t="str">
        <x:v>hf-memory-30269</x:v>
      </x:c>
      <x:c r="C349" s="34" t="str">
        <x:v>Kingston HyperX Fury 16 GB</x:v>
      </x:c>
      <x:c r="D349" s="34" t="str">
        <x:v>Kingston</x:v>
      </x:c>
      <x:c r="E349" s="82" t="n">
        <x:v>375.32</x:v>
      </x:c>
      <x:c r="F349" s="34" t="str">
        <x:v>USD</x:v>
      </x:c>
      <x:c r="G349" s="34" t="str">
        <x:v>reference</x:v>
      </x:c>
      <x:c r="H349" s="34" t="str">
        <x:v>2026-06-28</x:v>
      </x:c>
      <x:c r="I349" s="34" t="str">
        <x:v>memoryType=DDR4; capacityGb=16; speedMt=1866; sticks=2</x:v>
      </x:c>
      <x:c r="J349" s="34" t="str">
        <x:v>DDR4, 16GB, 1866MT/s, dataset</x:v>
      </x:c>
      <x:c r="K349" s="34" t="str">
        <x:v>16GB DDR4-1866 memory kit (2 modules).</x:v>
      </x:c>
      <x:c r="L349" s="34" t="str">
        <x:v>https://fr.pcpartpicker.com/product/DMJwrH/kingston-memory-hx318c10frk216</x:v>
      </x:c>
      <x:c r="M349" s="35" t="str">
        <x:v>https://fr.pcpartpicker.com/product/DMJwrH/kingston-memory-hx318c10frk216</x:v>
      </x:c>
    </x:row>
    <x:row r="350">
      <x:c r="A350" s="33" t="str">
        <x:v>ram</x:v>
      </x:c>
      <x:c r="B350" s="34" t="str">
        <x:v>ca-newegg-ram-corsair-vengeance-32gb-2-x-16gb-288-pin-pc-ram-ddr5-6000-pc5-48000-des</x:v>
      </x:c>
      <x:c r="C350" s="34" t="str">
        <x:v>CORSAIR Vengeance 32GB (2 x 16GB) 288-Pin PC RAM DDR5 6000 (PC5 48000) Desktop Memory Model CMK32GX5M2B6000C30</x:v>
      </x:c>
      <x:c r="D350" s="34" t="str">
        <x:v>Corsair</x:v>
      </x:c>
      <x:c r="E350" s="82" t="n">
        <x:v>423.06</x:v>
      </x:c>
      <x:c r="F350" s="34" t="str">
        <x:v>USD</x:v>
      </x:c>
      <x:c r="G350" s="34" t="str">
        <x:v>retail</x:v>
      </x:c>
      <x:c r="H350" s="34" t="str">
        <x:v>2026-06-29</x:v>
      </x:c>
      <x:c r="I350" s="34" t="str">
        <x:v>memoryType=DDR5; capacityGb=32; speedMt=6000; sticks=2</x:v>
      </x:c>
      <x:c r="J350" s="34" t="str">
        <x:v>DDR5, 32GB, 6000MT/s, ca-retail</x:v>
      </x:c>
      <x:c r="K350" s="34" t="str">
        <x:v>32GB DDR5-6000 memory kit from CA retailer.</x:v>
      </x:c>
      <x:c r="L350" s="34" t="str">
        <x:v>https://www.newegg.ca/p/20-982-007</x:v>
      </x:c>
      <x:c r="M350" s="35" t="str">
        <x:v>https://www.newegg.ca/p/20-982-007</x:v>
      </x:c>
    </x:row>
    <x:row r="351">
      <x:c r="A351" s="33" t="str">
        <x:v>ram</x:v>
      </x:c>
      <x:c r="B351" s="34" t="str">
        <x:v>ca-newegg-ram-corsair-vengeance-32gb-2-x-16gb-288-pin-pc-ram-ddr5-6000-pc5-48000-des-1</x:v>
      </x:c>
      <x:c r="C351" s="34" t="str">
        <x:v>CORSAIR Vengeance 32GB (2 x 16GB) 288-Pin PC RAM DDR5 6000 (PC5 48000) Desktop Memory Model CMK32GX5M2E6000C36</x:v>
      </x:c>
      <x:c r="D351" s="34" t="str">
        <x:v>Corsair</x:v>
      </x:c>
      <x:c r="E351" s="82" t="n">
        <x:v>466.07</x:v>
      </x:c>
      <x:c r="F351" s="34" t="str">
        <x:v>USD</x:v>
      </x:c>
      <x:c r="G351" s="34" t="str">
        <x:v>retail</x:v>
      </x:c>
      <x:c r="H351" s="34" t="str">
        <x:v>2026-06-29</x:v>
      </x:c>
      <x:c r="I351" s="34" t="str">
        <x:v>memoryType=DDR5; capacityGb=32; speedMt=6000; sticks=2</x:v>
      </x:c>
      <x:c r="J351" s="34" t="str">
        <x:v>DDR5, 32GB, 6000MT/s, ca-retail</x:v>
      </x:c>
      <x:c r="K351" s="34" t="str">
        <x:v>32GB DDR5-6000 memory kit from CA retailer.</x:v>
      </x:c>
      <x:c r="L351" s="34" t="str">
        <x:v>https://www.newegg.ca/p/20-236-994</x:v>
      </x:c>
      <x:c r="M351" s="35" t="str">
        <x:v>https://www.newegg.ca/p/20-236-994</x:v>
      </x:c>
    </x:row>
    <x:row r="352">
      <x:c r="A352" s="33" t="str">
        <x:v>ram</x:v>
      </x:c>
      <x:c r="B352" s="34" t="str">
        <x:v>ca-newegg-ram-g-skill-trident-z5-rgb-series-32gb-2-x-16gb-288-pin-pc-ram-ddr5-6000-p</x:v>
      </x:c>
      <x:c r="C352" s="34" t="str">
        <x:v>G.SKILL Trident Z5 RGB Series 32GB (2 x 16GB) 288-Pin PC RAM DDR5 6000 (PC5 48000) Desktop Memory Model F5-6000J3636F16GX2-TZ5RK</x:v>
      </x:c>
      <x:c r="D352" s="34" t="str">
        <x:v>G.SKILL</x:v>
      </x:c>
      <x:c r="E352" s="82" t="n">
        <x:v>514.72</x:v>
      </x:c>
      <x:c r="F352" s="34" t="str">
        <x:v>USD</x:v>
      </x:c>
      <x:c r="G352" s="34" t="str">
        <x:v>retail</x:v>
      </x:c>
      <x:c r="H352" s="34" t="str">
        <x:v>2026-06-29</x:v>
      </x:c>
      <x:c r="I352" s="34" t="str">
        <x:v>memoryType=DDR5; capacityGb=32; speedMt=6000; sticks=2</x:v>
      </x:c>
      <x:c r="J352" s="34" t="str">
        <x:v>DDR5, 32GB, 6000MT/s, ca-retail, rgb</x:v>
      </x:c>
      <x:c r="K352" s="34" t="str">
        <x:v>32GB DDR5-6000 memory kit from CA retailer.</x:v>
      </x:c>
      <x:c r="L352" s="34" t="str">
        <x:v>https://www.newegg.ca/p/20-374-351</x:v>
      </x:c>
      <x:c r="M352" s="35" t="str">
        <x:v>https://www.newegg.ca/p/20-374-351</x:v>
      </x:c>
    </x:row>
    <x:row r="353">
      <x:c r="A353" s="33" t="str">
        <x:v>ram</x:v>
      </x:c>
      <x:c r="B353" s="34" t="str">
        <x:v>ca-newegg-ram-corsair-vengeance-rgb-32gb-2-x-16gb-288-pin-pc-ram-ddr5-6000-pc5-48000</x:v>
      </x:c>
      <x:c r="C353" s="34" t="str">
        <x:v>CORSAIR Vengeance RGB 32GB (2 x 16GB) 288-Pin PC RAM DDR5 6000 (PC5 48000) Desktop Memory Model CMH32GX5M2E6000C36</x:v>
      </x:c>
      <x:c r="D353" s="34" t="str">
        <x:v>Corsair</x:v>
      </x:c>
      <x:c r="E353" s="82" t="n">
        <x:v>423.06</x:v>
      </x:c>
      <x:c r="F353" s="34" t="str">
        <x:v>USD</x:v>
      </x:c>
      <x:c r="G353" s="34" t="str">
        <x:v>retail</x:v>
      </x:c>
      <x:c r="H353" s="34" t="str">
        <x:v>2026-06-29</x:v>
      </x:c>
      <x:c r="I353" s="34" t="str">
        <x:v>memoryType=DDR5; capacityGb=32; speedMt=6000; sticks=2</x:v>
      </x:c>
      <x:c r="J353" s="34" t="str">
        <x:v>DDR5, 32GB, 6000MT/s, ca-retail, rgb</x:v>
      </x:c>
      <x:c r="K353" s="34" t="str">
        <x:v>32GB DDR5-6000 memory kit from CA retailer.</x:v>
      </x:c>
      <x:c r="L353" s="34" t="str">
        <x:v>https://www.newegg.ca/p/20-236-991</x:v>
      </x:c>
      <x:c r="M353" s="35" t="str">
        <x:v>https://www.newegg.ca/p/20-236-991</x:v>
      </x:c>
    </x:row>
    <x:row r="354">
      <x:c r="A354" s="33" t="str">
        <x:v>ram</x:v>
      </x:c>
      <x:c r="B354" s="34" t="str">
        <x:v>ca-newegg-ram-corsair-vengeance-rgb-32gb-2-x-16gb-288-pin-pc-ram-ddr5-6000-pc5-48000-1</x:v>
      </x:c>
      <x:c r="C354" s="34" t="str">
        <x:v>CORSAIR Vengeance RGB 32GB (2 x 16GB) 288-Pin PC RAM DDR5 6000 (PC5 48000) Desktop Memory Model CMH32GX5M2E6000C36W</x:v>
      </x:c>
      <x:c r="D354" s="34" t="str">
        <x:v>Corsair</x:v>
      </x:c>
      <x:c r="E354" s="82" t="n">
        <x:v>423.06</x:v>
      </x:c>
      <x:c r="F354" s="34" t="str">
        <x:v>USD</x:v>
      </x:c>
      <x:c r="G354" s="34" t="str">
        <x:v>retail</x:v>
      </x:c>
      <x:c r="H354" s="34" t="str">
        <x:v>2026-06-29</x:v>
      </x:c>
      <x:c r="I354" s="34" t="str">
        <x:v>memoryType=DDR5; capacityGb=32; speedMt=6000; sticks=2</x:v>
      </x:c>
      <x:c r="J354" s="34" t="str">
        <x:v>DDR5, 32GB, 6000MT/s, ca-retail, rgb</x:v>
      </x:c>
      <x:c r="K354" s="34" t="str">
        <x:v>32GB DDR5-6000 memory kit from CA retailer.</x:v>
      </x:c>
      <x:c r="L354" s="34" t="str">
        <x:v>https://www.newegg.ca/p/20-982-058</x:v>
      </x:c>
      <x:c r="M354" s="35" t="str">
        <x:v>https://www.newegg.ca/p/20-982-058</x:v>
      </x:c>
    </x:row>
    <x:row r="355">
      <x:c r="A355" s="33" t="str">
        <x:v>ram</x:v>
      </x:c>
      <x:c r="B355" s="34" t="str">
        <x:v>ca-newegg-ram-g-skill-flare-x5-series-amd-expo-32gb-2-x-16gb-288-pin-pc-ram-ddr5-600</x:v>
      </x:c>
      <x:c r="C355" s="34" t="str">
        <x:v>G.SKILL Flare X5 Series AMD EXPO 32GB (2 x 16GB) 288-Pin PC RAM DDR5 6000 Desktop Memory Model F5-6000J3636F16GX2-FX5</x:v>
      </x:c>
      <x:c r="D355" s="34" t="str">
        <x:v>G.SKILL</x:v>
      </x:c>
      <x:c r="E355" s="82" t="n">
        <x:v>500.62</x:v>
      </x:c>
      <x:c r="F355" s="34" t="str">
        <x:v>USD</x:v>
      </x:c>
      <x:c r="G355" s="34" t="str">
        <x:v>retail</x:v>
      </x:c>
      <x:c r="H355" s="34" t="str">
        <x:v>2026-06-29</x:v>
      </x:c>
      <x:c r="I355" s="34" t="str">
        <x:v>memoryType=DDR5; capacityGb=32; speedMt=6000; sticks=2</x:v>
      </x:c>
      <x:c r="J355" s="34" t="str">
        <x:v>DDR5, 32GB, 6000MT/s, ca-retail</x:v>
      </x:c>
      <x:c r="K355" s="34" t="str">
        <x:v>32GB DDR5-6000 memory kit from CA retailer.</x:v>
      </x:c>
      <x:c r="L355" s="34" t="str">
        <x:v>https://www.newegg.ca/p/20-374-419</x:v>
      </x:c>
      <x:c r="M355" s="35" t="str">
        <x:v>https://www.newegg.ca/p/20-374-419</x:v>
      </x:c>
    </x:row>
    <x:row r="356">
      <x:c r="A356" s="33" t="str">
        <x:v>ram</x:v>
      </x:c>
      <x:c r="B356" s="34" t="str">
        <x:v>ca-newegg-ram-corsair-vengeance-rgb-32gb-2-x-16gb-288-pin-pc-ram-ddr5-6000-pc5-48000-2</x:v>
      </x:c>
      <x:c r="C356" s="34" t="str">
        <x:v>CORSAIR Vengeance RGB 32GB (2 x 16GB) 288-Pin PC RAM DDR5 6000 (PC5 48000) Desktop Memory Model CMK32GX5M2B6000Z38</x:v>
      </x:c>
      <x:c r="D356" s="34" t="str">
        <x:v>Corsair</x:v>
      </x:c>
      <x:c r="E356" s="82" t="n">
        <x:v>474.53</x:v>
      </x:c>
      <x:c r="F356" s="34" t="str">
        <x:v>USD</x:v>
      </x:c>
      <x:c r="G356" s="34" t="str">
        <x:v>retail</x:v>
      </x:c>
      <x:c r="H356" s="34" t="str">
        <x:v>2026-06-29</x:v>
      </x:c>
      <x:c r="I356" s="34" t="str">
        <x:v>memoryType=DDR5; capacityGb=32; speedMt=6000; sticks=2</x:v>
      </x:c>
      <x:c r="J356" s="34" t="str">
        <x:v>DDR5, 32GB, 6000MT/s, ca-retail, rgb</x:v>
      </x:c>
      <x:c r="K356" s="34" t="str">
        <x:v>32GB DDR5-6000 memory kit from CA retailer.</x:v>
      </x:c>
      <x:c r="L356" s="34" t="str">
        <x:v>https://www.newegg.ca/p/20-982-308</x:v>
      </x:c>
      <x:c r="M356" s="35" t="str">
        <x:v>https://www.newegg.ca/p/20-982-308</x:v>
      </x:c>
    </x:row>
    <x:row r="357">
      <x:c r="A357" s="33" t="str">
        <x:v>ram</x:v>
      </x:c>
      <x:c r="B357" s="34" t="str">
        <x:v>ca-newegg-ram-corsair-vengeance-64gb-2-x-32gb-ddr5-6000-pc5-48000-desktop-memory-mod</x:v>
      </x:c>
      <x:c r="C357" s="34" t="str">
        <x:v>CORSAIR Vengeance 64GB (2 x 32GB) DDR5 6000 (PC5 48000) Desktop Memory Model CMK64GX5M2B6000Z30</x:v>
      </x:c>
      <x:c r="D357" s="34" t="str">
        <x:v>Corsair</x:v>
      </x:c>
      <x:c r="E357" s="82" t="n">
        <x:v>1174</x:v>
      </x:c>
      <x:c r="F357" s="34" t="str">
        <x:v>USD</x:v>
      </x:c>
      <x:c r="G357" s="34" t="str">
        <x:v>retail</x:v>
      </x:c>
      <x:c r="H357" s="34" t="str">
        <x:v>2026-06-29</x:v>
      </x:c>
      <x:c r="I357" s="34" t="str">
        <x:v>memoryType=DDR5; capacityGb=64; speedMt=6000; sticks=2</x:v>
      </x:c>
      <x:c r="J357" s="34" t="str">
        <x:v>DDR5, 64GB, 6000MT/s, ca-retail</x:v>
      </x:c>
      <x:c r="K357" s="34" t="str">
        <x:v>64GB DDR5-6000 memory kit from CA retailer.</x:v>
      </x:c>
      <x:c r="L357" s="34" t="str">
        <x:v>https://www.newegg.ca/p/20-982-030</x:v>
      </x:c>
      <x:c r="M357" s="35" t="str">
        <x:v>https://www.newegg.ca/p/20-982-030</x:v>
      </x:c>
    </x:row>
    <x:row r="358">
      <x:c r="A358" s="33" t="str">
        <x:v>ram</x:v>
      </x:c>
      <x:c r="B358" s="34" t="str">
        <x:v>ca-newegg-ram-team-t-force-delta-rgb-32gb-2-x-16gb-288-pin-pc-ram-ddr5-6000-pc5-4800</x:v>
      </x:c>
      <x:c r="C358" s="34" t="str">
        <x:v>Team T-Force Delta RGB 32GB (2 x 16GB) 288-Pin PC RAM DDR5 6000 (PC5 48000) Desktop Memory Model FF4D532G6000HC30DC01</x:v>
      </x:c>
      <x:c r="D358" s="34" t="str">
        <x:v>Team Group</x:v>
      </x:c>
      <x:c r="E358" s="82" t="n">
        <x:v>458.31</x:v>
      </x:c>
      <x:c r="F358" s="34" t="str">
        <x:v>USD</x:v>
      </x:c>
      <x:c r="G358" s="34" t="str">
        <x:v>retail</x:v>
      </x:c>
      <x:c r="H358" s="34" t="str">
        <x:v>2026-06-29</x:v>
      </x:c>
      <x:c r="I358" s="34" t="str">
        <x:v>memoryType=DDR5; capacityGb=32; speedMt=6000; sticks=2</x:v>
      </x:c>
      <x:c r="J358" s="34" t="str">
        <x:v>DDR5, 32GB, 6000MT/s, ca-retail, rgb</x:v>
      </x:c>
      <x:c r="K358" s="34" t="str">
        <x:v>32GB DDR5-6000 memory kit from CA retailer.</x:v>
      </x:c>
      <x:c r="L358" s="34" t="str">
        <x:v>https://www.newegg.ca/p/20-331-846</x:v>
      </x:c>
      <x:c r="M358" s="35" t="str">
        <x:v>https://www.newegg.ca/p/20-331-846</x:v>
      </x:c>
    </x:row>
    <x:row r="359">
      <x:c r="A359" s="33" t="str">
        <x:v>ram</x:v>
      </x:c>
      <x:c r="B359" s="34" t="str">
        <x:v>ca-newegg-ram-g-skill-trident-z5-neo-rgb-series-amd-expo-32gb-2-x-16gb-288-pin-pc-ra</x:v>
      </x:c>
      <x:c r="C359" s="34" t="str">
        <x:v>G.SKILL Trident Z5 Neo RGB Series AMD EXPO 32GB (2 x 16GB) 288-Pin PC RAM DDR5 6000 (PC5 48000) Desktop Memory Model F5-6000J3038F16GX2-TZ5NR</x:v>
      </x:c>
      <x:c r="D359" s="34" t="str">
        <x:v>G.SKILL</x:v>
      </x:c>
      <x:c r="E359" s="82" t="n">
        <x:v>606.39</x:v>
      </x:c>
      <x:c r="F359" s="34" t="str">
        <x:v>USD</x:v>
      </x:c>
      <x:c r="G359" s="34" t="str">
        <x:v>retail</x:v>
      </x:c>
      <x:c r="H359" s="34" t="str">
        <x:v>2026-06-29</x:v>
      </x:c>
      <x:c r="I359" s="34" t="str">
        <x:v>memoryType=DDR5; capacityGb=32; speedMt=6000; sticks=2</x:v>
      </x:c>
      <x:c r="J359" s="34" t="str">
        <x:v>DDR5, 32GB, 6000MT/s, ca-retail, rgb</x:v>
      </x:c>
      <x:c r="K359" s="34" t="str">
        <x:v>32GB DDR5-6000 memory kit from CA retailer.</x:v>
      </x:c>
      <x:c r="L359" s="34" t="str">
        <x:v>https://www.newegg.ca/p/20-374-427</x:v>
      </x:c>
      <x:c r="M359" s="35" t="str">
        <x:v>https://www.newegg.ca/p/20-374-427</x:v>
      </x:c>
    </x:row>
    <x:row r="360">
      <x:c r="A360" s="33" t="str">
        <x:v>ram</x:v>
      </x:c>
      <x:c r="B360" s="34" t="str">
        <x:v>ca-newegg-ram-team-group-t-create-expert-32gb-2-x-16gb-288-pin-pc-ram-ddr5-6000-pc5-</x:v>
      </x:c>
      <x:c r="C360" s="34" t="str">
        <x:v>Team Group T-CREATE EXPERT 32GB (2 x 16GB) 288-Pin PC RAM DDR5 6000 (PC5 48000) Desktop Memory Model CTCED532G6000HC30DC01</x:v>
      </x:c>
      <x:c r="D360" s="34" t="str">
        <x:v>Team Group</x:v>
      </x:c>
      <x:c r="E360" s="82" t="n">
        <x:v>458.31</x:v>
      </x:c>
      <x:c r="F360" s="34" t="str">
        <x:v>USD</x:v>
      </x:c>
      <x:c r="G360" s="34" t="str">
        <x:v>retail</x:v>
      </x:c>
      <x:c r="H360" s="34" t="str">
        <x:v>2026-06-29</x:v>
      </x:c>
      <x:c r="I360" s="34" t="str">
        <x:v>memoryType=DDR5; capacityGb=32; speedMt=6000; sticks=2</x:v>
      </x:c>
      <x:c r="J360" s="34" t="str">
        <x:v>DDR5, 32GB, 6000MT/s, ca-retail</x:v>
      </x:c>
      <x:c r="K360" s="34" t="str">
        <x:v>32GB DDR5-6000 memory kit from CA retailer.</x:v>
      </x:c>
      <x:c r="L360" s="34" t="str">
        <x:v>https://www.newegg.ca/p/20-985-077</x:v>
      </x:c>
      <x:c r="M360" s="35" t="str">
        <x:v>https://www.newegg.ca/p/20-985-077</x:v>
      </x:c>
    </x:row>
    <x:row r="361">
      <x:c r="A361" s="33" t="str">
        <x:v>ram</x:v>
      </x:c>
      <x:c r="B361" s="34" t="str">
        <x:v>ca-newegg-ram-team-group-t-create-expert-32gb-2-x-16gb-288-pin-pc-ram-ddr5-6000-pc5--1</x:v>
      </x:c>
      <x:c r="C361" s="34" t="str">
        <x:v>Team Group T-CREATE EXPERT 32GB (2 x 16GB) 288-Pin PC RAM DDR5 6000 (PC5 48000) Desktop Memory Model CTCWD532G6000HC30DC01</x:v>
      </x:c>
      <x:c r="D361" s="34" t="str">
        <x:v>Team Group</x:v>
      </x:c>
      <x:c r="E361" s="82" t="n">
        <x:v>437.16</x:v>
      </x:c>
      <x:c r="F361" s="34" t="str">
        <x:v>USD</x:v>
      </x:c>
      <x:c r="G361" s="34" t="str">
        <x:v>retail</x:v>
      </x:c>
      <x:c r="H361" s="34" t="str">
        <x:v>2026-06-29</x:v>
      </x:c>
      <x:c r="I361" s="34" t="str">
        <x:v>memoryType=DDR5; capacityGb=32; speedMt=6000; sticks=2</x:v>
      </x:c>
      <x:c r="J361" s="34" t="str">
        <x:v>DDR5, 32GB, 6000MT/s, ca-retail</x:v>
      </x:c>
      <x:c r="K361" s="34" t="str">
        <x:v>32GB DDR5-6000 memory kit from CA retailer.</x:v>
      </x:c>
      <x:c r="L361" s="34" t="str">
        <x:v>https://www.newegg.ca/p/20-985-070</x:v>
      </x:c>
      <x:c r="M361" s="35" t="str">
        <x:v>https://www.newegg.ca/p/20-985-070</x:v>
      </x:c>
    </x:row>
    <x:row r="362">
      <x:c r="A362" s="33" t="str">
        <x:v>ram</x:v>
      </x:c>
      <x:c r="B362" s="34" t="str">
        <x:v>ca-newegg-ram-corsair-vengeance-rgb-32gb-2-x-16gb-288-pin-pc-ram-ddr5-6000-pc5-48000-3</x:v>
      </x:c>
      <x:c r="C362" s="34" t="str">
        <x:v>CORSAIR Vengeance RGB 32GB (2 x 16GB) 288-Pin PC RAM DDR5 6000 (PC5 48000) Desktop Memory Model CMH32GX5M2N6000Z30</x:v>
      </x:c>
      <x:c r="D362" s="34" t="str">
        <x:v>Corsair</x:v>
      </x:c>
      <x:c r="E362" s="82" t="n">
        <x:v>588.05</x:v>
      </x:c>
      <x:c r="F362" s="34" t="str">
        <x:v>USD</x:v>
      </x:c>
      <x:c r="G362" s="34" t="str">
        <x:v>retail</x:v>
      </x:c>
      <x:c r="H362" s="34" t="str">
        <x:v>2026-06-29</x:v>
      </x:c>
      <x:c r="I362" s="34" t="str">
        <x:v>memoryType=DDR5; capacityGb=32; speedMt=6000; sticks=2</x:v>
      </x:c>
      <x:c r="J362" s="34" t="str">
        <x:v>DDR5, 32GB, 6000MT/s, ca-retail, rgb</x:v>
      </x:c>
      <x:c r="K362" s="34" t="str">
        <x:v>32GB DDR5-6000 memory kit from CA retailer.</x:v>
      </x:c>
      <x:c r="L362" s="34" t="str">
        <x:v>https://www.newegg.ca/p/20-982-184</x:v>
      </x:c>
      <x:c r="M362" s="35" t="str">
        <x:v>https://www.newegg.ca/p/20-982-184</x:v>
      </x:c>
    </x:row>
    <x:row r="363">
      <x:c r="A363" s="33" t="str">
        <x:v>ram</x:v>
      </x:c>
      <x:c r="B363" s="34" t="str">
        <x:v>ca-newegg-ram-corsair-vengeance-32gb-2-x-16gb-288-pin-pc-ram-ddr5-6000-pc5-48000-des-2</x:v>
      </x:c>
      <x:c r="C363" s="34" t="str">
        <x:v>CORSAIR Vengeance 32GB (2 x 16GB) 288-Pin PC RAM DDR5 6000 (PC5 48000) Desktop Memory Model CMK32GX5M2B6000C38</x:v>
      </x:c>
      <x:c r="D363" s="34" t="str">
        <x:v>Corsair</x:v>
      </x:c>
      <x:c r="E363" s="82" t="n">
        <x:v>419.53</x:v>
      </x:c>
      <x:c r="F363" s="34" t="str">
        <x:v>USD</x:v>
      </x:c>
      <x:c r="G363" s="34" t="str">
        <x:v>retail</x:v>
      </x:c>
      <x:c r="H363" s="34" t="str">
        <x:v>2026-06-29</x:v>
      </x:c>
      <x:c r="I363" s="34" t="str">
        <x:v>memoryType=DDR5; capacityGb=32; speedMt=6000; sticks=2</x:v>
      </x:c>
      <x:c r="J363" s="34" t="str">
        <x:v>DDR5, 32GB, 6000MT/s, ca-retail</x:v>
      </x:c>
      <x:c r="K363" s="34" t="str">
        <x:v>32GB DDR5-6000 memory kit from CA retailer.</x:v>
      </x:c>
      <x:c r="L363" s="34" t="str">
        <x:v>https://www.newegg.ca/p/20-982-129</x:v>
      </x:c>
      <x:c r="M363" s="35" t="str">
        <x:v>https://www.newegg.ca/p/20-982-129</x:v>
      </x:c>
    </x:row>
    <x:row r="364">
      <x:c r="A364" s="33" t="str">
        <x:v>ram</x:v>
      </x:c>
      <x:c r="B364" s="34" t="str">
        <x:v>ca-newegg-ram-patriot-viper-elite-5-32gb-2-x-16gb-288-pin-pc-ram-ddr5-6000-cl30-pc5-</x:v>
      </x:c>
      <x:c r="C364" s="34" t="str">
        <x:v>Patriot Viper Elite 5 32GB (2 x 16GB) 288-Pin PC RAM DDR5 6000 CL30(PC5 48000) Hynix Desktop Memory Model VEB532G6030KW Compatible with AMD &amp; Intel Gen14 Only</x:v>
      </x:c>
      <x:c r="D364" s="34" t="str">
        <x:v>Patriot Memory</x:v>
      </x:c>
      <x:c r="E364" s="82" t="n">
        <x:v>423.05</x:v>
      </x:c>
      <x:c r="F364" s="34" t="str">
        <x:v>USD</x:v>
      </x:c>
      <x:c r="G364" s="34" t="str">
        <x:v>retail</x:v>
      </x:c>
      <x:c r="H364" s="34" t="str">
        <x:v>2026-06-29</x:v>
      </x:c>
      <x:c r="I364" s="34" t="str">
        <x:v>memoryType=DDR5; capacityGb=32; speedMt=6000; sticks=2</x:v>
      </x:c>
      <x:c r="J364" s="34" t="str">
        <x:v>DDR5, 32GB, 6000MT/s, ca-retail</x:v>
      </x:c>
      <x:c r="K364" s="34" t="str">
        <x:v>32GB DDR5-6000 memory kit from CA retailer.</x:v>
      </x:c>
      <x:c r="L364" s="34" t="str">
        <x:v>https://www.newegg.ca/p/20-225-386</x:v>
      </x:c>
      <x:c r="M364" s="35" t="str">
        <x:v>https://www.newegg.ca/p/20-225-386</x:v>
      </x:c>
    </x:row>
    <x:row r="365">
      <x:c r="A365" s="33" t="str">
        <x:v>ram</x:v>
      </x:c>
      <x:c r="B365" s="34" t="str">
        <x:v>ca-newegg-ram-corsair-vengeance-32gb-2-x-16gb-288-pin-pc-ram-ddr5-6000-pc5-48000-des-3</x:v>
      </x:c>
      <x:c r="C365" s="34" t="str">
        <x:v>CORSAIR Vengeance 32GB (2 x 16GB) 288-Pin PC RAM DDR5 6000 (PC5 48000) Desktop Memory Model CMK32GX5M2B6000Z30</x:v>
      </x:c>
      <x:c r="D365" s="34" t="str">
        <x:v>Corsair</x:v>
      </x:c>
      <x:c r="E365" s="82" t="n">
        <x:v>437.16</x:v>
      </x:c>
      <x:c r="F365" s="34" t="str">
        <x:v>USD</x:v>
      </x:c>
      <x:c r="G365" s="34" t="str">
        <x:v>retail</x:v>
      </x:c>
      <x:c r="H365" s="34" t="str">
        <x:v>2026-06-29</x:v>
      </x:c>
      <x:c r="I365" s="34" t="str">
        <x:v>memoryType=DDR5; capacityGb=32; speedMt=6000; sticks=2</x:v>
      </x:c>
      <x:c r="J365" s="34" t="str">
        <x:v>DDR5, 32GB, 6000MT/s, ca-retail</x:v>
      </x:c>
      <x:c r="K365" s="34" t="str">
        <x:v>32GB DDR5-6000 memory kit from CA retailer.</x:v>
      </x:c>
      <x:c r="L365" s="34" t="str">
        <x:v>https://www.newegg.ca/p/20-982-040</x:v>
      </x:c>
      <x:c r="M365" s="35" t="str">
        <x:v>https://www.newegg.ca/p/20-982-040</x:v>
      </x:c>
    </x:row>
    <x:row r="366">
      <x:c r="A366" s="33" t="str">
        <x:v>ram</x:v>
      </x:c>
      <x:c r="B366" s="34" t="str">
        <x:v>ca-newegg-ram-corsair-vengeance-rgb-32gb-2-x-16gb-288-pin-pc-ram-ddr5-6000-pc5-48000-4</x:v>
      </x:c>
      <x:c r="C366" s="34" t="str">
        <x:v>CORSAIR Vengeance RGB 32GB (2 x 16GB) 288-Pin PC RAM DDR5 6000 (PC5 48000) Desktop Memory Model CMH32GX5M2F6000Z36</x:v>
      </x:c>
      <x:c r="D366" s="34" t="str">
        <x:v>Corsair</x:v>
      </x:c>
      <x:c r="E366" s="82" t="n">
        <x:v>458.31</x:v>
      </x:c>
      <x:c r="F366" s="34" t="str">
        <x:v>USD</x:v>
      </x:c>
      <x:c r="G366" s="34" t="str">
        <x:v>retail</x:v>
      </x:c>
      <x:c r="H366" s="34" t="str">
        <x:v>2026-06-29</x:v>
      </x:c>
      <x:c r="I366" s="34" t="str">
        <x:v>memoryType=DDR5; capacityGb=32; speedMt=6000; sticks=2</x:v>
      </x:c>
      <x:c r="J366" s="34" t="str">
        <x:v>DDR5, 32GB, 6000MT/s, ca-retail, rgb</x:v>
      </x:c>
      <x:c r="K366" s="34" t="str">
        <x:v>32GB DDR5-6000 memory kit from CA retailer.</x:v>
      </x:c>
      <x:c r="L366" s="34" t="str">
        <x:v>https://www.newegg.ca/p/20-982-285</x:v>
      </x:c>
      <x:c r="M366" s="35" t="str">
        <x:v>https://www.newegg.ca/p/20-982-285</x:v>
      </x:c>
    </x:row>
    <x:row r="367">
      <x:c r="A367" s="33" t="str">
        <x:v>ram</x:v>
      </x:c>
      <x:c r="B367" s="34" t="str">
        <x:v>ca-newegg-ram-team-t-force-delta-rgb-32gb-2-x-16gb-288-pin-pc-ram-ddr5-6000-pc5-4800-1</x:v>
      </x:c>
      <x:c r="C367" s="34" t="str">
        <x:v>Team T-Force Delta RGB 32GB (2 x 16GB) 288-Pin PC RAM DDR5 6000 (PC5 48000) Desktop Memory Model FF3D532G6000HC30DC01</x:v>
      </x:c>
      <x:c r="D367" s="34" t="str">
        <x:v>Team Group</x:v>
      </x:c>
      <x:c r="E367" s="82" t="n">
        <x:v>472.42</x:v>
      </x:c>
      <x:c r="F367" s="34" t="str">
        <x:v>USD</x:v>
      </x:c>
      <x:c r="G367" s="34" t="str">
        <x:v>retail</x:v>
      </x:c>
      <x:c r="H367" s="34" t="str">
        <x:v>2026-06-29</x:v>
      </x:c>
      <x:c r="I367" s="34" t="str">
        <x:v>memoryType=DDR5; capacityGb=32; speedMt=6000; sticks=2</x:v>
      </x:c>
      <x:c r="J367" s="34" t="str">
        <x:v>DDR5, 32GB, 6000MT/s, ca-retail, rgb</x:v>
      </x:c>
      <x:c r="K367" s="34" t="str">
        <x:v>32GB DDR5-6000 memory kit from CA retailer.</x:v>
      </x:c>
      <x:c r="L367" s="34" t="str">
        <x:v>https://www.newegg.ca/p/20-331-845</x:v>
      </x:c>
      <x:c r="M367" s="35" t="str">
        <x:v>https://www.newegg.ca/p/20-331-845</x:v>
      </x:c>
    </x:row>
    <x:row r="368">
      <x:c r="A368" s="33" t="str">
        <x:v>ram</x:v>
      </x:c>
      <x:c r="B368" s="34" t="str">
        <x:v>ca-newegg-ram-corsair-vengeance-rgb-32gb-2-x-16gb-288-pin-pc-ram-ddr5-6000-pc5-48000-5</x:v>
      </x:c>
      <x:c r="C368" s="34" t="str">
        <x:v>CORSAIR Vengeance RGB 32GB (2 x 16GB) 288-Pin PC RAM DDR5 6000 (PC5 48000) Desktop Memory Model CMH32GX5M2B6000C38</x:v>
      </x:c>
      <x:c r="D368" s="34" t="str">
        <x:v>Corsair</x:v>
      </x:c>
      <x:c r="E368" s="82" t="n">
        <x:v>419.53</x:v>
      </x:c>
      <x:c r="F368" s="34" t="str">
        <x:v>USD</x:v>
      </x:c>
      <x:c r="G368" s="34" t="str">
        <x:v>retail</x:v>
      </x:c>
      <x:c r="H368" s="34" t="str">
        <x:v>2026-06-29</x:v>
      </x:c>
      <x:c r="I368" s="34" t="str">
        <x:v>memoryType=DDR5; capacityGb=32; speedMt=6000; sticks=2</x:v>
      </x:c>
      <x:c r="J368" s="34" t="str">
        <x:v>DDR5, 32GB, 6000MT/s, ca-retail, rgb</x:v>
      </x:c>
      <x:c r="K368" s="34" t="str">
        <x:v>32GB DDR5-6000 memory kit from CA retailer.</x:v>
      </x:c>
      <x:c r="L368" s="34" t="str">
        <x:v>https://www.newegg.ca/p/20-982-128</x:v>
      </x:c>
      <x:c r="M368" s="35" t="str">
        <x:v>https://www.newegg.ca/p/20-982-128</x:v>
      </x:c>
    </x:row>
    <x:row r="369">
      <x:c r="A369" s="33" t="str">
        <x:v>ram</x:v>
      </x:c>
      <x:c r="B369" s="34" t="str">
        <x:v>ca-newegg-ram-corsair-dominator-titanium-64gb-2-x-32gb-ddr5-6000-pc5-48000-desktop-m</x:v>
      </x:c>
      <x:c r="C369" s="34" t="str">
        <x:v>CORSAIR Dominator Titanium 64GB (2 x 32GB) DDR5 6000 (PC5 48000) Desktop Memory Model CMP64GX5M2B6000Z30</x:v>
      </x:c>
      <x:c r="D369" s="34" t="str">
        <x:v>Corsair</x:v>
      </x:c>
      <x:c r="E369" s="82" t="n">
        <x:v>1235.35</x:v>
      </x:c>
      <x:c r="F369" s="34" t="str">
        <x:v>USD</x:v>
      </x:c>
      <x:c r="G369" s="34" t="str">
        <x:v>retail</x:v>
      </x:c>
      <x:c r="H369" s="34" t="str">
        <x:v>2026-06-29</x:v>
      </x:c>
      <x:c r="I369" s="34" t="str">
        <x:v>memoryType=DDR5; capacityGb=64; speedMt=6000; sticks=2</x:v>
      </x:c>
      <x:c r="J369" s="34" t="str">
        <x:v>DDR5, 64GB, 6000MT/s, ca-retail</x:v>
      </x:c>
      <x:c r="K369" s="34" t="str">
        <x:v>64GB DDR5-6000 memory kit from CA retailer.</x:v>
      </x:c>
      <x:c r="L369" s="34" t="str">
        <x:v>https://www.newegg.ca/p/20-982-101</x:v>
      </x:c>
      <x:c r="M369" s="35" t="str">
        <x:v>https://www.newegg.ca/p/20-982-101</x:v>
      </x:c>
    </x:row>
    <x:row r="370">
      <x:c r="A370" s="33" t="str">
        <x:v>ram</x:v>
      </x:c>
      <x:c r="B370" s="34" t="str">
        <x:v>ca-newegg-ram-g-skill-trident-z5-neo-series-amd-expo-32gb-2-x-16gb-288-pin-pc-ram-dd</x:v>
      </x:c>
      <x:c r="C370" s="34" t="str">
        <x:v>G.SKILL Trident Z5 Neo Series AMD EXPO 32GB (2 x 16GB) 288-Pin PC RAM DDR5 6000 (PC5 48000) Desktop memory Model F5-6000J3038F16GX2-TZ5N</x:v>
      </x:c>
      <x:c r="D370" s="34" t="str">
        <x:v>G.SKILL</x:v>
      </x:c>
      <x:c r="E370" s="82" t="n">
        <x:v>613.44</x:v>
      </x:c>
      <x:c r="F370" s="34" t="str">
        <x:v>USD</x:v>
      </x:c>
      <x:c r="G370" s="34" t="str">
        <x:v>retail</x:v>
      </x:c>
      <x:c r="H370" s="34" t="str">
        <x:v>2026-06-29</x:v>
      </x:c>
      <x:c r="I370" s="34" t="str">
        <x:v>memoryType=DDR5; capacityGb=32; speedMt=6000; sticks=2</x:v>
      </x:c>
      <x:c r="J370" s="34" t="str">
        <x:v>DDR5, 32GB, 6000MT/s, ca-retail</x:v>
      </x:c>
      <x:c r="K370" s="34" t="str">
        <x:v>32GB DDR5-6000 memory kit from CA retailer.</x:v>
      </x:c>
      <x:c r="L370" s="34" t="str">
        <x:v>https://www.newegg.ca/p/20-374-422</x:v>
      </x:c>
      <x:c r="M370" s="35" t="str">
        <x:v>https://www.newegg.ca/p/20-374-422</x:v>
      </x:c>
    </x:row>
    <x:row r="371">
      <x:c r="A371" s="33" t="str">
        <x:v>ram</x:v>
      </x:c>
      <x:c r="B371" s="34" t="str">
        <x:v>ca-newegg-ram-corsair-vengeance-rgb-32gb-2-x-16gb-288-pin-pc-ram-ddr5-6000-pc5-48000-6</x:v>
      </x:c>
      <x:c r="C371" s="34" t="str">
        <x:v>CORSAIR Vengeance RGB 32GB (2 x 16GB) 288-Pin PC RAM DDR5 6000 (PC5 48000) XMP 3.0 AMD EXPO Desktop Memory Model CMH32GX5M2B6000Z30K</x:v>
      </x:c>
      <x:c r="D371" s="34" t="str">
        <x:v>Corsair</x:v>
      </x:c>
      <x:c r="E371" s="82" t="n">
        <x:v>620.48</x:v>
      </x:c>
      <x:c r="F371" s="34" t="str">
        <x:v>USD</x:v>
      </x:c>
      <x:c r="G371" s="34" t="str">
        <x:v>retail</x:v>
      </x:c>
      <x:c r="H371" s="34" t="str">
        <x:v>2026-06-29</x:v>
      </x:c>
      <x:c r="I371" s="34" t="str">
        <x:v>memoryType=DDR5; capacityGb=32; speedMt=6000; sticks=2</x:v>
      </x:c>
      <x:c r="J371" s="34" t="str">
        <x:v>DDR5, 32GB, 6000MT/s, ca-retail, rgb</x:v>
      </x:c>
      <x:c r="K371" s="34" t="str">
        <x:v>32GB DDR5-6000 memory kit from CA retailer.</x:v>
      </x:c>
      <x:c r="L371" s="34" t="str">
        <x:v>https://www.newegg.ca/p/20-236-909</x:v>
      </x:c>
      <x:c r="M371" s="35" t="str">
        <x:v>https://www.newegg.ca/p/20-236-909</x:v>
      </x:c>
    </x:row>
    <x:row r="372">
      <x:c r="A372" s="33" t="str">
        <x:v>ram</x:v>
      </x:c>
      <x:c r="B372" s="34" t="str">
        <x:v>ca-newegg-ram-team-t-create-classic-32gb-2-x-16gb-ddr5-6000-pc5-48000-desktop-memory</x:v>
      </x:c>
      <x:c r="C372" s="34" t="str">
        <x:v>Team T-CREATE CLASSIC 32GB (2 x 16GB) DDR5 6000 (PC5 48000) Desktop Memory Model CTCCD532G6000HC48DC01</x:v>
      </x:c>
      <x:c r="D372" s="34" t="str">
        <x:v>Team Group</x:v>
      </x:c>
      <x:c r="E372" s="82" t="n">
        <x:v>416.01</x:v>
      </x:c>
      <x:c r="F372" s="34" t="str">
        <x:v>USD</x:v>
      </x:c>
      <x:c r="G372" s="34" t="str">
        <x:v>retail</x:v>
      </x:c>
      <x:c r="H372" s="34" t="str">
        <x:v>2026-06-29</x:v>
      </x:c>
      <x:c r="I372" s="34" t="str">
        <x:v>memoryType=DDR5; capacityGb=32; speedMt=6000; sticks=2</x:v>
      </x:c>
      <x:c r="J372" s="34" t="str">
        <x:v>DDR5, 32GB, 6000MT/s, ca-retail</x:v>
      </x:c>
      <x:c r="K372" s="34" t="str">
        <x:v>32GB DDR5-6000 memory kit from CA retailer.</x:v>
      </x:c>
      <x:c r="L372" s="34" t="str">
        <x:v>https://www.newegg.ca/p/20-985-006</x:v>
      </x:c>
      <x:c r="M372" s="35" t="str">
        <x:v>https://www.newegg.ca/p/20-985-006</x:v>
      </x:c>
    </x:row>
    <x:row r="373">
      <x:c r="A373" s="33" t="str">
        <x:v>ram</x:v>
      </x:c>
      <x:c r="B373" s="34" t="str">
        <x:v>ca-newegg-ram-patriot-viper-venom-32gb-2-x-16gb-288-pin-pc-ram-ddr5-6000-pc5-48000-d</x:v>
      </x:c>
      <x:c r="C373" s="34" t="str">
        <x:v>Patriot Viper Venom 32GB (2 x 16GB) 288-Pin PC RAM DDR5 6000 (PC5 48000) Desktop Memory Model PVV532G600C30K Compatible with AMD &amp; Intel Gen14 Only</x:v>
      </x:c>
      <x:c r="D373" s="34" t="str">
        <x:v>Patriot Memory</x:v>
      </x:c>
      <x:c r="E373" s="82" t="n">
        <x:v>423.06</x:v>
      </x:c>
      <x:c r="F373" s="34" t="str">
        <x:v>USD</x:v>
      </x:c>
      <x:c r="G373" s="34" t="str">
        <x:v>retail</x:v>
      </x:c>
      <x:c r="H373" s="34" t="str">
        <x:v>2026-06-29</x:v>
      </x:c>
      <x:c r="I373" s="34" t="str">
        <x:v>memoryType=DDR5; capacityGb=32; speedMt=6000; sticks=2</x:v>
      </x:c>
      <x:c r="J373" s="34" t="str">
        <x:v>DDR5, 32GB, 6000MT/s, ca-retail</x:v>
      </x:c>
      <x:c r="K373" s="34" t="str">
        <x:v>32GB DDR5-6000 memory kit from CA retailer.</x:v>
      </x:c>
      <x:c r="L373" s="34" t="str">
        <x:v>https://www.newegg.ca/p/20-225-334</x:v>
      </x:c>
      <x:c r="M373" s="35" t="str">
        <x:v>https://www.newegg.ca/p/20-225-334</x:v>
      </x:c>
    </x:row>
    <x:row r="374">
      <x:c r="A374" s="33" t="str">
        <x:v>ram</x:v>
      </x:c>
      <x:c r="B374" s="34" t="str">
        <x:v>ca-newegg-ram-corsair-vengeance-rgb-64gb-2-x-32gb-288-pin-pc-ram-ddr5-6000-pc5-48000</x:v>
      </x:c>
      <x:c r="C374" s="34" t="str">
        <x:v>CORSAIR Vengeance RGB 64GB (2 x 32GB) 288-Pin PC RAM DDR5 6000 (PC5 48000) Desktop Memory Model CMH64GX5M2N6000Z40</x:v>
      </x:c>
      <x:c r="D374" s="34" t="str">
        <x:v>Corsair</x:v>
      </x:c>
      <x:c r="E374" s="82" t="n">
        <x:v>906.06</x:v>
      </x:c>
      <x:c r="F374" s="34" t="str">
        <x:v>USD</x:v>
      </x:c>
      <x:c r="G374" s="34" t="str">
        <x:v>retail</x:v>
      </x:c>
      <x:c r="H374" s="34" t="str">
        <x:v>2026-06-29</x:v>
      </x:c>
      <x:c r="I374" s="34" t="str">
        <x:v>memoryType=DDR5; capacityGb=64; speedMt=6000; sticks=2</x:v>
      </x:c>
      <x:c r="J374" s="34" t="str">
        <x:v>DDR5, 64GB, 6000MT/s, ca-retail, rgb</x:v>
      </x:c>
      <x:c r="K374" s="34" t="str">
        <x:v>64GB DDR5-6000 memory kit from CA retailer.</x:v>
      </x:c>
      <x:c r="L374" s="34" t="str">
        <x:v>https://www.newegg.ca/p/20-982-338</x:v>
      </x:c>
      <x:c r="M374" s="35" t="str">
        <x:v>https://www.newegg.ca/p/20-982-338</x:v>
      </x:c>
    </x:row>
    <x:row r="375">
      <x:c r="A375" s="33" t="str">
        <x:v>ram</x:v>
      </x:c>
      <x:c r="B375" s="34" t="str">
        <x:v>ca-newegg-ram-corsair-vengeance-rgb-32gb-2-x-16gb-288-pin-pc-ram-ddr5-6000-pc5-48000-7</x:v>
      </x:c>
      <x:c r="C375" s="34" t="str">
        <x:v>CORSAIR Vengeance RGB 32GB (2 x 16GB) 288-Pin PC RAM DDR5 6000 (PC5 48000) Desktop Memory Model CMH32GX5M2N6000Z36W</x:v>
      </x:c>
      <x:c r="D375" s="34" t="str">
        <x:v>Corsair</x:v>
      </x:c>
      <x:c r="E375" s="82" t="n">
        <x:v>497.1</x:v>
      </x:c>
      <x:c r="F375" s="34" t="str">
        <x:v>USD</x:v>
      </x:c>
      <x:c r="G375" s="34" t="str">
        <x:v>retail</x:v>
      </x:c>
      <x:c r="H375" s="34" t="str">
        <x:v>2026-06-29</x:v>
      </x:c>
      <x:c r="I375" s="34" t="str">
        <x:v>memoryType=DDR5; capacityGb=32; speedMt=6000; sticks=2</x:v>
      </x:c>
      <x:c r="J375" s="34" t="str">
        <x:v>DDR5, 32GB, 6000MT/s, ca-retail, rgb</x:v>
      </x:c>
      <x:c r="K375" s="34" t="str">
        <x:v>32GB DDR5-6000 memory kit from CA retailer.</x:v>
      </x:c>
      <x:c r="L375" s="34" t="str">
        <x:v>https://www.newegg.ca/p/20-982-337</x:v>
      </x:c>
      <x:c r="M375" s="35" t="str">
        <x:v>https://www.newegg.ca/p/20-982-337</x:v>
      </x:c>
    </x:row>
    <x:row r="376">
      <x:c r="A376" s="33" t="str">
        <x:v>ram</x:v>
      </x:c>
      <x:c r="B376" s="34" t="str">
        <x:v>ca-newegg-ram-corsair-vengeance-rgb-64gb-2-x-32gb-288-pin-pc-ram-ddr5-6000-pc5-48000-1</x:v>
      </x:c>
      <x:c r="C376" s="34" t="str">
        <x:v>CORSAIR Vengeance RGB 64GB (2 x 32GB) 288-Pin PC RAM DDR5 6000 (PC5 48000) Desktop Memory Model CMH64GX5M2N6000Z40W</x:v>
      </x:c>
      <x:c r="D376" s="34" t="str">
        <x:v>Corsair</x:v>
      </x:c>
      <x:c r="E376" s="82" t="n">
        <x:v>906.06</x:v>
      </x:c>
      <x:c r="F376" s="34" t="str">
        <x:v>USD</x:v>
      </x:c>
      <x:c r="G376" s="34" t="str">
        <x:v>retail</x:v>
      </x:c>
      <x:c r="H376" s="34" t="str">
        <x:v>2026-06-29</x:v>
      </x:c>
      <x:c r="I376" s="34" t="str">
        <x:v>memoryType=DDR5; capacityGb=64; speedMt=6000; sticks=2</x:v>
      </x:c>
      <x:c r="J376" s="34" t="str">
        <x:v>DDR5, 64GB, 6000MT/s, ca-retail, rgb</x:v>
      </x:c>
      <x:c r="K376" s="34" t="str">
        <x:v>64GB DDR5-6000 memory kit from CA retailer.</x:v>
      </x:c>
      <x:c r="L376" s="34" t="str">
        <x:v>https://www.newegg.ca/p/20-982-339</x:v>
      </x:c>
      <x:c r="M376" s="35" t="str">
        <x:v>https://www.newegg.ca/p/20-982-339</x:v>
      </x:c>
    </x:row>
    <x:row r="377">
      <x:c r="A377" s="33" t="str">
        <x:v>ram</x:v>
      </x:c>
      <x:c r="B377" s="34" t="str">
        <x:v>ca-newegg-ram-corsair-dominator-titanium-32gb-2-x-16gb-ddr5-6000-pc5-48000-desktop-m</x:v>
      </x:c>
      <x:c r="C377" s="34" t="str">
        <x:v>CORSAIR Dominator Titanium 32GB (2 x 16GB) DDR5 6000 (PC5 48000) Desktop Memory Model CMP32GX5M2B6000Z30</x:v>
      </x:c>
      <x:c r="D377" s="34" t="str">
        <x:v>Corsair</x:v>
      </x:c>
      <x:c r="E377" s="82" t="n">
        <x:v>622.61</x:v>
      </x:c>
      <x:c r="F377" s="34" t="str">
        <x:v>USD</x:v>
      </x:c>
      <x:c r="G377" s="34" t="str">
        <x:v>retail</x:v>
      </x:c>
      <x:c r="H377" s="34" t="str">
        <x:v>2026-06-29</x:v>
      </x:c>
      <x:c r="I377" s="34" t="str">
        <x:v>memoryType=DDR5; capacityGb=32; speedMt=6000; sticks=2</x:v>
      </x:c>
      <x:c r="J377" s="34" t="str">
        <x:v>DDR5, 32GB, 6000MT/s, ca-retail</x:v>
      </x:c>
      <x:c r="K377" s="34" t="str">
        <x:v>32GB DDR5-6000 memory kit from CA retailer.</x:v>
      </x:c>
      <x:c r="L377" s="34" t="str">
        <x:v>https://www.newegg.ca/p/20-982-102</x:v>
      </x:c>
      <x:c r="M377" s="35" t="str">
        <x:v>https://www.newegg.ca/p/20-982-102</x:v>
      </x:c>
    </x:row>
    <x:row r="378">
      <x:c r="A378" s="33" t="str">
        <x:v>ram</x:v>
      </x:c>
      <x:c r="B378" s="34" t="str">
        <x:v>ca-newegg-ram-corsair-vengeance-rgb-32gb-2-x-16gb-288-pin-pc-ram-ddr5-6000-pc5-48000-8</x:v>
      </x:c>
      <x:c r="C378" s="34" t="str">
        <x:v>CORSAIR Vengeance RGB 32GB (2 x 16GB) 288-Pin PC RAM DDR5 6000 (PC5 48000) Desktop Memory Model CMH32GX5M2B6000Z28</x:v>
      </x:c>
      <x:c r="D378" s="34" t="str">
        <x:v>Corsair</x:v>
      </x:c>
      <x:c r="E378" s="82" t="n">
        <x:v>604.27</x:v>
      </x:c>
      <x:c r="F378" s="34" t="str">
        <x:v>USD</x:v>
      </x:c>
      <x:c r="G378" s="34" t="str">
        <x:v>retail</x:v>
      </x:c>
      <x:c r="H378" s="34" t="str">
        <x:v>2026-06-29</x:v>
      </x:c>
      <x:c r="I378" s="34" t="str">
        <x:v>memoryType=DDR5; capacityGb=32; speedMt=6000; sticks=2</x:v>
      </x:c>
      <x:c r="J378" s="34" t="str">
        <x:v>DDR5, 32GB, 6000MT/s, ca-retail, rgb</x:v>
      </x:c>
      <x:c r="K378" s="34" t="str">
        <x:v>32GB DDR5-6000 memory kit from CA retailer.</x:v>
      </x:c>
      <x:c r="L378" s="34" t="str">
        <x:v>https://www.newegg.ca/p/20-982-210</x:v>
      </x:c>
      <x:c r="M378" s="35" t="str">
        <x:v>https://www.newegg.ca/p/20-982-210</x:v>
      </x:c>
    </x:row>
    <x:row r="379">
      <x:c r="A379" s="33" t="str">
        <x:v>ram</x:v>
      </x:c>
      <x:c r="B379" s="34" t="str">
        <x:v>ca-newegg-ram-g-skill-ripjaws-s5-series-32gb-2-x-16gb-288-pin-pc-ram-ddr5-6000-pc5-4</x:v>
      </x:c>
      <x:c r="C379" s="34" t="str">
        <x:v>G.SKILL Ripjaws S5 Series 32GB (2 x 16GB) 288-Pin PC RAM DDR5 6000 (PC5 48000) Desktop Memory Model F5-6000J3636F16GX2-RS5K</x:v>
      </x:c>
      <x:c r="D379" s="34" t="str">
        <x:v>G.SKILL</x:v>
      </x:c>
      <x:c r="E379" s="82" t="n">
        <x:v>500.62</x:v>
      </x:c>
      <x:c r="F379" s="34" t="str">
        <x:v>USD</x:v>
      </x:c>
      <x:c r="G379" s="34" t="str">
        <x:v>retail</x:v>
      </x:c>
      <x:c r="H379" s="34" t="str">
        <x:v>2026-06-29</x:v>
      </x:c>
      <x:c r="I379" s="34" t="str">
        <x:v>memoryType=DDR5; capacityGb=32; speedMt=6000; sticks=2</x:v>
      </x:c>
      <x:c r="J379" s="34" t="str">
        <x:v>DDR5, 32GB, 6000MT/s, ca-retail</x:v>
      </x:c>
      <x:c r="K379" s="34" t="str">
        <x:v>32GB DDR5-6000 memory kit from CA retailer.</x:v>
      </x:c>
      <x:c r="L379" s="34" t="str">
        <x:v>https://www.newegg.ca/p/20-374-430</x:v>
      </x:c>
      <x:c r="M379" s="35" t="str">
        <x:v>https://www.newegg.ca/p/20-374-430</x:v>
      </x:c>
    </x:row>
    <x:row r="380">
      <x:c r="A380" s="33" t="str">
        <x:v>ram</x:v>
      </x:c>
      <x:c r="B380" s="34" t="str">
        <x:v>ca-newegg-ram-corsair-dominator-titanium-32gb-2-x-16gb-ddr5-6000-pc5-48000-desktop-m-1</x:v>
      </x:c>
      <x:c r="C380" s="34" t="str">
        <x:v>CORSAIR Dominator Titanium 32GB (2 x 16GB) DDR5 6000 (PC5 48000) Desktop Memory Model CMP32GX5M2B6000C30</x:v>
      </x:c>
      <x:c r="D380" s="34" t="str">
        <x:v>Corsair</x:v>
      </x:c>
      <x:c r="E380" s="82" t="n">
        <x:v>622.61</x:v>
      </x:c>
      <x:c r="F380" s="34" t="str">
        <x:v>USD</x:v>
      </x:c>
      <x:c r="G380" s="34" t="str">
        <x:v>retail</x:v>
      </x:c>
      <x:c r="H380" s="34" t="str">
        <x:v>2026-06-29</x:v>
      </x:c>
      <x:c r="I380" s="34" t="str">
        <x:v>memoryType=DDR5; capacityGb=32; speedMt=6000; sticks=2</x:v>
      </x:c>
      <x:c r="J380" s="34" t="str">
        <x:v>DDR5, 32GB, 6000MT/s, ca-retail</x:v>
      </x:c>
      <x:c r="K380" s="34" t="str">
        <x:v>32GB DDR5-6000 memory kit from CA retailer.</x:v>
      </x:c>
      <x:c r="L380" s="34" t="str">
        <x:v>https://www.newegg.ca/p/20-982-097</x:v>
      </x:c>
      <x:c r="M380" s="35" t="str">
        <x:v>https://www.newegg.ca/p/20-982-097</x:v>
      </x:c>
    </x:row>
    <x:row r="381">
      <x:c r="A381" s="33" t="str">
        <x:v>ram</x:v>
      </x:c>
      <x:c r="B381" s="34" t="str">
        <x:v>ca-newegg-ram-g-skill-flare-x5-32gb-2-x-16gb-288-pin-pc-ram-ddr5-6000-pc5-48000-desk</x:v>
      </x:c>
      <x:c r="C381" s="34" t="str">
        <x:v>G.SKILL Flare X5 32GB (2 x 16GB) 288-Pin PC RAM DDR5 6000 (PC5 48000) Desktop Memory Model F5-6000J3038F16GX2-FX5</x:v>
      </x:c>
      <x:c r="D381" s="34" t="str">
        <x:v>G.SKILL</x:v>
      </x:c>
      <x:c r="E381" s="82" t="n">
        <x:v>549.98</x:v>
      </x:c>
      <x:c r="F381" s="34" t="str">
        <x:v>USD</x:v>
      </x:c>
      <x:c r="G381" s="34" t="str">
        <x:v>retail</x:v>
      </x:c>
      <x:c r="H381" s="34" t="str">
        <x:v>2026-06-29</x:v>
      </x:c>
      <x:c r="I381" s="34" t="str">
        <x:v>memoryType=DDR5; capacityGb=32; speedMt=6000; sticks=2</x:v>
      </x:c>
      <x:c r="J381" s="34" t="str">
        <x:v>DDR5, 32GB, 6000MT/s, ca-retail</x:v>
      </x:c>
      <x:c r="K381" s="34" t="str">
        <x:v>32GB DDR5-6000 memory kit from CA retailer.</x:v>
      </x:c>
      <x:c r="L381" s="34" t="str">
        <x:v>https://www.newegg.ca/p/20-374-457</x:v>
      </x:c>
      <x:c r="M381" s="35" t="str">
        <x:v>https://www.newegg.ca/p/20-374-457</x:v>
      </x:c>
    </x:row>
    <x:row r="382">
      <x:c r="A382" s="33" t="str">
        <x:v>ram</x:v>
      </x:c>
      <x:c r="B382" s="34" t="str">
        <x:v>ca-newegg-ram-g-skill-trident-z5-rgb-series-32gb-2-x-16gb-288-pin-pc-ram-ddr5-6000-p-1</x:v>
      </x:c>
      <x:c r="C382" s="34" t="str">
        <x:v>G.SKILL Trident Z5 RGB Series 32GB (2 x 16GB) 288-Pin PC RAM DDR5 6000 (PC5 48000) Desktop Memory Model F5-6000J3238F16GX2-TZ5RK</x:v>
      </x:c>
      <x:c r="D382" s="34" t="str">
        <x:v>G.SKILL</x:v>
      </x:c>
      <x:c r="E382" s="82" t="n">
        <x:v>613.44</x:v>
      </x:c>
      <x:c r="F382" s="34" t="str">
        <x:v>USD</x:v>
      </x:c>
      <x:c r="G382" s="34" t="str">
        <x:v>retail</x:v>
      </x:c>
      <x:c r="H382" s="34" t="str">
        <x:v>2026-06-29</x:v>
      </x:c>
      <x:c r="I382" s="34" t="str">
        <x:v>memoryType=DDR5; capacityGb=32; speedMt=6000; sticks=2</x:v>
      </x:c>
      <x:c r="J382" s="34" t="str">
        <x:v>DDR5, 32GB, 6000MT/s, ca-retail, rgb</x:v>
      </x:c>
      <x:c r="K382" s="34" t="str">
        <x:v>32GB DDR5-6000 memory kit from CA retailer.</x:v>
      </x:c>
      <x:c r="L382" s="34" t="str">
        <x:v>https://www.newegg.ca/p/20-374-379</x:v>
      </x:c>
      <x:c r="M382" s="35" t="str">
        <x:v>https://www.newegg.ca/p/20-374-379</x:v>
      </x:c>
    </x:row>
    <x:row r="383">
      <x:c r="A383" s="33" t="str">
        <x:v>ram</x:v>
      </x:c>
      <x:c r="B383" s="34" t="str">
        <x:v>ca-newegg-ram-g-skill-flare-x5-32gb-2-x-16gb-288-pin-pc-ram-ddr5-6000-pc5-48000-desk-1</x:v>
      </x:c>
      <x:c r="C383" s="34" t="str">
        <x:v>G.SKILL Flare X5 32GB (2 x 16GB) 288-Pin PC RAM DDR5 6000 (PC5 48000) Desktop Memory Model F5-6000J3038F16GH2-FX5</x:v>
      </x:c>
      <x:c r="D383" s="34" t="str">
        <x:v>G.SKILL</x:v>
      </x:c>
      <x:c r="E383" s="82" t="n">
        <x:v>507.67</x:v>
      </x:c>
      <x:c r="F383" s="34" t="str">
        <x:v>USD</x:v>
      </x:c>
      <x:c r="G383" s="34" t="str">
        <x:v>retail</x:v>
      </x:c>
      <x:c r="H383" s="34" t="str">
        <x:v>2026-06-29</x:v>
      </x:c>
      <x:c r="I383" s="34" t="str">
        <x:v>memoryType=DDR5; capacityGb=32; speedMt=6000; sticks=2</x:v>
      </x:c>
      <x:c r="J383" s="34" t="str">
        <x:v>DDR5, 32GB, 6000MT/s, ca-retail</x:v>
      </x:c>
      <x:c r="K383" s="34" t="str">
        <x:v>32GB DDR5-6000 memory kit from CA retailer.</x:v>
      </x:c>
      <x:c r="L383" s="34" t="str">
        <x:v>https://www.newegg.ca/p/20-374-783</x:v>
      </x:c>
      <x:c r="M383" s="35" t="str">
        <x:v>https://www.newegg.ca/p/20-374-783</x:v>
      </x:c>
    </x:row>
    <x:row r="384">
      <x:c r="A384" s="33" t="str">
        <x:v>ram</x:v>
      </x:c>
      <x:c r="B384" s="34" t="str">
        <x:v>ca-newegg-ram-patriot-viper-venom-rgb-32gb-2-x-16gb-288-pin-pc-ram-ddr5-6000-pc5-480</x:v>
      </x:c>
      <x:c r="C384" s="34" t="str">
        <x:v>Patriot Viper Venom RGB 32GB (2 x 16GB) 288-Pin PC RAM DDR5 6000 (PC5 48000) Desktop Memory Model PVVR532G600C36K Compatible with AMD / Intel Gen14 Only</x:v>
      </x:c>
      <x:c r="D384" s="34" t="str">
        <x:v>Patriot Memory</x:v>
      </x:c>
      <x:c r="E384" s="82" t="n">
        <x:v>401.91</x:v>
      </x:c>
      <x:c r="F384" s="34" t="str">
        <x:v>USD</x:v>
      </x:c>
      <x:c r="G384" s="34" t="str">
        <x:v>retail</x:v>
      </x:c>
      <x:c r="H384" s="34" t="str">
        <x:v>2026-06-29</x:v>
      </x:c>
      <x:c r="I384" s="34" t="str">
        <x:v>memoryType=DDR5; capacityGb=32; speedMt=6000; sticks=2</x:v>
      </x:c>
      <x:c r="J384" s="34" t="str">
        <x:v>DDR5, 32GB, 6000MT/s, ca-retail, rgb</x:v>
      </x:c>
      <x:c r="K384" s="34" t="str">
        <x:v>32GB DDR5-6000 memory kit from CA retailer.</x:v>
      </x:c>
      <x:c r="L384" s="34" t="str">
        <x:v>https://www.newegg.ca/p/20-225-310</x:v>
      </x:c>
      <x:c r="M384" s="35" t="str">
        <x:v>https://www.newegg.ca/p/20-225-310</x:v>
      </x:c>
    </x:row>
    <x:row r="385">
      <x:c r="A385" s="33" t="str">
        <x:v>ram</x:v>
      </x:c>
      <x:c r="B385" s="34" t="str">
        <x:v>ca-newegg-ram-corsair-vengeance-32gb-2-x-16gb-ddr5-6000-pc5-48000-desktop-memory-mod</x:v>
      </x:c>
      <x:c r="C385" s="34" t="str">
        <x:v>CORSAIR Vengeance 32GB (2 x 16GB) DDR5 6000 (PC5 48000) Desktop Memory Model CMK32GX5M2E6000Z36</x:v>
      </x:c>
      <x:c r="D385" s="34" t="str">
        <x:v>Corsair</x:v>
      </x:c>
      <x:c r="E385" s="82" t="n">
        <x:v>401.91</x:v>
      </x:c>
      <x:c r="F385" s="34" t="str">
        <x:v>USD</x:v>
      </x:c>
      <x:c r="G385" s="34" t="str">
        <x:v>retail</x:v>
      </x:c>
      <x:c r="H385" s="34" t="str">
        <x:v>2026-06-29</x:v>
      </x:c>
      <x:c r="I385" s="34" t="str">
        <x:v>memoryType=DDR5; capacityGb=32; speedMt=6000; sticks=2</x:v>
      </x:c>
      <x:c r="J385" s="34" t="str">
        <x:v>DDR5, 32GB, 6000MT/s, ca-retail</x:v>
      </x:c>
      <x:c r="K385" s="34" t="str">
        <x:v>32GB DDR5-6000 memory kit from CA retailer.</x:v>
      </x:c>
      <x:c r="L385" s="34" t="str">
        <x:v>https://www.newegg.ca/p/20-982-114</x:v>
      </x:c>
      <x:c r="M385" s="35" t="str">
        <x:v>https://www.newegg.ca/p/20-982-114</x:v>
      </x:c>
    </x:row>
    <x:row r="386">
      <x:c r="A386" s="33" t="str">
        <x:v>ram</x:v>
      </x:c>
      <x:c r="B386" s="34" t="str">
        <x:v>ca-newegg-ram-g-skill-trident-z5-neo-rgb-series-amd-expo-32gb-2-x-16gb-288-pin-pc-ra-1</x:v>
      </x:c>
      <x:c r="C386" s="34" t="str">
        <x:v>G.SKILL Trident Z5 Neo RGB Series AMD EXPO 32GB (2 x 16GB) 288-Pin PC RAM DDR5 6000 (PC5 48000)  Desktop Memory Model F5-6000J3636F16GX2-TZ5NR</x:v>
      </x:c>
      <x:c r="D386" s="34" t="str">
        <x:v>G.SKILL</x:v>
      </x:c>
      <x:c r="E386" s="82" t="n">
        <x:v>514.72</x:v>
      </x:c>
      <x:c r="F386" s="34" t="str">
        <x:v>USD</x:v>
      </x:c>
      <x:c r="G386" s="34" t="str">
        <x:v>retail</x:v>
      </x:c>
      <x:c r="H386" s="34" t="str">
        <x:v>2026-06-29</x:v>
      </x:c>
      <x:c r="I386" s="34" t="str">
        <x:v>memoryType=DDR5; capacityGb=32; speedMt=6000; sticks=2</x:v>
      </x:c>
      <x:c r="J386" s="34" t="str">
        <x:v>DDR5, 32GB, 6000MT/s, ca-retail, rgb</x:v>
      </x:c>
      <x:c r="K386" s="34" t="str">
        <x:v>32GB DDR5-6000 memory kit from CA retailer.</x:v>
      </x:c>
      <x:c r="L386" s="34" t="str">
        <x:v>https://www.newegg.ca/p/20-374-429</x:v>
      </x:c>
      <x:c r="M386" s="35" t="str">
        <x:v>https://www.newegg.ca/p/20-374-429</x:v>
      </x:c>
    </x:row>
    <x:row r="387">
      <x:c r="A387" s="33" t="str">
        <x:v>ram</x:v>
      </x:c>
      <x:c r="B387" s="34" t="str">
        <x:v>ca-newegg-ram-corsair-vengeance-rgb-32gb-2-x-16gb-288-pin-pc-ram-ddr5-6000-pc5-48000-9</x:v>
      </x:c>
      <x:c r="C387" s="34" t="str">
        <x:v>CORSAIR Vengeance RGB 32GB (2 x 16GB) 288-Pin PC RAM DDR5 6000 (PC5 48000) Desktop Memory Model CMH32GX5M2E6000Z36</x:v>
      </x:c>
      <x:c r="D387" s="34" t="str">
        <x:v>Corsair</x:v>
      </x:c>
      <x:c r="E387" s="82" t="n">
        <x:v>423.06</x:v>
      </x:c>
      <x:c r="F387" s="34" t="str">
        <x:v>USD</x:v>
      </x:c>
      <x:c r="G387" s="34" t="str">
        <x:v>retail</x:v>
      </x:c>
      <x:c r="H387" s="34" t="str">
        <x:v>2026-06-29</x:v>
      </x:c>
      <x:c r="I387" s="34" t="str">
        <x:v>memoryType=DDR5; capacityGb=32; speedMt=6000; sticks=2</x:v>
      </x:c>
      <x:c r="J387" s="34" t="str">
        <x:v>DDR5, 32GB, 6000MT/s, ca-retail, rgb</x:v>
      </x:c>
      <x:c r="K387" s="34" t="str">
        <x:v>32GB DDR5-6000 memory kit from CA retailer.</x:v>
      </x:c>
      <x:c r="L387" s="34" t="str">
        <x:v>https://www.newegg.ca/p/20-982-113</x:v>
      </x:c>
      <x:c r="M387" s="35" t="str">
        <x:v>https://www.newegg.ca/p/20-982-113</x:v>
      </x:c>
    </x:row>
    <x:row r="388">
      <x:c r="A388" s="33" t="str">
        <x:v>ram</x:v>
      </x:c>
      <x:c r="B388" s="34" t="str">
        <x:v>ca-newegg-ram-corsair-dominator-titanium-32gb-2-x-16gb-ddr5-6000-pc5-48000-desktop-m-2</x:v>
      </x:c>
      <x:c r="C388" s="34" t="str">
        <x:v>CORSAIR Dominator Titanium 32GB (2 x 16GB) DDR5 6000 (PC5 48000) Desktop Memory Model CMP32GX5M2B6000Z30W</x:v>
      </x:c>
      <x:c r="D388" s="34" t="str">
        <x:v>Corsair</x:v>
      </x:c>
      <x:c r="E388" s="82" t="n">
        <x:v>622.61</x:v>
      </x:c>
      <x:c r="F388" s="34" t="str">
        <x:v>USD</x:v>
      </x:c>
      <x:c r="G388" s="34" t="str">
        <x:v>retail</x:v>
      </x:c>
      <x:c r="H388" s="34" t="str">
        <x:v>2026-06-29</x:v>
      </x:c>
      <x:c r="I388" s="34" t="str">
        <x:v>memoryType=DDR5; capacityGb=32; speedMt=6000; sticks=2</x:v>
      </x:c>
      <x:c r="J388" s="34" t="str">
        <x:v>DDR5, 32GB, 6000MT/s, ca-retail</x:v>
      </x:c>
      <x:c r="K388" s="34" t="str">
        <x:v>32GB DDR5-6000 memory kit from CA retailer.</x:v>
      </x:c>
      <x:c r="L388" s="34" t="str">
        <x:v>https://www.newegg.ca/p/20-982-258</x:v>
      </x:c>
      <x:c r="M388" s="35" t="str">
        <x:v>https://www.newegg.ca/p/20-982-258</x:v>
      </x:c>
    </x:row>
    <x:row r="389">
      <x:c r="A389" s="33" t="str">
        <x:v>ram</x:v>
      </x:c>
      <x:c r="B389" s="34" t="str">
        <x:v>ca-newegg-ram-corsair-vengeance-32gb-2-x-16gb-288-pin-pc-ram-ddr5-6000-pc5-48000-des-4</x:v>
      </x:c>
      <x:c r="C389" s="34" t="str">
        <x:v>CORSAIR Vengeance 32GB (2 x 16GB) 288-Pin PC RAM DDR5 6000 (PC5 48000) Desktop Memory Model CMK32GX5M2F6000Z36</x:v>
      </x:c>
      <x:c r="D389" s="34" t="str">
        <x:v>Corsair</x:v>
      </x:c>
      <x:c r="E389" s="82" t="n">
        <x:v>466.07</x:v>
      </x:c>
      <x:c r="F389" s="34" t="str">
        <x:v>USD</x:v>
      </x:c>
      <x:c r="G389" s="34" t="str">
        <x:v>retail</x:v>
      </x:c>
      <x:c r="H389" s="34" t="str">
        <x:v>2026-06-29</x:v>
      </x:c>
      <x:c r="I389" s="34" t="str">
        <x:v>memoryType=DDR5; capacityGb=32; speedMt=6000; sticks=2</x:v>
      </x:c>
      <x:c r="J389" s="34" t="str">
        <x:v>DDR5, 32GB, 6000MT/s, ca-retail</x:v>
      </x:c>
      <x:c r="K389" s="34" t="str">
        <x:v>32GB DDR5-6000 memory kit from CA retailer.</x:v>
      </x:c>
      <x:c r="L389" s="34" t="str">
        <x:v>https://www.newegg.ca/p/20-982-286</x:v>
      </x:c>
      <x:c r="M389" s="35" t="str">
        <x:v>https://www.newegg.ca/p/20-982-286</x:v>
      </x:c>
    </x:row>
    <x:row r="390">
      <x:c r="A390" s="33" t="str">
        <x:v>ram</x:v>
      </x:c>
      <x:c r="B390" s="34" t="str">
        <x:v>ca-newegg-ram-corsair-vengeance-rgb-32gb-2-x-16gb-288-pin-pc-ram-ddr5-6000-pc5-48000-10</x:v>
      </x:c>
      <x:c r="C390" s="34" t="str">
        <x:v>CORSAIR Vengeance RGB 32GB (2 x 16GB) 288-Pin PC RAM DDR5 6000 (PC5 48000) Desktop Memory Model CMH32GX5M2B6000C30</x:v>
      </x:c>
      <x:c r="D390" s="34" t="str">
        <x:v>Corsair</x:v>
      </x:c>
      <x:c r="E390" s="82" t="n">
        <x:v>588.05</x:v>
      </x:c>
      <x:c r="F390" s="34" t="str">
        <x:v>USD</x:v>
      </x:c>
      <x:c r="G390" s="34" t="str">
        <x:v>retail</x:v>
      </x:c>
      <x:c r="H390" s="34" t="str">
        <x:v>2026-06-29</x:v>
      </x:c>
      <x:c r="I390" s="34" t="str">
        <x:v>memoryType=DDR5; capacityGb=32; speedMt=6000; sticks=2</x:v>
      </x:c>
      <x:c r="J390" s="34" t="str">
        <x:v>DDR5, 32GB, 6000MT/s, ca-retail, rgb</x:v>
      </x:c>
      <x:c r="K390" s="34" t="str">
        <x:v>32GB DDR5-6000 memory kit from CA retailer.</x:v>
      </x:c>
      <x:c r="L390" s="34" t="str">
        <x:v>https://www.newegg.ca/p/20-982-008</x:v>
      </x:c>
      <x:c r="M390" s="35" t="str">
        <x:v>https://www.newegg.ca/p/20-982-008</x:v>
      </x:c>
    </x:row>
    <x:row r="391">
      <x:c r="A391" s="33" t="str">
        <x:v>ram</x:v>
      </x:c>
      <x:c r="B391" s="34" t="str">
        <x:v>ca-newegg-ram-corsair-dominator-titanium-64gb-2-x-32gb-ddr5-6000-pc5-48000-desktop-m-1</x:v>
      </x:c>
      <x:c r="C391" s="34" t="str">
        <x:v>CORSAIR Dominator Titanium 64GB (2 x 32GB) DDR5 6000 (PC5 48000) Desktop Memory Model CMP64GX5M2B6000Z30W</x:v>
      </x:c>
      <x:c r="D391" s="34" t="str">
        <x:v>Corsair</x:v>
      </x:c>
      <x:c r="E391" s="82" t="n">
        <x:v>1235.35</x:v>
      </x:c>
      <x:c r="F391" s="34" t="str">
        <x:v>USD</x:v>
      </x:c>
      <x:c r="G391" s="34" t="str">
        <x:v>retail</x:v>
      </x:c>
      <x:c r="H391" s="34" t="str">
        <x:v>2026-06-29</x:v>
      </x:c>
      <x:c r="I391" s="34" t="str">
        <x:v>memoryType=DDR5; capacityGb=64; speedMt=6000; sticks=2</x:v>
      </x:c>
      <x:c r="J391" s="34" t="str">
        <x:v>DDR5, 64GB, 6000MT/s, ca-retail</x:v>
      </x:c>
      <x:c r="K391" s="34" t="str">
        <x:v>64GB DDR5-6000 memory kit from CA retailer.</x:v>
      </x:c>
      <x:c r="L391" s="34" t="str">
        <x:v>https://www.newegg.ca/p/20-982-257</x:v>
      </x:c>
      <x:c r="M391" s="35" t="str">
        <x:v>https://www.newegg.ca/p/20-982-257</x:v>
      </x:c>
    </x:row>
    <x:row r="392">
      <x:c r="A392" s="33" t="str">
        <x:v>ram</x:v>
      </x:c>
      <x:c r="B392" s="34" t="str">
        <x:v>ca-newegg-ram-g-skill-trident-z5-rgb-series-32gb-2-x-16gb-288-pin-pc-ram-ddr5-6000-p-2</x:v>
      </x:c>
      <x:c r="C392" s="34" t="str">
        <x:v>G.SKILL Trident Z5 RGB Series 32GB (2 x 16GB) 288-Pin PC RAM DDR5 6000 (PC5 48000) Desktop Memory Model F5-6000J3636F16GX2-TZ5RS</x:v>
      </x:c>
      <x:c r="D392" s="34" t="str">
        <x:v>G.SKILL</x:v>
      </x:c>
      <x:c r="E392" s="82" t="n">
        <x:v>514.72</x:v>
      </x:c>
      <x:c r="F392" s="34" t="str">
        <x:v>USD</x:v>
      </x:c>
      <x:c r="G392" s="34" t="str">
        <x:v>retail</x:v>
      </x:c>
      <x:c r="H392" s="34" t="str">
        <x:v>2026-06-29</x:v>
      </x:c>
      <x:c r="I392" s="34" t="str">
        <x:v>memoryType=DDR5; capacityGb=32; speedMt=6000; sticks=2</x:v>
      </x:c>
      <x:c r="J392" s="34" t="str">
        <x:v>DDR5, 32GB, 6000MT/s, ca-retail, rgb</x:v>
      </x:c>
      <x:c r="K392" s="34" t="str">
        <x:v>32GB DDR5-6000 memory kit from CA retailer.</x:v>
      </x:c>
      <x:c r="L392" s="34" t="str">
        <x:v>https://www.newegg.ca/p/20-374-352</x:v>
      </x:c>
      <x:c r="M392" s="35" t="str">
        <x:v>https://www.newegg.ca/p/20-374-352</x:v>
      </x:c>
    </x:row>
    <x:row r="393">
      <x:c r="A393" s="33" t="str">
        <x:v>ram</x:v>
      </x:c>
      <x:c r="B393" s="34" t="str">
        <x:v>ca-newegg-ram-corsair-vengeance-rgb-64gb-2-x-32gb-288-pin-pc-ram-ddr5-6000-pc5-48000-2</x:v>
      </x:c>
      <x:c r="C393" s="34" t="str">
        <x:v>CORSAIR Vengeance RGB 64GB (2 x 32GB) 288-Pin PC RAM DDR5 6000 (PC5 48000) Desktop Memory Model CMH64GX5M2B6000C30W</x:v>
      </x:c>
      <x:c r="D393" s="34" t="str">
        <x:v>Corsair</x:v>
      </x:c>
      <x:c r="E393" s="82" t="n">
        <x:v>1181.05</x:v>
      </x:c>
      <x:c r="F393" s="34" t="str">
        <x:v>USD</x:v>
      </x:c>
      <x:c r="G393" s="34" t="str">
        <x:v>retail</x:v>
      </x:c>
      <x:c r="H393" s="34" t="str">
        <x:v>2026-06-29</x:v>
      </x:c>
      <x:c r="I393" s="34" t="str">
        <x:v>memoryType=DDR5; capacityGb=64; speedMt=6000; sticks=2</x:v>
      </x:c>
      <x:c r="J393" s="34" t="str">
        <x:v>DDR5, 64GB, 6000MT/s, ca-retail, rgb</x:v>
      </x:c>
      <x:c r="K393" s="34" t="str">
        <x:v>64GB DDR5-6000 memory kit from CA retailer.</x:v>
      </x:c>
      <x:c r="L393" s="34" t="str">
        <x:v>https://www.newegg.ca/p/20-982-049</x:v>
      </x:c>
      <x:c r="M393" s="35" t="str">
        <x:v>https://www.newegg.ca/p/20-982-049</x:v>
      </x:c>
    </x:row>
    <x:row r="394">
      <x:c r="A394" s="33" t="str">
        <x:v>ram</x:v>
      </x:c>
      <x:c r="B394" s="34" t="str">
        <x:v>ca-newegg-ram-crucial-pro-overclocking-32gb-2-x-16gb-ddr5-6000-pc5-48000-desktop-mem</x:v>
      </x:c>
      <x:c r="C394" s="34" t="str">
        <x:v>Crucial Pro Overclocking 32GB (2 x 16GB) DDR5 6000 (PC5 48000) Desktop Memory Model CP2K16G60C36U5B</x:v>
      </x:c>
      <x:c r="D394" s="34" t="str">
        <x:v>Crucial</x:v>
      </x:c>
      <x:c r="E394" s="82" t="n">
        <x:v>422.35</x:v>
      </x:c>
      <x:c r="F394" s="34" t="str">
        <x:v>USD</x:v>
      </x:c>
      <x:c r="G394" s="34" t="str">
        <x:v>retail</x:v>
      </x:c>
      <x:c r="H394" s="34" t="str">
        <x:v>2026-06-29</x:v>
      </x:c>
      <x:c r="I394" s="34" t="str">
        <x:v>memoryType=DDR5; capacityGb=32; speedMt=6000; sticks=2</x:v>
      </x:c>
      <x:c r="J394" s="34" t="str">
        <x:v>DDR5, 32GB, 6000MT/s, ca-retail</x:v>
      </x:c>
      <x:c r="K394" s="34" t="str">
        <x:v>32GB DDR5-6000 memory kit from CA retailer.</x:v>
      </x:c>
      <x:c r="L394" s="34" t="str">
        <x:v>https://www.newegg.ca/p/9SIBDHAKNH2380</x:v>
      </x:c>
      <x:c r="M394" s="35" t="str">
        <x:v>https://www.newegg.ca/p/9SIBDHAKNH2380</x:v>
      </x:c>
    </x:row>
    <x:row r="395">
      <x:c r="A395" s="33" t="str">
        <x:v>ram</x:v>
      </x:c>
      <x:c r="B395" s="34" t="str">
        <x:v>ca-newegg-ram-corsair-vengeance-rgb-32gb-2-x-16gb-288-pin-pc-ram-ddr5-6000-pc5-48000-11</x:v>
      </x:c>
      <x:c r="C395" s="34" t="str">
        <x:v>CORSAIR Vengeance RGB 32GB (2 x 16GB) 288-Pin PC RAM DDR5 6000 (PC5 48000) Desktop Memory Model CMH32GX5M2E6000Z36W</x:v>
      </x:c>
      <x:c r="D395" s="34" t="str">
        <x:v>Corsair</x:v>
      </x:c>
      <x:c r="E395" s="82" t="n">
        <x:v>472.41</x:v>
      </x:c>
      <x:c r="F395" s="34" t="str">
        <x:v>USD</x:v>
      </x:c>
      <x:c r="G395" s="34" t="str">
        <x:v>retail</x:v>
      </x:c>
      <x:c r="H395" s="34" t="str">
        <x:v>2026-06-29</x:v>
      </x:c>
      <x:c r="I395" s="34" t="str">
        <x:v>memoryType=DDR5; capacityGb=32; speedMt=6000; sticks=2</x:v>
      </x:c>
      <x:c r="J395" s="34" t="str">
        <x:v>DDR5, 32GB, 6000MT/s, ca-retail, rgb</x:v>
      </x:c>
      <x:c r="K395" s="34" t="str">
        <x:v>32GB DDR5-6000 memory kit from CA retailer.</x:v>
      </x:c>
      <x:c r="L395" s="34" t="str">
        <x:v>https://www.newegg.ca/p/20-982-237</x:v>
      </x:c>
      <x:c r="M395" s="35" t="str">
        <x:v>https://www.newegg.ca/p/20-982-237</x:v>
      </x:c>
    </x:row>
    <x:row r="396">
      <x:c r="A396" s="33" t="str">
        <x:v>ram</x:v>
      </x:c>
      <x:c r="B396" s="34" t="str">
        <x:v>ca-newegg-ram-g-skill-trident-z5-rgb-series-32gb-2-x-16gb-288-pin-pc-ram-ddr5-6000-p-3</x:v>
      </x:c>
      <x:c r="C396" s="34" t="str">
        <x:v>G.SKILL Trident Z5 RGB Series 32GB (2 x 16GB) 288-Pin PC RAM DDR5 6000 (PC5 48000) Desktop Memory Model F5-6000J3040F16GX2-TZ5RS</x:v>
      </x:c>
      <x:c r="D396" s="34" t="str">
        <x:v>G.SKILL</x:v>
      </x:c>
      <x:c r="E396" s="82" t="n">
        <x:v>613.44</x:v>
      </x:c>
      <x:c r="F396" s="34" t="str">
        <x:v>USD</x:v>
      </x:c>
      <x:c r="G396" s="34" t="str">
        <x:v>retail</x:v>
      </x:c>
      <x:c r="H396" s="34" t="str">
        <x:v>2026-06-29</x:v>
      </x:c>
      <x:c r="I396" s="34" t="str">
        <x:v>memoryType=DDR5; capacityGb=32; speedMt=6000; sticks=2</x:v>
      </x:c>
      <x:c r="J396" s="34" t="str">
        <x:v>DDR5, 32GB, 6000MT/s, ca-retail, rgb</x:v>
      </x:c>
      <x:c r="K396" s="34" t="str">
        <x:v>32GB DDR5-6000 memory kit from CA retailer.</x:v>
      </x:c>
      <x:c r="L396" s="34" t="str">
        <x:v>https://www.newegg.ca/p/20-374-378</x:v>
      </x:c>
      <x:c r="M396" s="35" t="str">
        <x:v>https://www.newegg.ca/p/20-374-378</x:v>
      </x:c>
    </x:row>
    <x:row r="397">
      <x:c r="A397" s="33" t="str">
        <x:v>ram</x:v>
      </x:c>
      <x:c r="B397" s="34" t="str">
        <x:v>ca-newegg-ram-team-t-create-expert-32gb-2-x-16gb-288-pin-pc-ram-ddr5-6000-pc5-48000-</x:v>
      </x:c>
      <x:c r="C397" s="34" t="str">
        <x:v>Team T-CREATE EXPERT 32GB (2 x 16GB) 288-Pin PC RAM DDR5 6000 (PC5 48000) Desktop Memory Model CTCED532G6000HC38GDC01</x:v>
      </x:c>
      <x:c r="D397" s="34" t="str">
        <x:v>Team Group</x:v>
      </x:c>
      <x:c r="E397" s="82" t="n">
        <x:v>472.41</x:v>
      </x:c>
      <x:c r="F397" s="34" t="str">
        <x:v>USD</x:v>
      </x:c>
      <x:c r="G397" s="34" t="str">
        <x:v>retail</x:v>
      </x:c>
      <x:c r="H397" s="34" t="str">
        <x:v>2026-06-29</x:v>
      </x:c>
      <x:c r="I397" s="34" t="str">
        <x:v>memoryType=DDR5; capacityGb=32; speedMt=6000; sticks=2</x:v>
      </x:c>
      <x:c r="J397" s="34" t="str">
        <x:v>DDR5, 32GB, 6000MT/s, ca-retail</x:v>
      </x:c>
      <x:c r="K397" s="34" t="str">
        <x:v>32GB DDR5-6000 memory kit from CA retailer.</x:v>
      </x:c>
      <x:c r="L397" s="34" t="str">
        <x:v>https://www.newegg.ca/p/20-985-241</x:v>
      </x:c>
      <x:c r="M397" s="35" t="str">
        <x:v>https://www.newegg.ca/p/20-985-241</x:v>
      </x:c>
    </x:row>
    <x:row r="398">
      <x:c r="A398" s="33" t="str">
        <x:v>ram</x:v>
      </x:c>
      <x:c r="B398" s="34" t="str">
        <x:v>ca-newegg-ram-team-t-force-delta-rgb-32gb-2-x-16gb-288-pin-pc-ram-ddr5-6000-pc5-4800-2</x:v>
      </x:c>
      <x:c r="C398" s="34" t="str">
        <x:v>Team T-Force Delta RGB 32GB (2 x 16GB) 288-Pin PC RAM DDR5 6000 (PC5 48000) Desktop Memory Model FF3D532G6000HC38ADC01</x:v>
      </x:c>
      <x:c r="D398" s="34" t="str">
        <x:v>Team Group</x:v>
      </x:c>
      <x:c r="E398" s="82" t="n">
        <x:v>486.52</x:v>
      </x:c>
      <x:c r="F398" s="34" t="str">
        <x:v>USD</x:v>
      </x:c>
      <x:c r="G398" s="34" t="str">
        <x:v>retail</x:v>
      </x:c>
      <x:c r="H398" s="34" t="str">
        <x:v>2026-06-29</x:v>
      </x:c>
      <x:c r="I398" s="34" t="str">
        <x:v>memoryType=DDR5; capacityGb=32; speedMt=6000; sticks=2</x:v>
      </x:c>
      <x:c r="J398" s="34" t="str">
        <x:v>DDR5, 32GB, 6000MT/s, ca-retail, rgb</x:v>
      </x:c>
      <x:c r="K398" s="34" t="str">
        <x:v>32GB DDR5-6000 memory kit from CA retailer.</x:v>
      </x:c>
      <x:c r="L398" s="34" t="str">
        <x:v>https://www.newegg.ca/p/20-331-748</x:v>
      </x:c>
      <x:c r="M398" s="35" t="str">
        <x:v>https://www.newegg.ca/p/20-331-748</x:v>
      </x:c>
    </x:row>
    <x:row r="399">
      <x:c r="A399" s="33" t="str">
        <x:v>ram</x:v>
      </x:c>
      <x:c r="B399" s="34" t="str">
        <x:v>ca-newegg-ram-corsair-vengeance-32gb-2-x-16gb-288-pin-pc-ram-ddr5-6000-pc5-48000-des-5</x:v>
      </x:c>
      <x:c r="C399" s="34" t="str">
        <x:v>CORSAIR Vengeance 32GB (2 x 16GB) 288-Pin PC RAM DDR5 6000 (PC5 48000) Desktop Memory Model CMK32GX5M2B6000Z38</x:v>
      </x:c>
      <x:c r="D399" s="34" t="str">
        <x:v>Corsair</x:v>
      </x:c>
      <x:c r="E399" s="82" t="n">
        <x:v>463.25</x:v>
      </x:c>
      <x:c r="F399" s="34" t="str">
        <x:v>USD</x:v>
      </x:c>
      <x:c r="G399" s="34" t="str">
        <x:v>retail</x:v>
      </x:c>
      <x:c r="H399" s="34" t="str">
        <x:v>2026-06-29</x:v>
      </x:c>
      <x:c r="I399" s="34" t="str">
        <x:v>memoryType=DDR5; capacityGb=32; speedMt=6000; sticks=2</x:v>
      </x:c>
      <x:c r="J399" s="34" t="str">
        <x:v>DDR5, 32GB, 6000MT/s, ca-retail</x:v>
      </x:c>
      <x:c r="K399" s="34" t="str">
        <x:v>32GB DDR5-6000 memory kit from CA retailer.</x:v>
      </x:c>
      <x:c r="L399" s="34" t="str">
        <x:v>https://www.newegg.ca/p/20-982-307</x:v>
      </x:c>
      <x:c r="M399" s="35" t="str">
        <x:v>https://www.newegg.ca/p/20-982-307</x:v>
      </x:c>
    </x:row>
    <x:row r="400">
      <x:c r="A400" s="33" t="str">
        <x:v>ram</x:v>
      </x:c>
      <x:c r="B400" s="34" t="str">
        <x:v>ca-newegg-ram-g-skill-trident-z5-neo-series-amd-expo-32gb-2-x-16gb-288-pin-pc-ram-dd-1</x:v>
      </x:c>
      <x:c r="C400" s="34" t="str">
        <x:v>G.SKILL Trident Z5 Neo Series AMD EXPO 32GB (2 x 16GB) 288-Pin PC RAM DDR5 6000 (PC5 48000) Desktop Memory Model F5-6000J3636F16GX2-TZ5N</x:v>
      </x:c>
      <x:c r="D400" s="34" t="str">
        <x:v>G.SKILL</x:v>
      </x:c>
      <x:c r="E400" s="82" t="n">
        <x:v>514.72</x:v>
      </x:c>
      <x:c r="F400" s="34" t="str">
        <x:v>USD</x:v>
      </x:c>
      <x:c r="G400" s="34" t="str">
        <x:v>retail</x:v>
      </x:c>
      <x:c r="H400" s="34" t="str">
        <x:v>2026-06-29</x:v>
      </x:c>
      <x:c r="I400" s="34" t="str">
        <x:v>memoryType=DDR5; capacityGb=32; speedMt=6000; sticks=2</x:v>
      </x:c>
      <x:c r="J400" s="34" t="str">
        <x:v>DDR5, 32GB, 6000MT/s, ca-retail</x:v>
      </x:c>
      <x:c r="K400" s="34" t="str">
        <x:v>32GB DDR5-6000 memory kit from CA retailer.</x:v>
      </x:c>
      <x:c r="L400" s="34" t="str">
        <x:v>https://www.newegg.ca/p/20-374-424</x:v>
      </x:c>
      <x:c r="M400" s="35" t="str">
        <x:v>https://www.newegg.ca/p/20-374-424</x:v>
      </x:c>
    </x:row>
    <x:row r="401">
      <x:c r="A401" s="33" t="str">
        <x:v>ram</x:v>
      </x:c>
      <x:c r="B401" s="34" t="str">
        <x:v>ca-newegg-ram-g-skill-trident-z5-neo-rgb-series-amd-expo-32gb-2-x-16gb-288-pin-pc-ra-2</x:v>
      </x:c>
      <x:c r="C401" s="34" t="str">
        <x:v>G.SKILL Trident Z5 Neo RGB Series AMD EXPO 32GB (2 x 16GB) 288-Pin PC RAM DDR5 6000 (PC5 48000) Desktop Memory Model F5-6000J3038F16GH2-TZ5NR</x:v>
      </x:c>
      <x:c r="D401" s="34" t="str">
        <x:v>G.SKILL</x:v>
      </x:c>
      <x:c r="E401" s="82" t="n">
        <x:v>549.97</x:v>
      </x:c>
      <x:c r="F401" s="34" t="str">
        <x:v>USD</x:v>
      </x:c>
      <x:c r="G401" s="34" t="str">
        <x:v>retail</x:v>
      </x:c>
      <x:c r="H401" s="34" t="str">
        <x:v>2026-06-29</x:v>
      </x:c>
      <x:c r="I401" s="34" t="str">
        <x:v>memoryType=DDR5; capacityGb=32; speedMt=6000; sticks=2</x:v>
      </x:c>
      <x:c r="J401" s="34" t="str">
        <x:v>DDR5, 32GB, 6000MT/s, ca-retail, rgb</x:v>
      </x:c>
      <x:c r="K401" s="34" t="str">
        <x:v>32GB DDR5-6000 memory kit from CA retailer.</x:v>
      </x:c>
      <x:c r="L401" s="34" t="str">
        <x:v>https://www.newegg.ca/p/20-374-802</x:v>
      </x:c>
      <x:c r="M401" s="35" t="str">
        <x:v>https://www.newegg.ca/p/20-374-802</x:v>
      </x:c>
    </x:row>
    <x:row r="402">
      <x:c r="A402" s="33" t="str">
        <x:v>ram</x:v>
      </x:c>
      <x:c r="B402" s="34" t="str">
        <x:v>ca-newegg-ram-g-skill-trident-z5-royal-neo-series-32gb-2-x-16gb-288-pin-pc-ram-ddr5-</x:v>
      </x:c>
      <x:c r="C402" s="34" t="str">
        <x:v>G.SKILL Trident Z5 Royal Neo Series 32GB (2 x 16GB) 288-Pin PC RAM DDR5 6000 (PC5 48000) Desktop Memory Model F5-6000J2836G16GX2-TR5NS</x:v>
      </x:c>
      <x:c r="D402" s="34" t="str">
        <x:v>G.SKILL</x:v>
      </x:c>
      <x:c r="E402" s="82" t="n">
        <x:v>606.39</x:v>
      </x:c>
      <x:c r="F402" s="34" t="str">
        <x:v>USD</x:v>
      </x:c>
      <x:c r="G402" s="34" t="str">
        <x:v>retail</x:v>
      </x:c>
      <x:c r="H402" s="34" t="str">
        <x:v>2026-06-29</x:v>
      </x:c>
      <x:c r="I402" s="34" t="str">
        <x:v>memoryType=DDR5; capacityGb=32; speedMt=6000; sticks=2</x:v>
      </x:c>
      <x:c r="J402" s="34" t="str">
        <x:v>DDR5, 32GB, 6000MT/s, ca-retail</x:v>
      </x:c>
      <x:c r="K402" s="34" t="str">
        <x:v>32GB DDR5-6000 memory kit from CA retailer.</x:v>
      </x:c>
      <x:c r="L402" s="34" t="str">
        <x:v>https://www.newegg.ca/p/20-374-614</x:v>
      </x:c>
      <x:c r="M402" s="35" t="str">
        <x:v>https://www.newegg.ca/p/20-374-614</x:v>
      </x:c>
    </x:row>
    <x:row r="403">
      <x:c r="A403" s="33" t="str">
        <x:v>ram</x:v>
      </x:c>
      <x:c r="B403" s="34" t="str">
        <x:v>ca-newegg-ram-team-t-force-delta-rgb-32gb-2-x-16gb-288-pin-pc-ram-ddr5-6000-pc5-4800-3</x:v>
      </x:c>
      <x:c r="C403" s="34" t="str">
        <x:v>Team T-Force Delta RGB 32GB (2 x 16GB) 288-Pin PC RAM DDR5 6000 (PC5 48000) Desktop Memory Model FF4D532G6000HC38JDC01</x:v>
      </x:c>
      <x:c r="D403" s="34" t="str">
        <x:v>Team Group</x:v>
      </x:c>
      <x:c r="E403" s="82" t="n">
        <x:v>451.26</x:v>
      </x:c>
      <x:c r="F403" s="34" t="str">
        <x:v>USD</x:v>
      </x:c>
      <x:c r="G403" s="34" t="str">
        <x:v>retail</x:v>
      </x:c>
      <x:c r="H403" s="34" t="str">
        <x:v>2026-06-29</x:v>
      </x:c>
      <x:c r="I403" s="34" t="str">
        <x:v>memoryType=DDR5; capacityGb=32; speedMt=6000; sticks=2</x:v>
      </x:c>
      <x:c r="J403" s="34" t="str">
        <x:v>DDR5, 32GB, 6000MT/s, ca-retail, rgb</x:v>
      </x:c>
      <x:c r="K403" s="34" t="str">
        <x:v>32GB DDR5-6000 memory kit from CA retailer.</x:v>
      </x:c>
      <x:c r="L403" s="34" t="str">
        <x:v>https://www.newegg.ca/p/20-985-222</x:v>
      </x:c>
      <x:c r="M403" s="35" t="str">
        <x:v>https://www.newegg.ca/p/20-985-222</x:v>
      </x:c>
    </x:row>
    <x:row r="404">
      <x:c r="A404" s="33" t="str">
        <x:v>ram</x:v>
      </x:c>
      <x:c r="B404" s="34" t="str">
        <x:v>ca-newegg-ram-corsair-dominator-titanium-64gb-2-x-32gb-ddr5-6000-pc5-48000-desktop-m-2</x:v>
      </x:c>
      <x:c r="C404" s="34" t="str">
        <x:v>CORSAIR Dominator Titanium 64GB (2 x 32GB) DDR5 6000 (PC5 48000) Desktop Memory Model CMP64GX5M2B6000C30W</x:v>
      </x:c>
      <x:c r="D404" s="34" t="str">
        <x:v>Corsair</x:v>
      </x:c>
      <x:c r="E404" s="82" t="n">
        <x:v>1235.35</x:v>
      </x:c>
      <x:c r="F404" s="34" t="str">
        <x:v>USD</x:v>
      </x:c>
      <x:c r="G404" s="34" t="str">
        <x:v>retail</x:v>
      </x:c>
      <x:c r="H404" s="34" t="str">
        <x:v>2026-06-29</x:v>
      </x:c>
      <x:c r="I404" s="34" t="str">
        <x:v>memoryType=DDR5; capacityGb=64; speedMt=6000; sticks=2</x:v>
      </x:c>
      <x:c r="J404" s="34" t="str">
        <x:v>DDR5, 64GB, 6000MT/s, ca-retail</x:v>
      </x:c>
      <x:c r="K404" s="34" t="str">
        <x:v>64GB DDR5-6000 memory kit from CA retailer.</x:v>
      </x:c>
      <x:c r="L404" s="34" t="str">
        <x:v>https://www.newegg.ca/p/20-982-093</x:v>
      </x:c>
      <x:c r="M404" s="35" t="str">
        <x:v>https://www.newegg.ca/p/20-982-093</x:v>
      </x:c>
    </x:row>
    <x:row r="405">
      <x:c r="A405" s="33" t="str">
        <x:v>ram</x:v>
      </x:c>
      <x:c r="B405" s="34" t="str">
        <x:v>ca-newegg-ram-corsair-vengeance-rgb-32gb-2-x-16gb-288-pin-pc-ram-ddr5-6000-pc5-48000-12</x:v>
      </x:c>
      <x:c r="C405" s="34" t="str">
        <x:v>CORSAIR Vengeance RGB 32GB (2 x 16GB) 288-Pin PC RAM DDR5 6000 (PC5 48000) Desktop Memory Model CMH32GX5M2B6000C30W</x:v>
      </x:c>
      <x:c r="D405" s="34" t="str">
        <x:v>Corsair</x:v>
      </x:c>
      <x:c r="E405" s="82" t="n">
        <x:v>588.05</x:v>
      </x:c>
      <x:c r="F405" s="34" t="str">
        <x:v>USD</x:v>
      </x:c>
      <x:c r="G405" s="34" t="str">
        <x:v>retail</x:v>
      </x:c>
      <x:c r="H405" s="34" t="str">
        <x:v>2026-06-29</x:v>
      </x:c>
      <x:c r="I405" s="34" t="str">
        <x:v>memoryType=DDR5; capacityGb=32; speedMt=6000; sticks=2</x:v>
      </x:c>
      <x:c r="J405" s="34" t="str">
        <x:v>DDR5, 32GB, 6000MT/s, ca-retail, rgb</x:v>
      </x:c>
      <x:c r="K405" s="34" t="str">
        <x:v>32GB DDR5-6000 memory kit from CA retailer.</x:v>
      </x:c>
      <x:c r="L405" s="34" t="str">
        <x:v>https://www.newegg.ca/p/20-982-045</x:v>
      </x:c>
      <x:c r="M405" s="35" t="str">
        <x:v>https://www.newegg.ca/p/20-982-045</x:v>
      </x:c>
    </x:row>
    <x:row r="406">
      <x:c r="A406" s="33" t="str">
        <x:v>ram</x:v>
      </x:c>
      <x:c r="B406" s="34" t="str">
        <x:v>ca-newegg-ram-team-t-force-delta-rgb-32gb-2-x-16gb-288-pin-pc-ram-ddr5-6000-pc5-4800-4</x:v>
      </x:c>
      <x:c r="C406" s="34" t="str">
        <x:v>Team T-Force Delta RGB 32GB (2 x 16GB) 288-Pin PC RAM DDR5 6000 (PC5 48000) Desktop Memory Model FF3D532G6000HC38JDC01</x:v>
      </x:c>
      <x:c r="D406" s="34" t="str">
        <x:v>Team Group</x:v>
      </x:c>
      <x:c r="E406" s="82" t="n">
        <x:v>451.26</x:v>
      </x:c>
      <x:c r="F406" s="34" t="str">
        <x:v>USD</x:v>
      </x:c>
      <x:c r="G406" s="34" t="str">
        <x:v>retail</x:v>
      </x:c>
      <x:c r="H406" s="34" t="str">
        <x:v>2026-06-29</x:v>
      </x:c>
      <x:c r="I406" s="34" t="str">
        <x:v>memoryType=DDR5; capacityGb=32; speedMt=6000; sticks=2</x:v>
      </x:c>
      <x:c r="J406" s="34" t="str">
        <x:v>DDR5, 32GB, 6000MT/s, ca-retail, rgb</x:v>
      </x:c>
      <x:c r="K406" s="34" t="str">
        <x:v>32GB DDR5-6000 memory kit from CA retailer.</x:v>
      </x:c>
      <x:c r="L406" s="34" t="str">
        <x:v>https://www.newegg.ca/p/20-985-218</x:v>
      </x:c>
      <x:c r="M406" s="35" t="str">
        <x:v>https://www.newegg.ca/p/20-985-218</x:v>
      </x:c>
    </x:row>
    <x:row r="407">
      <x:c r="A407" s="33" t="str">
        <x:v>ram</x:v>
      </x:c>
      <x:c r="B407" s="34" t="str">
        <x:v>ca-newegg-ram-corsair-dominator-platinum-rgb-64gb-2-x-32gb-ddr5-6000-pc5-48000-deskt</x:v>
      </x:c>
      <x:c r="C407" s="34" t="str">
        <x:v>CORSAIR Dominator Platinum RGB 64GB (2 x 32GB) DDR5 6000 (PC5 48000) Desktop Memory Model CMT64GX5M2B6000Z30</x:v>
      </x:c>
      <x:c r="D407" s="34" t="str">
        <x:v>Corsair</x:v>
      </x:c>
      <x:c r="E407" s="82" t="n">
        <x:v>1194.45</x:v>
      </x:c>
      <x:c r="F407" s="34" t="str">
        <x:v>USD</x:v>
      </x:c>
      <x:c r="G407" s="34" t="str">
        <x:v>retail</x:v>
      </x:c>
      <x:c r="H407" s="34" t="str">
        <x:v>2026-06-29</x:v>
      </x:c>
      <x:c r="I407" s="34" t="str">
        <x:v>memoryType=DDR5; capacityGb=64; speedMt=6000; sticks=2</x:v>
      </x:c>
      <x:c r="J407" s="34" t="str">
        <x:v>DDR5, 64GB, 6000MT/s, ca-retail, rgb</x:v>
      </x:c>
      <x:c r="K407" s="34" t="str">
        <x:v>64GB DDR5-6000 memory kit from CA retailer.</x:v>
      </x:c>
      <x:c r="L407" s="34" t="str">
        <x:v>https://www.newegg.ca/p/20-982-026</x:v>
      </x:c>
      <x:c r="M407" s="35" t="str">
        <x:v>https://www.newegg.ca/p/20-982-026</x:v>
      </x:c>
    </x:row>
    <x:row r="408">
      <x:c r="A408" s="33" t="str">
        <x:v>ram</x:v>
      </x:c>
      <x:c r="B408" s="34" t="str">
        <x:v>ca-newegg-ram-patriot-viper-elite-5-ultra-32gb-2-x-16gb-288-pin-pc-ram-ddr5-6000-pc5</x:v>
      </x:c>
      <x:c r="C408" s="34" t="str">
        <x:v>Patriot Viper Elite 5 Ultra 32GB (2 x 16GB) 288-Pin PC RAM DDR5 6000 (PC5 48000) Desktop Memory Model VEUR532G6028K</x:v>
      </x:c>
      <x:c r="D408" s="34" t="str">
        <x:v>Patriot Memory</x:v>
      </x:c>
      <x:c r="E408" s="82" t="n">
        <x:v>493.57</x:v>
      </x:c>
      <x:c r="F408" s="34" t="str">
        <x:v>USD</x:v>
      </x:c>
      <x:c r="G408" s="34" t="str">
        <x:v>retail</x:v>
      </x:c>
      <x:c r="H408" s="34" t="str">
        <x:v>2026-06-29</x:v>
      </x:c>
      <x:c r="I408" s="34" t="str">
        <x:v>memoryType=DDR5; capacityGb=32; speedMt=6000; sticks=2</x:v>
      </x:c>
      <x:c r="J408" s="34" t="str">
        <x:v>DDR5, 32GB, 6000MT/s, ca-retail</x:v>
      </x:c>
      <x:c r="K408" s="34" t="str">
        <x:v>32GB DDR5-6000 memory kit from CA retailer.</x:v>
      </x:c>
      <x:c r="L408" s="34" t="str">
        <x:v>https://www.newegg.ca/p/20-225-348</x:v>
      </x:c>
      <x:c r="M408" s="35" t="str">
        <x:v>https://www.newegg.ca/p/20-225-348</x:v>
      </x:c>
    </x:row>
    <x:row r="409">
      <x:c r="A409" s="33" t="str">
        <x:v>ram</x:v>
      </x:c>
      <x:c r="B409" s="34" t="str">
        <x:v>ca-newegg-ram-corsair-vengeance-rgb-32gb-2-x-16gb-288-pin-pc-ram-ddr5-6000-pc5-48000-13</x:v>
      </x:c>
      <x:c r="C409" s="34" t="str">
        <x:v>CORSAIR Vengeance RGB 32GB (2 x 16GB) 288-Pin PC RAM DDR5 6000 (PC5 48000) Desktop Memory Model CMH32GX5M2B6000C28</x:v>
      </x:c>
      <x:c r="D409" s="34" t="str">
        <x:v>Corsair</x:v>
      </x:c>
      <x:c r="E409" s="82" t="n">
        <x:v>604.27</x:v>
      </x:c>
      <x:c r="F409" s="34" t="str">
        <x:v>USD</x:v>
      </x:c>
      <x:c r="G409" s="34" t="str">
        <x:v>retail</x:v>
      </x:c>
      <x:c r="H409" s="34" t="str">
        <x:v>2026-06-29</x:v>
      </x:c>
      <x:c r="I409" s="34" t="str">
        <x:v>memoryType=DDR5; capacityGb=32; speedMt=6000; sticks=2</x:v>
      </x:c>
      <x:c r="J409" s="34" t="str">
        <x:v>DDR5, 32GB, 6000MT/s, ca-retail, rgb</x:v>
      </x:c>
      <x:c r="K409" s="34" t="str">
        <x:v>32GB DDR5-6000 memory kit from CA retailer.</x:v>
      </x:c>
      <x:c r="L409" s="34" t="str">
        <x:v>https://www.newegg.ca/p/20-982-209</x:v>
      </x:c>
      <x:c r="M409" s="35" t="str">
        <x:v>https://www.newegg.ca/p/20-982-209</x:v>
      </x:c>
    </x:row>
    <x:row r="410">
      <x:c r="A410" s="33" t="str">
        <x:v>ram</x:v>
      </x:c>
      <x:c r="B410" s="34" t="str">
        <x:v>ca-canadacomputers-ram-teamgroup-t-force-vulcan-32gb-2x16gb-ddr5-6000mhz-cl30-udimm</x:v>
      </x:c>
      <x:c r="C410" s="34" t="str">
        <x:v>TEAMGROUP T-FORCE VULCAN 32GB (2x16GB) DDR5 6000MHz CL30 UDIMM</x:v>
      </x:c>
      <x:c r="D410" s="34" t="str">
        <x:v>TEAMGROUP</x:v>
      </x:c>
      <x:c r="E410" s="82" t="n">
        <x:v>486.52</x:v>
      </x:c>
      <x:c r="F410" s="34" t="str">
        <x:v>USD</x:v>
      </x:c>
      <x:c r="G410" s="34" t="str">
        <x:v>retail</x:v>
      </x:c>
      <x:c r="H410" s="34" t="str">
        <x:v>2026-06-29</x:v>
      </x:c>
      <x:c r="I410" s="34" t="str">
        <x:v>memoryType=DDR5; capacityGb=32; speedMt=6000; sticks=2</x:v>
      </x:c>
      <x:c r="J410" s="34" t="str">
        <x:v>DDR5, 32GB, 6000MT/s, ca-retail</x:v>
      </x:c>
      <x:c r="K410" s="34" t="str">
        <x:v>32GB DDR5-6000 memory kit from CA retailer.</x:v>
      </x:c>
      <x:c r="L410" s="34" t="str">
        <x:v>https://www.canadacomputers.com/en/desktop-memory/246328/teamgroup-t-force-vulcan-32gb-2x16gb-ddr5-6000mhz-cl30-udimm-flbd532g6000hc30dc01.html</x:v>
      </x:c>
      <x:c r="M410" s="35" t="str">
        <x:v>https://www.canadacomputers.com/en/desktop-memory/246328/teamgroup-t-force-vulcan-32gb-2x16gb-ddr5-6000mhz-cl30-udimm-flbd532g6000hc30dc01.html</x:v>
      </x:c>
    </x:row>
    <x:row r="411">
      <x:c r="A411" s="33" t="str">
        <x:v>ram</x:v>
      </x:c>
      <x:c r="B411" s="34" t="str">
        <x:v>ca-canadacomputers-ram-corsair-vengeance-rgb-32gb-2x16gb-ddr5-6000mhz-cl36-udimm</x:v>
      </x:c>
      <x:c r="C411" s="34" t="str">
        <x:v>CORSAIR VENGEANCE RGB 32GB (2x16GB) DDR5 6000MHz CL36 UDIMM</x:v>
      </x:c>
      <x:c r="D411" s="34" t="str">
        <x:v>CORSAIR</x:v>
      </x:c>
      <x:c r="E411" s="82" t="n">
        <x:v>423.06</x:v>
      </x:c>
      <x:c r="F411" s="34" t="str">
        <x:v>USD</x:v>
      </x:c>
      <x:c r="G411" s="34" t="str">
        <x:v>retail</x:v>
      </x:c>
      <x:c r="H411" s="34" t="str">
        <x:v>2026-06-29</x:v>
      </x:c>
      <x:c r="I411" s="34" t="str">
        <x:v>memoryType=DDR5; capacityGb=32; speedMt=6000; sticks=2</x:v>
      </x:c>
      <x:c r="J411" s="34" t="str">
        <x:v>DDR5, 32GB, 6000MT/s, ca-retail, rgb</x:v>
      </x:c>
      <x:c r="K411" s="34" t="str">
        <x:v>32GB DDR5-6000 memory kit from CA retailer.</x:v>
      </x:c>
      <x:c r="L411" s="34" t="str">
        <x:v>https://www.canadacomputers.com/en/desktop-memory/255807/corsair-vengeance-rgb-32gb-2x16gb-ddr5-6000mhz-cl36-udimm-cmh32gx5m2e6000z36.html</x:v>
      </x:c>
      <x:c r="M411" s="35" t="str">
        <x:v>https://www.canadacomputers.com/en/desktop-memory/255807/corsair-vengeance-rgb-32gb-2x16gb-ddr5-6000mhz-cl36-udimm-cmh32gx5m2e6000z36.html</x:v>
      </x:c>
    </x:row>
    <x:row r="412">
      <x:c r="A412" s="33" t="str">
        <x:v>ram</x:v>
      </x:c>
      <x:c r="B412" s="34" t="str">
        <x:v>ca-canadacomputers-ram-g-skill-trident-z5-neo-rgb-32gb-2x16gb-ddr5-6000mhz-cl30-udimm</x:v>
      </x:c>
      <x:c r="C412" s="34" t="str">
        <x:v>G.SKILL Trident Z5 Neo RGB 32GB (2x16GB) DDR5 6000MHz CL30 UDIMM</x:v>
      </x:c>
      <x:c r="D412" s="34" t="str">
        <x:v>G.SKILL</x:v>
      </x:c>
      <x:c r="E412" s="82" t="n">
        <x:v>553.5</x:v>
      </x:c>
      <x:c r="F412" s="34" t="str">
        <x:v>USD</x:v>
      </x:c>
      <x:c r="G412" s="34" t="str">
        <x:v>retail</x:v>
      </x:c>
      <x:c r="H412" s="34" t="str">
        <x:v>2026-06-29</x:v>
      </x:c>
      <x:c r="I412" s="34" t="str">
        <x:v>memoryType=DDR5; capacityGb=32; speedMt=6000; sticks=2</x:v>
      </x:c>
      <x:c r="J412" s="34" t="str">
        <x:v>DDR5, 32GB, 6000MT/s, ca-retail, rgb</x:v>
      </x:c>
      <x:c r="K412" s="34" t="str">
        <x:v>32GB DDR5-6000 memory kit from CA retailer.</x:v>
      </x:c>
      <x:c r="L412" s="34" t="str">
        <x:v>https://www.canadacomputers.com/en/desktop-memory/227127/g-skill-trident-z5-neo-rgb-32gb-2x16gb-ddr5-6000mhz-cl30-udimm-f5-6000j3038f16gx2-tz5nr.html</x:v>
      </x:c>
      <x:c r="M412" s="35" t="str">
        <x:v>https://www.canadacomputers.com/en/desktop-memory/227127/g-skill-trident-z5-neo-rgb-32gb-2x16gb-ddr5-6000mhz-cl30-udimm-f5-6000j3038f16gx2-tz5nr.html</x:v>
      </x:c>
    </x:row>
    <x:row r="413">
      <x:c r="A413" s="33" t="str">
        <x:v>ram</x:v>
      </x:c>
      <x:c r="B413" s="34" t="str">
        <x:v>ca-canadacomputers-ram-corsair-vengeance-rgb-64gb-2x32gb-ddr5-6000mhz-cl30-udimm</x:v>
      </x:c>
      <x:c r="C413" s="34" t="str">
        <x:v>CORSAIR VENGEANCE RGB 64GB (2x32GB) DDR5 6000MHz CL30 UDIMM</x:v>
      </x:c>
      <x:c r="D413" s="34" t="str">
        <x:v>CORSAIR</x:v>
      </x:c>
      <x:c r="E413" s="82" t="n">
        <x:v>1173.3</x:v>
      </x:c>
      <x:c r="F413" s="34" t="str">
        <x:v>USD</x:v>
      </x:c>
      <x:c r="G413" s="34" t="str">
        <x:v>retail</x:v>
      </x:c>
      <x:c r="H413" s="34" t="str">
        <x:v>2026-06-29</x:v>
      </x:c>
      <x:c r="I413" s="34" t="str">
        <x:v>memoryType=DDR5; capacityGb=64; speedMt=6000; sticks=2</x:v>
      </x:c>
      <x:c r="J413" s="34" t="str">
        <x:v>DDR5, 64GB, 6000MT/s, ca-retail, rgb</x:v>
      </x:c>
      <x:c r="K413" s="34" t="str">
        <x:v>64GB DDR5-6000 memory kit from CA retailer.</x:v>
      </x:c>
      <x:c r="L413" s="34" t="str">
        <x:v>https://www.canadacomputers.com/en/desktop-memory/255811/corsair-vengeance-rgb-64gb-2x32gb-ddr5-6000mhz-cl30-udimm-cmh64gx5m2b6000z30.html</x:v>
      </x:c>
      <x:c r="M413" s="35" t="str">
        <x:v>https://www.canadacomputers.com/en/desktop-memory/255811/corsair-vengeance-rgb-64gb-2x32gb-ddr5-6000mhz-cl30-udimm-cmh64gx5m2b6000z30.html</x:v>
      </x:c>
    </x:row>
    <x:row r="414">
      <x:c r="A414" s="33" t="str">
        <x:v>ram</x:v>
      </x:c>
      <x:c r="B414" s="34" t="str">
        <x:v>ca-canadacomputers-ram-g-skill-trident-z5-neo-rgb-64gb-2x32gb-ddr5-6000mhz-cl30-udimm</x:v>
      </x:c>
      <x:c r="C414" s="34" t="str">
        <x:v>G.SKILL Trident Z5 Neo RGB 64GB (2x32GB) DDR5 6000MHz CL30 UDIMM</x:v>
      </x:c>
      <x:c r="D414" s="34" t="str">
        <x:v>G.SKILL</x:v>
      </x:c>
      <x:c r="E414" s="82" t="n">
        <x:v>1080.93</x:v>
      </x:c>
      <x:c r="F414" s="34" t="str">
        <x:v>USD</x:v>
      </x:c>
      <x:c r="G414" s="34" t="str">
        <x:v>retail</x:v>
      </x:c>
      <x:c r="H414" s="34" t="str">
        <x:v>2026-06-29</x:v>
      </x:c>
      <x:c r="I414" s="34" t="str">
        <x:v>memoryType=DDR5; capacityGb=64; speedMt=6000; sticks=2</x:v>
      </x:c>
      <x:c r="J414" s="34" t="str">
        <x:v>DDR5, 64GB, 6000MT/s, ca-retail, rgb</x:v>
      </x:c>
      <x:c r="K414" s="34" t="str">
        <x:v>64GB DDR5-6000 memory kit from CA retailer.</x:v>
      </x:c>
      <x:c r="L414" s="34" t="str">
        <x:v>https://www.canadacomputers.com/en/desktop-memory/231617/g-skill-trident-z5-neo-rgb-64gb-2x32gb-ddr5-6000mhz-cl30-udimm-f5-6000j3040g32gx2-tz5nr.html</x:v>
      </x:c>
      <x:c r="M414" s="35" t="str">
        <x:v>https://www.canadacomputers.com/en/desktop-memory/231617/g-skill-trident-z5-neo-rgb-64gb-2x32gb-ddr5-6000mhz-cl30-udimm-f5-6000j3040g32gx2-tz5nr.html</x:v>
      </x:c>
    </x:row>
    <x:row r="415">
      <x:c r="A415" s="33" t="str">
        <x:v>ram</x:v>
      </x:c>
      <x:c r="B415" s="34" t="str">
        <x:v>ca-canadacomputers-ram-kingston-fury-beast-64gb-2x32gb-ddr5-6000mhz-cl30-udimm</x:v>
      </x:c>
      <x:c r="C415" s="34" t="str">
        <x:v>Kingston FURY Beast 64GB (2x32GB) DDR5 6000MHz CL30 UDIMM</x:v>
      </x:c>
      <x:c r="D415" s="34" t="str">
        <x:v>Kingston</x:v>
      </x:c>
      <x:c r="E415" s="82" t="n">
        <x:v>976.57</x:v>
      </x:c>
      <x:c r="F415" s="34" t="str">
        <x:v>USD</x:v>
      </x:c>
      <x:c r="G415" s="34" t="str">
        <x:v>retail</x:v>
      </x:c>
      <x:c r="H415" s="34" t="str">
        <x:v>2026-06-29</x:v>
      </x:c>
      <x:c r="I415" s="34" t="str">
        <x:v>memoryType=DDR5; capacityGb=64; speedMt=6000; sticks=2</x:v>
      </x:c>
      <x:c r="J415" s="34" t="str">
        <x:v>DDR5, 64GB, 6000MT/s, ca-retail</x:v>
      </x:c>
      <x:c r="K415" s="34" t="str">
        <x:v>64GB DDR5-6000 memory kit from CA retailer.</x:v>
      </x:c>
      <x:c r="L415" s="34" t="str">
        <x:v>https://www.canadacomputers.com/en/desktop-memory/254660/kingston-fury-beast-64gb-2x32gb-ddr5-6000mhz-cl30-udimm-kf560c30bbek2-64.html</x:v>
      </x:c>
      <x:c r="M415" s="35" t="str">
        <x:v>https://www.canadacomputers.com/en/desktop-memory/254660/kingston-fury-beast-64gb-2x32gb-ddr5-6000mhz-cl30-udimm-kf560c30bbek2-64.html</x:v>
      </x:c>
    </x:row>
    <x:row r="416">
      <x:c r="A416" s="33" t="str">
        <x:v>ram</x:v>
      </x:c>
      <x:c r="B416" s="34" t="str">
        <x:v>ca-canadacomputers-ram-g-skill-flare-x5-64gb-2x32gb-ddr5-6000mhz-cl30-udimm</x:v>
      </x:c>
      <x:c r="C416" s="34" t="str">
        <x:v>G.SKILL Flare X5 64GB (2x32GB) DDR5 6000MHz CL30 UDIMM</x:v>
      </x:c>
      <x:c r="D416" s="34" t="str">
        <x:v>G.SKILL</x:v>
      </x:c>
      <x:c r="E416" s="82" t="n">
        <x:v>1061.89</x:v>
      </x:c>
      <x:c r="F416" s="34" t="str">
        <x:v>USD</x:v>
      </x:c>
      <x:c r="G416" s="34" t="str">
        <x:v>retail</x:v>
      </x:c>
      <x:c r="H416" s="34" t="str">
        <x:v>2026-06-29</x:v>
      </x:c>
      <x:c r="I416" s="34" t="str">
        <x:v>memoryType=DDR5; capacityGb=64; speedMt=6000; sticks=2</x:v>
      </x:c>
      <x:c r="J416" s="34" t="str">
        <x:v>DDR5, 64GB, 6000MT/s, ca-retail</x:v>
      </x:c>
      <x:c r="K416" s="34" t="str">
        <x:v>64GB DDR5-6000 memory kit from CA retailer.</x:v>
      </x:c>
      <x:c r="L416" s="34" t="str">
        <x:v>https://www.canadacomputers.com/en/desktop-memory/251531/g-skill-flare-x5-64gb-2x32gb-ddr5-6000mhz-cl30-udimm-f5-6000j3040g32gx2-fx5.html</x:v>
      </x:c>
      <x:c r="M416" s="35" t="str">
        <x:v>https://www.canadacomputers.com/en/desktop-memory/251531/g-skill-flare-x5-64gb-2x32gb-ddr5-6000mhz-cl30-udimm-f5-6000j3040g32gx2-fx5.html</x:v>
      </x:c>
    </x:row>
    <x:row r="417">
      <x:c r="A417" s="33" t="str">
        <x:v>ram</x:v>
      </x:c>
      <x:c r="B417" s="34" t="str">
        <x:v>ca-canadacomputers-ram-teamgroup-t-force-delta-rgb-32gb-2x16gb-ddr5-6400mhz-cl32-udimm</x:v>
      </x:c>
      <x:c r="C417" s="34" t="str">
        <x:v>TEAMGROUP T-FORCE DELTA RGB 32GB (2x16GB) DDR5 6400MHz CL32 UDIMM</x:v>
      </x:c>
      <x:c r="D417" s="34" t="str">
        <x:v>TEAMGROUP</x:v>
      </x:c>
      <x:c r="E417" s="82" t="n">
        <x:v>458.31</x:v>
      </x:c>
      <x:c r="F417" s="34" t="str">
        <x:v>USD</x:v>
      </x:c>
      <x:c r="G417" s="34" t="str">
        <x:v>retail</x:v>
      </x:c>
      <x:c r="H417" s="34" t="str">
        <x:v>2026-06-29</x:v>
      </x:c>
      <x:c r="I417" s="34" t="str">
        <x:v>memoryType=DDR5; capacityGb=32; speedMt=6400; sticks=2</x:v>
      </x:c>
      <x:c r="J417" s="34" t="str">
        <x:v>DDR5, 32GB, 6400MT/s, ca-retail, rgb</x:v>
      </x:c>
      <x:c r="K417" s="34" t="str">
        <x:v>32GB DDR5-6400 memory kit from CA retailer.</x:v>
      </x:c>
      <x:c r="L417" s="34" t="str">
        <x:v>https://www.canadacomputers.com/en/desktop-memory/249815/teamgroup-t-force-delta-rgb-32gb-2x16gb-ddr5-6400mhz-cl32-udimm-ff4d532g6400hc32adc01.html</x:v>
      </x:c>
      <x:c r="M417" s="35" t="str">
        <x:v>https://www.canadacomputers.com/en/desktop-memory/249815/teamgroup-t-force-delta-rgb-32gb-2x16gb-ddr5-6400mhz-cl32-udimm-ff4d532g6400hc32adc01.html</x:v>
      </x:c>
    </x:row>
    <x:row r="418">
      <x:c r="A418" s="33" t="str">
        <x:v>ram</x:v>
      </x:c>
      <x:c r="B418" s="34" t="str">
        <x:v>ca-canadacomputers-ram-corsair-vengeance-rgb-32gb-2x16gb-ddr5-6400mhz-cl32-udimm</x:v>
      </x:c>
      <x:c r="C418" s="34" t="str">
        <x:v>CORSAIR VENGEANCE RGB 32GB (2x16GB) DDR5 6400MHz CL32 UDIMM</x:v>
      </x:c>
      <x:c r="D418" s="34" t="str">
        <x:v>CORSAIR</x:v>
      </x:c>
      <x:c r="E418" s="82" t="n">
        <x:v>584.53</x:v>
      </x:c>
      <x:c r="F418" s="34" t="str">
        <x:v>USD</x:v>
      </x:c>
      <x:c r="G418" s="34" t="str">
        <x:v>retail</x:v>
      </x:c>
      <x:c r="H418" s="34" t="str">
        <x:v>2026-06-29</x:v>
      </x:c>
      <x:c r="I418" s="34" t="str">
        <x:v>memoryType=DDR5; capacityGb=32; speedMt=6400; sticks=2</x:v>
      </x:c>
      <x:c r="J418" s="34" t="str">
        <x:v>DDR5, 32GB, 6400MT/s, ca-retail, rgb</x:v>
      </x:c>
      <x:c r="K418" s="34" t="str">
        <x:v>32GB DDR5-6400 memory kit from CA retailer.</x:v>
      </x:c>
      <x:c r="L418" s="34" t="str">
        <x:v>https://www.canadacomputers.com/en/desktop-memory/262507/corsair-vengeance-rgb-32gb-2x16gb-ddr5-6400mhz-cl32-udimm-cmh32gx5m2b6400z32.html</x:v>
      </x:c>
      <x:c r="M418" s="35" t="str">
        <x:v>https://www.canadacomputers.com/en/desktop-memory/262507/corsair-vengeance-rgb-32gb-2x16gb-ddr5-6400mhz-cl32-udimm-cmh32gx5m2b6400z32.html</x:v>
      </x:c>
    </x:row>
    <x:row r="419">
      <x:c r="A419" s="33" t="str">
        <x:v>ram</x:v>
      </x:c>
      <x:c r="B419" s="34" t="str">
        <x:v>ca-canadacomputers-ram-g-skill-trident-z5-neo-rgb-32gb-2x16gb-ddr5-6400mhz-cl30-udimm</x:v>
      </x:c>
      <x:c r="C419" s="34" t="str">
        <x:v>G.SKILL Trident Z5 Neo RGB 32GB (2x16GB) DDR5 6400MHz CL30 UDIMM</x:v>
      </x:c>
      <x:c r="D419" s="34" t="str">
        <x:v>G.SKILL</x:v>
      </x:c>
      <x:c r="E419" s="82" t="n">
        <x:v>588.05</x:v>
      </x:c>
      <x:c r="F419" s="34" t="str">
        <x:v>USD</x:v>
      </x:c>
      <x:c r="G419" s="34" t="str">
        <x:v>retail</x:v>
      </x:c>
      <x:c r="H419" s="34" t="str">
        <x:v>2026-06-29</x:v>
      </x:c>
      <x:c r="I419" s="34" t="str">
        <x:v>memoryType=DDR5; capacityGb=32; speedMt=6400; sticks=2</x:v>
      </x:c>
      <x:c r="J419" s="34" t="str">
        <x:v>DDR5, 32GB, 6400MT/s, ca-retail, rgb</x:v>
      </x:c>
      <x:c r="K419" s="34" t="str">
        <x:v>32GB DDR5-6400 memory kit from CA retailer.</x:v>
      </x:c>
      <x:c r="L419" s="34" t="str">
        <x:v>https://www.canadacomputers.com/en/desktop-memory/267651/g-skill-trident-z5-neo-rgb-32gb-2x16gb-ddr5-6400mhz-cl30-udimm-f5-6400j3039g16gx2-tz5nr.html</x:v>
      </x:c>
      <x:c r="M419" s="35" t="str">
        <x:v>https://www.canadacomputers.com/en/desktop-memory/267651/g-skill-trident-z5-neo-rgb-32gb-2x16gb-ddr5-6400mhz-cl30-udimm-f5-6400j3039g16gx2-tz5nr.html</x:v>
      </x:c>
    </x:row>
    <x:row r="420">
      <x:c r="A420" s="33" t="str">
        <x:v>ram</x:v>
      </x:c>
      <x:c r="B420" s="34" t="str">
        <x:v>ca-canadacomputers-ram-g-skill-trident-z5-rgb-64gb-2x32gb-ddr5-6400mhz-cl32-udimm</x:v>
      </x:c>
      <x:c r="C420" s="34" t="str">
        <x:v>G.SKILL Trident Z5 RGB 64GB (2x32GB) DDR5 6400MHz CL32 UDIMM</x:v>
      </x:c>
      <x:c r="D420" s="34" t="str">
        <x:v>G.SKILL</x:v>
      </x:c>
      <x:c r="E420" s="82" t="n">
        <x:v>1150.73</x:v>
      </x:c>
      <x:c r="F420" s="34" t="str">
        <x:v>USD</x:v>
      </x:c>
      <x:c r="G420" s="34" t="str">
        <x:v>retail</x:v>
      </x:c>
      <x:c r="H420" s="34" t="str">
        <x:v>2026-06-29</x:v>
      </x:c>
      <x:c r="I420" s="34" t="str">
        <x:v>memoryType=DDR5; capacityGb=64; speedMt=6400; sticks=2</x:v>
      </x:c>
      <x:c r="J420" s="34" t="str">
        <x:v>DDR5, 64GB, 6400MT/s, ca-retail, rgb</x:v>
      </x:c>
      <x:c r="K420" s="34" t="str">
        <x:v>64GB DDR5-6400 memory kit from CA retailer.</x:v>
      </x:c>
      <x:c r="L420" s="34" t="str">
        <x:v>https://www.canadacomputers.com/en/desktop-memory/230350/g-skill-trident-z5-rgb-64gb-2x32gb-ddr5-6400mhz-cl32-udimm-f5-6400j3239g32gx2-tz5rk.html</x:v>
      </x:c>
      <x:c r="M420" s="35" t="str">
        <x:v>https://www.canadacomputers.com/en/desktop-memory/230350/g-skill-trident-z5-rgb-64gb-2x32gb-ddr5-6400mhz-cl32-udimm-f5-6400j3239g32gx2-tz5rk.html</x:v>
      </x:c>
    </x:row>
    <x:row r="421">
      <x:c r="A421" s="33" t="str">
        <x:v>ram</x:v>
      </x:c>
      <x:c r="B421" s="34" t="str">
        <x:v>ca-canadacomputers-ram-corsair-vengeance-64gb-2x32gb-ddr5-6400mhz-cl32-udimm</x:v>
      </x:c>
      <x:c r="C421" s="34" t="str">
        <x:v>CORSAIR VENGEANCE 64GB (2x32GB) DDR5 6400MHz CL32 UDIMM</x:v>
      </x:c>
      <x:c r="D421" s="34" t="str">
        <x:v>CORSAIR</x:v>
      </x:c>
      <x:c r="E421" s="82" t="n">
        <x:v>1184.58</x:v>
      </x:c>
      <x:c r="F421" s="34" t="str">
        <x:v>USD</x:v>
      </x:c>
      <x:c r="G421" s="34" t="str">
        <x:v>retail</x:v>
      </x:c>
      <x:c r="H421" s="34" t="str">
        <x:v>2026-06-29</x:v>
      </x:c>
      <x:c r="I421" s="34" t="str">
        <x:v>memoryType=DDR5; capacityGb=64; speedMt=6400; sticks=2</x:v>
      </x:c>
      <x:c r="J421" s="34" t="str">
        <x:v>DDR5, 64GB, 6400MT/s, ca-retail</x:v>
      </x:c>
      <x:c r="K421" s="34" t="str">
        <x:v>64GB DDR5-6400 memory kit from CA retailer.</x:v>
      </x:c>
      <x:c r="L421" s="34" t="str">
        <x:v>https://www.canadacomputers.com/en/desktop-memory/236033/corsair-vengeance-64gb-2x32gb-ddr5-6400mhz-cl32-udimm-cmk64gx5m2b6400c32.html</x:v>
      </x:c>
      <x:c r="M421" s="35" t="str">
        <x:v>https://www.canadacomputers.com/en/desktop-memory/236033/corsair-vengeance-64gb-2x32gb-ddr5-6400mhz-cl32-udimm-cmk64gx5m2b6400c32.html</x:v>
      </x:c>
    </x:row>
    <x:row r="422">
      <x:c r="A422" s="33" t="str">
        <x:v>ram</x:v>
      </x:c>
      <x:c r="B422" s="34" t="str">
        <x:v>ca-canadacomputers-ram-kingston-fury-beast-rgb-64gb-2x32gb-ddr5-6400mhz-cl32-udimm</x:v>
      </x:c>
      <x:c r="C422" s="34" t="str">
        <x:v>Kingston FURY Beast RGB 64GB (2x32GB) DDR5 6400MHz CL32 UDIMM</x:v>
      </x:c>
      <x:c r="D422" s="34" t="str">
        <x:v>Kingston</x:v>
      </x:c>
      <x:c r="E422" s="82" t="n">
        <x:v>987.15</x:v>
      </x:c>
      <x:c r="F422" s="34" t="str">
        <x:v>USD</x:v>
      </x:c>
      <x:c r="G422" s="34" t="str">
        <x:v>retail</x:v>
      </x:c>
      <x:c r="H422" s="34" t="str">
        <x:v>2026-06-29</x:v>
      </x:c>
      <x:c r="I422" s="34" t="str">
        <x:v>memoryType=DDR5; capacityGb=64; speedMt=6400; sticks=2</x:v>
      </x:c>
      <x:c r="J422" s="34" t="str">
        <x:v>DDR5, 64GB, 6400MT/s, ca-retail, rgb</x:v>
      </x:c>
      <x:c r="K422" s="34" t="str">
        <x:v>64GB DDR5-6400 memory kit from CA retailer.</x:v>
      </x:c>
      <x:c r="L422" s="34" t="str">
        <x:v>https://www.canadacomputers.com/en/desktop-memory/254666/kingston-fury-beast-rgb-64gb-2x32gb-ddr5-6400mhz-cl32-udimm-kf564c32bbeak2-64.html</x:v>
      </x:c>
      <x:c r="M422" s="35" t="str">
        <x:v>https://www.canadacomputers.com/en/desktop-memory/254666/kingston-fury-beast-rgb-64gb-2x32gb-ddr5-6400mhz-cl32-udimm-kf564c32bbeak2-64.html</x:v>
      </x:c>
    </x:row>
    <x:row r="423">
      <x:c r="A423" s="33" t="str">
        <x:v>ram</x:v>
      </x:c>
      <x:c r="B423" s="34" t="str">
        <x:v>ca-canadacomputers-ram-corsair-vengeance-rgb-64gb-2x32gb-ddr5-6400mhz-cl32-udimm</x:v>
      </x:c>
      <x:c r="C423" s="34" t="str">
        <x:v>CORSAIR VENGEANCE RGB 64GB (2x32GB) DDR5 6400MHz CL32 UDIMM</x:v>
      </x:c>
      <x:c r="D423" s="34" t="str">
        <x:v>CORSAIR</x:v>
      </x:c>
      <x:c r="E423" s="82" t="n">
        <x:v>1193.74</x:v>
      </x:c>
      <x:c r="F423" s="34" t="str">
        <x:v>USD</x:v>
      </x:c>
      <x:c r="G423" s="34" t="str">
        <x:v>retail</x:v>
      </x:c>
      <x:c r="H423" s="34" t="str">
        <x:v>2026-06-29</x:v>
      </x:c>
      <x:c r="I423" s="34" t="str">
        <x:v>memoryType=DDR5; capacityGb=64; speedMt=6400; sticks=2</x:v>
      </x:c>
      <x:c r="J423" s="34" t="str">
        <x:v>DDR5, 64GB, 6400MT/s, ca-retail, rgb</x:v>
      </x:c>
      <x:c r="K423" s="34" t="str">
        <x:v>64GB DDR5-6400 memory kit from CA retailer.</x:v>
      </x:c>
      <x:c r="L423" s="34" t="str">
        <x:v>https://www.canadacomputers.com/en/desktop-memory/239732/corsair-vengeance-rgb-64gb-2x32gb-ddr5-6400mhz-cl32-udimm-cmh64gx5m2b6400c32.html</x:v>
      </x:c>
      <x:c r="M423" s="35" t="str">
        <x:v>https://www.canadacomputers.com/en/desktop-memory/239732/corsair-vengeance-rgb-64gb-2x32gb-ddr5-6400mhz-cl32-udimm-cmh64gx5m2b6400c32.html</x:v>
      </x:c>
    </x:row>
    <x:row r="424">
      <x:c r="A424" s="33" t="str">
        <x:v>ram</x:v>
      </x:c>
      <x:c r="B424" s="34" t="str">
        <x:v>ca-canadacomputers-ram-g-skill-trident-z5-royal-rgb-32gb-2x16gb-ddr5-7200mhz-cl34-udimm</x:v>
      </x:c>
      <x:c r="C424" s="34" t="str">
        <x:v>G.SKILL Trident Z5 Royal RGB 32GB (2x16GB) DDR5 7200MHz CL34 UDIMM</x:v>
      </x:c>
      <x:c r="D424" s="34" t="str">
        <x:v>G.SKILL</x:v>
      </x:c>
      <x:c r="E424" s="82" t="n">
        <x:v>607.09</x:v>
      </x:c>
      <x:c r="F424" s="34" t="str">
        <x:v>USD</x:v>
      </x:c>
      <x:c r="G424" s="34" t="str">
        <x:v>retail</x:v>
      </x:c>
      <x:c r="H424" s="34" t="str">
        <x:v>2026-06-29</x:v>
      </x:c>
      <x:c r="I424" s="34" t="str">
        <x:v>memoryType=DDR5; capacityGb=32; speedMt=7200; sticks=2</x:v>
      </x:c>
      <x:c r="J424" s="34" t="str">
        <x:v>DDR5, 32GB, 7200MT/s, ca-retail, rgb</x:v>
      </x:c>
      <x:c r="K424" s="34" t="str">
        <x:v>32GB DDR5-7200 memory kit from CA retailer.</x:v>
      </x:c>
      <x:c r="L424" s="34" t="str">
        <x:v>https://www.canadacomputers.com/en/desktop-memory/257623/g-skill-trident-z5-royal-rgb-32gb-2x16gb-ddr5-7200mhz-cl34-udimm-f5-7200j3445g16gx2-tr5s.html</x:v>
      </x:c>
      <x:c r="M424" s="35" t="str">
        <x:v>https://www.canadacomputers.com/en/desktop-memory/257623/g-skill-trident-z5-royal-rgb-32gb-2x16gb-ddr5-7200mhz-cl34-udimm-f5-7200j3445g16gx2-tr5s.html</x:v>
      </x:c>
    </x:row>
    <x:row r="425">
      <x:c r="A425" s="33" t="str">
        <x:v>ram</x:v>
      </x:c>
      <x:c r="B425" s="34" t="str">
        <x:v>ca-canadacomputers-ram-corsair-vengeance-96gb-2x48gb-ddr5-5600mhz-cl40-udimm</x:v>
      </x:c>
      <x:c r="C425" s="34" t="str">
        <x:v>CORSAIR VENGEANCE 96GB (2x48GB) DDR5 5600MHz CL40 UDIMM</x:v>
      </x:c>
      <x:c r="D425" s="34" t="str">
        <x:v>CORSAIR</x:v>
      </x:c>
      <x:c r="E425" s="82" t="n">
        <x:v>1274.83</x:v>
      </x:c>
      <x:c r="F425" s="34" t="str">
        <x:v>USD</x:v>
      </x:c>
      <x:c r="G425" s="34" t="str">
        <x:v>retail</x:v>
      </x:c>
      <x:c r="H425" s="34" t="str">
        <x:v>2026-06-29</x:v>
      </x:c>
      <x:c r="I425" s="34" t="str">
        <x:v>memoryType=DDR5; capacityGb=96; speedMt=5600; sticks=2</x:v>
      </x:c>
      <x:c r="J425" s="34" t="str">
        <x:v>DDR5, 96GB, 5600MT/s, ca-retail</x:v>
      </x:c>
      <x:c r="K425" s="34" t="str">
        <x:v>96GB DDR5-5600 memory kit from CA retailer.</x:v>
      </x:c>
      <x:c r="L425" s="34" t="str">
        <x:v>https://www.canadacomputers.com/en/desktop-memory/236425/corsair-vengeance-96gb-2x48gb-ddr5-5600mhz-cl40-udimm-cmk96gx5m2b5600c40.html</x:v>
      </x:c>
      <x:c r="M425" s="35" t="str">
        <x:v>https://www.canadacomputers.com/en/desktop-memory/236425/corsair-vengeance-96gb-2x48gb-ddr5-5600mhz-cl40-udimm-cmk96gx5m2b5600c40.html</x:v>
      </x:c>
    </x:row>
    <x:row r="426">
      <x:c r="A426" s="33" t="str">
        <x:v>ram</x:v>
      </x:c>
      <x:c r="B426" s="34" t="str">
        <x:v>ca-canadacomputers-ram-corsair-vengeance-rgb-96gb-2x48gb-ddr5-5600mhz-cl40-udimm</x:v>
      </x:c>
      <x:c r="C426" s="34" t="str">
        <x:v>CORSAIR VENGEANCE RGB 96GB (2x48GB) DDR5 5600MHz CL40 UDIMM</x:v>
      </x:c>
      <x:c r="D426" s="34" t="str">
        <x:v>CORSAIR</x:v>
      </x:c>
      <x:c r="E426" s="82" t="n">
        <x:v>1286.11</x:v>
      </x:c>
      <x:c r="F426" s="34" t="str">
        <x:v>USD</x:v>
      </x:c>
      <x:c r="G426" s="34" t="str">
        <x:v>retail</x:v>
      </x:c>
      <x:c r="H426" s="34" t="str">
        <x:v>2026-06-29</x:v>
      </x:c>
      <x:c r="I426" s="34" t="str">
        <x:v>memoryType=DDR5; capacityGb=96; speedMt=5600; sticks=2</x:v>
      </x:c>
      <x:c r="J426" s="34" t="str">
        <x:v>DDR5, 96GB, 5600MT/s, ca-retail, rgb</x:v>
      </x:c>
      <x:c r="K426" s="34" t="str">
        <x:v>96GB DDR5-5600 memory kit from CA retailer.</x:v>
      </x:c>
      <x:c r="L426" s="34" t="str">
        <x:v>https://www.canadacomputers.com/en/desktop-memory/236421/corsair-vengeance-rgb-96gb-2x48gb-ddr5-5600mhz-cl40-udimm-cmh96gx5m2b5600c40.html</x:v>
      </x:c>
      <x:c r="M426" s="35" t="str">
        <x:v>https://www.canadacomputers.com/en/desktop-memory/236421/corsair-vengeance-rgb-96gb-2x48gb-ddr5-5600mhz-cl40-udimm-cmh96gx5m2b5600c40.html</x:v>
      </x:c>
    </x:row>
    <x:row r="427">
      <x:c r="A427" s="33" t="str">
        <x:v>ram</x:v>
      </x:c>
      <x:c r="B427" s="34" t="str">
        <x:v>ca-canadacomputers-ram-kingston-fury-beast-128gb-2x64gb-ddr5-5600mhz-cl36-udimm</x:v>
      </x:c>
      <x:c r="C427" s="34" t="str">
        <x:v>Kingston FURY Beast 128GB (2x64GB) DDR5 5600MHz CL36 UDIMM</x:v>
      </x:c>
      <x:c r="D427" s="34" t="str">
        <x:v>Kingston</x:v>
      </x:c>
      <x:c r="E427" s="82" t="n">
        <x:v>1861.48</x:v>
      </x:c>
      <x:c r="F427" s="34" t="str">
        <x:v>USD</x:v>
      </x:c>
      <x:c r="G427" s="34" t="str">
        <x:v>retail</x:v>
      </x:c>
      <x:c r="H427" s="34" t="str">
        <x:v>2026-06-29</x:v>
      </x:c>
      <x:c r="I427" s="34" t="str">
        <x:v>memoryType=DDR5; capacityGb=128; speedMt=5600; sticks=2</x:v>
      </x:c>
      <x:c r="J427" s="34" t="str">
        <x:v>DDR5, 128GB, 5600MT/s, ca-retail</x:v>
      </x:c>
      <x:c r="K427" s="34" t="str">
        <x:v>128GB DDR5-5600 memory kit from CA retailer.</x:v>
      </x:c>
      <x:c r="L427" s="34" t="str">
        <x:v>https://www.canadacomputers.com/en/desktop-memory/273075/kingston-fury-beast-128gb-2x64gb-ddr5-5600mhz-cl36-udimm-kf556c36bbek2-128.html</x:v>
      </x:c>
      <x:c r="M427" s="35" t="str">
        <x:v>https://www.canadacomputers.com/en/desktop-memory/273075/kingston-fury-beast-128gb-2x64gb-ddr5-5600mhz-cl36-udimm-kf556c36bbek2-128.html</x:v>
      </x:c>
    </x:row>
    <x:row r="428">
      <x:c r="A428" s="33" t="str">
        <x:v>storage</x:v>
      </x:c>
      <x:c r="B428" s="34" t="str">
        <x:v>ssd-1tb</x:v>
      </x:c>
      <x:c r="C428" s="34" t="str">
        <x:v>WD Black SN850X 1TB</x:v>
      </x:c>
      <x:c r="D428" s="34" t="str">
        <x:v>WD</x:v>
      </x:c>
      <x:c r="E428" s="82" t="n">
        <x:v>89</x:v>
      </x:c>
      <x:c r="F428" s="34" t="str">
        <x:v>USD</x:v>
      </x:c>
      <x:c r="G428" s="34" t="str">
        <x:v>reference</x:v>
      </x:c>
      <x:c r="H428" s="34" t="str">
        <x:v>baseline seed</x:v>
      </x:c>
      <x:c r="I428" s="34" t="str">
        <x:v>capacityTb=1; interface=NVMe; readSpeedMb=7300; writeSpeedMb=6424</x:v>
      </x:c>
      <x:c r="J428" s="34" t="str">
        <x:v>NVMe, 1TB</x:v>
      </x:c>
      <x:c r="K428" s="34" t="str">
        <x:v>1TB PCIe NVMe solid-state drive.</x:v>
      </x:c>
      <x:c r="L428" s="34" t="str"/>
      <x:c r="M428" s="35" t="str"/>
    </x:row>
    <x:row r="429">
      <x:c r="A429" s="33" t="str">
        <x:v>storage</x:v>
      </x:c>
      <x:c r="B429" s="34" t="str">
        <x:v>ssd-2tb</x:v>
      </x:c>
      <x:c r="C429" s="34" t="str">
        <x:v>Samsung 990 Pro 2TB</x:v>
      </x:c>
      <x:c r="D429" s="34" t="str">
        <x:v>Samsung</x:v>
      </x:c>
      <x:c r="E429" s="82" t="n">
        <x:v>169</x:v>
      </x:c>
      <x:c r="F429" s="34" t="str">
        <x:v>USD</x:v>
      </x:c>
      <x:c r="G429" s="34" t="str">
        <x:v>reference</x:v>
      </x:c>
      <x:c r="H429" s="34" t="str">
        <x:v>baseline seed</x:v>
      </x:c>
      <x:c r="I429" s="34" t="str">
        <x:v>capacityTb=2; interface=NVMe; readSpeedMb=7450; writeSpeedMb=6556</x:v>
      </x:c>
      <x:c r="J429" s="34" t="str">
        <x:v>NVMe, 2TB</x:v>
      </x:c>
      <x:c r="K429" s="34" t="str">
        <x:v>2TB PCIe NVMe solid-state drive.</x:v>
      </x:c>
      <x:c r="L429" s="34" t="str"/>
      <x:c r="M429" s="35" t="str"/>
    </x:row>
    <x:row r="430">
      <x:c r="A430" s="33" t="str">
        <x:v>storage</x:v>
      </x:c>
      <x:c r="B430" s="34" t="str">
        <x:v>ssd-4tb</x:v>
      </x:c>
      <x:c r="C430" s="34" t="str">
        <x:v>Crucial T500 4TB</x:v>
      </x:c>
      <x:c r="D430" s="34" t="str">
        <x:v>Crucial</x:v>
      </x:c>
      <x:c r="E430" s="82" t="n">
        <x:v>319</x:v>
      </x:c>
      <x:c r="F430" s="34" t="str">
        <x:v>USD</x:v>
      </x:c>
      <x:c r="G430" s="34" t="str">
        <x:v>reference</x:v>
      </x:c>
      <x:c r="H430" s="34" t="str">
        <x:v>baseline seed</x:v>
      </x:c>
      <x:c r="I430" s="34" t="str">
        <x:v>capacityTb=4; interface=NVMe; readSpeedMb=7400; writeSpeedMb=6512</x:v>
      </x:c>
      <x:c r="J430" s="34" t="str">
        <x:v>NVMe, 4TB</x:v>
      </x:c>
      <x:c r="K430" s="34" t="str">
        <x:v>4TB PCIe NVMe solid-state drive.</x:v>
      </x:c>
      <x:c r="L430" s="34" t="str"/>
      <x:c r="M430" s="35" t="str"/>
    </x:row>
    <x:row r="431">
      <x:c r="A431" s="33" t="str">
        <x:v>storage</x:v>
      </x:c>
      <x:c r="B431" s="34" t="str">
        <x:v>ssd-2tb-value</x:v>
      </x:c>
      <x:c r="C431" s="34" t="str">
        <x:v>TeamGroup MP44 2TB</x:v>
      </x:c>
      <x:c r="D431" s="34" t="str">
        <x:v>TeamGroup</x:v>
      </x:c>
      <x:c r="E431" s="82" t="n">
        <x:v>119</x:v>
      </x:c>
      <x:c r="F431" s="34" t="str">
        <x:v>USD</x:v>
      </x:c>
      <x:c r="G431" s="34" t="str">
        <x:v>reference</x:v>
      </x:c>
      <x:c r="H431" s="34" t="str">
        <x:v>baseline seed</x:v>
      </x:c>
      <x:c r="I431" s="34" t="str">
        <x:v>capacityTb=2; interface=NVMe; readSpeedMb=7400; writeSpeedMb=6512</x:v>
      </x:c>
      <x:c r="J431" s="34" t="str">
        <x:v>NVMe, 2TB</x:v>
      </x:c>
      <x:c r="K431" s="34" t="str">
        <x:v>2TB PCIe NVMe solid-state drive.</x:v>
      </x:c>
      <x:c r="L431" s="34" t="str"/>
      <x:c r="M431" s="35" t="str"/>
    </x:row>
    <x:row r="432">
      <x:c r="A432" s="33" t="str">
        <x:v>storage</x:v>
      </x:c>
      <x:c r="B432" s="34" t="str">
        <x:v>ssd-9100pro-2tb</x:v>
      </x:c>
      <x:c r="C432" s="34" t="str">
        <x:v>Samsung 9100 Pro 2TB</x:v>
      </x:c>
      <x:c r="D432" s="34" t="str">
        <x:v>Samsung</x:v>
      </x:c>
      <x:c r="E432" s="82" t="n">
        <x:v>299</x:v>
      </x:c>
      <x:c r="F432" s="34" t="str">
        <x:v>USD</x:v>
      </x:c>
      <x:c r="G432" s="34" t="str">
        <x:v>msrp</x:v>
      </x:c>
      <x:c r="H432" s="34" t="str">
        <x:v>2026-06-28</x:v>
      </x:c>
      <x:c r="I432" s="34" t="str">
        <x:v>capacityTb=2; interface=NVMe; readSpeedMb=14700; writeSpeedMb=13400</x:v>
      </x:c>
      <x:c r="J432" s="34" t="str">
        <x:v>NVMe, 2TB</x:v>
      </x:c>
      <x:c r="K432" s="34" t="str">
        <x:v>2TB PCIe NVMe solid-state drive.</x:v>
      </x:c>
      <x:c r="L432" s="34" t="str">
        <x:v>https://www.samsung.com/us/memory-storage/nvme-ssd/9100-pro-nvme-ssd-sku-mz-vap2t0b-am/</x:v>
      </x:c>
      <x:c r="M432" s="35" t="str">
        <x:v>https://image-us.samsung.com/SamsungUS/business/solutions/industries/government/msrp-price-sheets/10092025/Samsung-Memory_Storage-MSRP-Price-File-%28September-2025%29.pdf</x:v>
      </x:c>
    </x:row>
    <x:row r="433">
      <x:c r="A433" s="33" t="str">
        <x:v>storage</x:v>
      </x:c>
      <x:c r="B433" s="34" t="str">
        <x:v>ssd-9100pro-4tb</x:v>
      </x:c>
      <x:c r="C433" s="34" t="str">
        <x:v>Samsung 9100 Pro 4TB</x:v>
      </x:c>
      <x:c r="D433" s="34" t="str">
        <x:v>Samsung</x:v>
      </x:c>
      <x:c r="E433" s="82" t="n">
        <x:v>549</x:v>
      </x:c>
      <x:c r="F433" s="34" t="str">
        <x:v>USD</x:v>
      </x:c>
      <x:c r="G433" s="34" t="str">
        <x:v>msrp</x:v>
      </x:c>
      <x:c r="H433" s="34" t="str">
        <x:v>2026-06-28</x:v>
      </x:c>
      <x:c r="I433" s="34" t="str">
        <x:v>capacityTb=4; interface=NVMe; readSpeedMb=14800; writeSpeedMb=13400</x:v>
      </x:c>
      <x:c r="J433" s="34" t="str">
        <x:v>NVMe, 4TB</x:v>
      </x:c>
      <x:c r="K433" s="34" t="str">
        <x:v>4TB PCIe NVMe solid-state drive.</x:v>
      </x:c>
      <x:c r="L433" s="34" t="str">
        <x:v>https://www.samsung.com/us/memory-storage/nvme-ssd/9100-pro-nvme-ssd-sku-mz-vap4t0b-am/</x:v>
      </x:c>
      <x:c r="M433" s="35" t="str">
        <x:v>https://image-us.samsung.com/SamsungUS/business/solutions/industries/government/msrp-price-sheets/10092025/Samsung-Memory_Storage-MSRP-Price-File-%28September-2025%29.pdf</x:v>
      </x:c>
    </x:row>
    <x:row r="434">
      <x:c r="A434" s="33" t="str">
        <x:v>storage</x:v>
      </x:c>
      <x:c r="B434" s="34" t="str">
        <x:v>ssd-t710-2tb</x:v>
      </x:c>
      <x:c r="C434" s="34" t="str">
        <x:v>Crucial T710 2TB</x:v>
      </x:c>
      <x:c r="D434" s="34" t="str">
        <x:v>Crucial</x:v>
      </x:c>
      <x:c r="E434" s="82" t="n">
        <x:v>279</x:v>
      </x:c>
      <x:c r="F434" s="34" t="str">
        <x:v>USD</x:v>
      </x:c>
      <x:c r="G434" s="34" t="str">
        <x:v>reference</x:v>
      </x:c>
      <x:c r="H434" s="34" t="str">
        <x:v>2026-06-28</x:v>
      </x:c>
      <x:c r="I434" s="34" t="str">
        <x:v>capacityTb=2; interface=NVMe; readSpeedMb=14900; writeSpeedMb=13800</x:v>
      </x:c>
      <x:c r="J434" s="34" t="str">
        <x:v>NVMe, 2TB</x:v>
      </x:c>
      <x:c r="K434" s="34" t="str">
        <x:v>2TB PCIe NVMe solid-state drive.</x:v>
      </x:c>
      <x:c r="L434" s="34" t="str">
        <x:v>https://www.crucial.com/ssd/t710/ct2000t710ssd8</x:v>
      </x:c>
      <x:c r="M434" s="35" t="str">
        <x:v>https://www.crucial.com/ssd/t710/ct2000t710ssd8</x:v>
      </x:c>
    </x:row>
    <x:row r="435">
      <x:c r="A435" s="33" t="str">
        <x:v>storage</x:v>
      </x:c>
      <x:c r="B435" s="34" t="str">
        <x:v>hf-internal-hard-drive-219387</x:v>
      </x:c>
      <x:c r="C435" s="34" t="str">
        <x:v>Samsung 970 Evo Plus</x:v>
      </x:c>
      <x:c r="D435" s="34" t="str">
        <x:v>Samsung</x:v>
      </x:c>
      <x:c r="E435" s="82" t="n">
        <x:v>427.38</x:v>
      </x:c>
      <x:c r="F435" s="34" t="str">
        <x:v>USD</x:v>
      </x:c>
      <x:c r="G435" s="34" t="str">
        <x:v>reference</x:v>
      </x:c>
      <x:c r="H435" s="34" t="str">
        <x:v>2026-06-28</x:v>
      </x:c>
      <x:c r="I435" s="34" t="str">
        <x:v>capacityTb=1; interface=NVMe; readSpeedMb=3500; writeSpeedMb=2975</x:v>
      </x:c>
      <x:c r="J435" s="34" t="str">
        <x:v>NVMe, 1TB, SSD, dataset</x:v>
      </x:c>
      <x:c r="K435" s="34" t="str">
        <x:v>1TB NVMe solid-state drive; throughput is an interface-class estimate when the source omits it.</x:v>
      </x:c>
      <x:c r="L435" s="34" t="str">
        <x:v>https://fr.pcpartpicker.com/product/Zxw7YJ/samsung-970-evo-plus-1-tb-m2-2280-nvme-solid-state-drive-mz-v7s1t0bam</x:v>
      </x:c>
      <x:c r="M435" s="35" t="str">
        <x:v>https://fr.pcpartpicker.com/product/Zxw7YJ/samsung-970-evo-plus-1-tb-m2-2280-nvme-solid-state-drive-mz-v7s1t0bam</x:v>
      </x:c>
    </x:row>
    <x:row r="436">
      <x:c r="A436" s="33" t="str">
        <x:v>storage</x:v>
      </x:c>
      <x:c r="B436" s="34" t="str">
        <x:v>hf-internal-hard-drive-349392</x:v>
      </x:c>
      <x:c r="C436" s="34" t="str">
        <x:v>Samsung 980 Pro</x:v>
      </x:c>
      <x:c r="D436" s="34" t="str">
        <x:v>Samsung</x:v>
      </x:c>
      <x:c r="E436" s="82" t="n">
        <x:v>429.91</x:v>
      </x:c>
      <x:c r="F436" s="34" t="str">
        <x:v>USD</x:v>
      </x:c>
      <x:c r="G436" s="34" t="str">
        <x:v>reference</x:v>
      </x:c>
      <x:c r="H436" s="34" t="str">
        <x:v>2026-06-28</x:v>
      </x:c>
      <x:c r="I436" s="34" t="str">
        <x:v>capacityTb=2; interface=NVMe; readSpeedMb=7000; writeSpeedMb=5950</x:v>
      </x:c>
      <x:c r="J436" s="34" t="str">
        <x:v>NVMe, 2TB, SSD, dataset</x:v>
      </x:c>
      <x:c r="K436" s="34" t="str">
        <x:v>2TB NVMe solid-state drive; throughput is an interface-class estimate when the source omits it.</x:v>
      </x:c>
      <x:c r="L436" s="34" t="str">
        <x:v>https://fr.pcpartpicker.com/product/f3cRsY/samsung-980-pro-2-tb-m2-2280-nvme-solid-state-drive-mz-v8p2t0bam</x:v>
      </x:c>
      <x:c r="M436" s="35" t="str">
        <x:v>https://fr.pcpartpicker.com/product/f3cRsY/samsung-980-pro-2-tb-m2-2280-nvme-solid-state-drive-mz-v8p2t0bam</x:v>
      </x:c>
    </x:row>
    <x:row r="437">
      <x:c r="A437" s="33" t="str">
        <x:v>storage</x:v>
      </x:c>
      <x:c r="B437" s="34" t="str">
        <x:v>hf-internal-hard-drive-438389</x:v>
      </x:c>
      <x:c r="C437" s="34" t="str">
        <x:v>Samsung 990 Pro</x:v>
      </x:c>
      <x:c r="D437" s="34" t="str">
        <x:v>Samsung</x:v>
      </x:c>
      <x:c r="E437" s="82" t="n">
        <x:v>381.91</x:v>
      </x:c>
      <x:c r="F437" s="34" t="str">
        <x:v>USD</x:v>
      </x:c>
      <x:c r="G437" s="34" t="str">
        <x:v>reference</x:v>
      </x:c>
      <x:c r="H437" s="34" t="str">
        <x:v>2026-06-28</x:v>
      </x:c>
      <x:c r="I437" s="34" t="str">
        <x:v>capacityTb=2; interface=NVMe; readSpeedMb=7000; writeSpeedMb=5950</x:v>
      </x:c>
      <x:c r="J437" s="34" t="str">
        <x:v>NVMe, 2TB, SSD, dataset</x:v>
      </x:c>
      <x:c r="K437" s="34" t="str">
        <x:v>2TB NVMe solid-state drive; throughput is an interface-class estimate when the source omits it.</x:v>
      </x:c>
      <x:c r="L437" s="34" t="str">
        <x:v>https://fr.pcpartpicker.com/product/34ytt6/samsung-990-pro-2-tb-m2-2280-pcie-40-x4-nvme-solid-state-drive-mz-v9p2t0bw</x:v>
      </x:c>
      <x:c r="M437" s="35" t="str">
        <x:v>https://fr.pcpartpicker.com/product/34ytt6/samsung-990-pro-2-tb-m2-2280-pcie-40-x4-nvme-solid-state-drive-mz-v9p2t0bw</x:v>
      </x:c>
    </x:row>
    <x:row r="438">
      <x:c r="A438" s="33" t="str">
        <x:v>storage</x:v>
      </x:c>
      <x:c r="B438" s="34" t="str">
        <x:v>hf-internal-hard-drive-14740</x:v>
      </x:c>
      <x:c r="C438" s="34" t="str">
        <x:v>Kingston SSDNow V300</x:v>
      </x:c>
      <x:c r="D438" s="34" t="str">
        <x:v>Kingston</x:v>
      </x:c>
      <x:c r="E438" s="82" t="n">
        <x:v>98.85</x:v>
      </x:c>
      <x:c r="F438" s="34" t="str">
        <x:v>USD</x:v>
      </x:c>
      <x:c r="G438" s="34" t="str">
        <x:v>reference</x:v>
      </x:c>
      <x:c r="H438" s="34" t="str">
        <x:v>2026-06-28</x:v>
      </x:c>
      <x:c r="I438" s="34" t="str">
        <x:v>capacityTb=0.12; interface=SATA; readSpeedMb=550; writeSpeedMb=468</x:v>
      </x:c>
      <x:c r="J438" s="34" t="str">
        <x:v>SATA, 0.12TB, SSD, dataset</x:v>
      </x:c>
      <x:c r="K438" s="34" t="str">
        <x:v>0.12TB SATA solid-state drive; throughput is an interface-class estimate when the source omits it.</x:v>
      </x:c>
      <x:c r="L438" s="34" t="str">
        <x:v>https://fr.pcpartpicker.com/product/rtzv6h/kingston-internal-hard-drive-sv300s37a120g</x:v>
      </x:c>
      <x:c r="M438" s="35" t="str">
        <x:v>https://fr.pcpartpicker.com/product/rtzv6h/kingston-internal-hard-drive-sv300s37a120g</x:v>
      </x:c>
    </x:row>
    <x:row r="439">
      <x:c r="A439" s="33" t="str">
        <x:v>storage</x:v>
      </x:c>
      <x:c r="B439" s="34" t="str">
        <x:v>hf-internal-hard-drive-428220</x:v>
      </x:c>
      <x:c r="C439" s="34" t="str">
        <x:v>Western Digital WD_Black SN850X</x:v>
      </x:c>
      <x:c r="D439" s="34" t="str">
        <x:v>Western Digital</x:v>
      </x:c>
      <x:c r="E439" s="82" t="n">
        <x:v>393.15</x:v>
      </x:c>
      <x:c r="F439" s="34" t="str">
        <x:v>USD</x:v>
      </x:c>
      <x:c r="G439" s="34" t="str">
        <x:v>reference</x:v>
      </x:c>
      <x:c r="H439" s="34" t="str">
        <x:v>2026-06-28</x:v>
      </x:c>
      <x:c r="I439" s="34" t="str">
        <x:v>capacityTb=2; interface=NVMe; readSpeedMb=7000; writeSpeedMb=5950</x:v>
      </x:c>
      <x:c r="J439" s="34" t="str">
        <x:v>NVMe, 2TB, SSD, dataset</x:v>
      </x:c>
      <x:c r="K439" s="34" t="str">
        <x:v>2TB NVMe solid-state drive; throughput is an interface-class estimate when the source omits it.</x:v>
      </x:c>
      <x:c r="L439" s="34" t="str">
        <x:v>https://fr.pcpartpicker.com/product/crKKHx/western-digital-wd_black-sn850x-2-tb-m2-2280-pcie-40-x4-nvme-solid-state-drive-wds200t2x0e</x:v>
      </x:c>
      <x:c r="M439" s="35" t="str">
        <x:v>https://fr.pcpartpicker.com/product/crKKHx/western-digital-wd_black-sn850x-2-tb-m2-2280-pcie-40-x4-nvme-solid-state-drive-wds200t2x0e</x:v>
      </x:c>
    </x:row>
    <x:row r="440">
      <x:c r="A440" s="33" t="str">
        <x:v>storage</x:v>
      </x:c>
      <x:c r="B440" s="34" t="str">
        <x:v>hf-internal-hard-drive-272965</x:v>
      </x:c>
      <x:c r="C440" s="34" t="str">
        <x:v>Western Digital Blue SN550</x:v>
      </x:c>
      <x:c r="D440" s="34" t="str">
        <x:v>Western Digital</x:v>
      </x:c>
      <x:c r="E440" s="82" t="n">
        <x:v>319.17</x:v>
      </x:c>
      <x:c r="F440" s="34" t="str">
        <x:v>USD</x:v>
      </x:c>
      <x:c r="G440" s="34" t="str">
        <x:v>reference</x:v>
      </x:c>
      <x:c r="H440" s="34" t="str">
        <x:v>2026-06-28</x:v>
      </x:c>
      <x:c r="I440" s="34" t="str">
        <x:v>capacityTb=1; interface=NVMe; readSpeedMb=3500; writeSpeedMb=2975</x:v>
      </x:c>
      <x:c r="J440" s="34" t="str">
        <x:v>NVMe, 1TB, SSD, dataset</x:v>
      </x:c>
      <x:c r="K440" s="34" t="str">
        <x:v>1TB NVMe solid-state drive; throughput is an interface-class estimate when the source omits it.</x:v>
      </x:c>
      <x:c r="L440" s="34" t="str">
        <x:v>https://fr.pcpartpicker.com/product/BhmFf7/western-digital-blue-sn550-1-tb-m2-2280-nvme-solid-state-drive-wds100t2b0c</x:v>
      </x:c>
      <x:c r="M440" s="35" t="str">
        <x:v>https://fr.pcpartpicker.com/product/BhmFf7/western-digital-blue-sn550-1-tb-m2-2280-nvme-solid-state-drive-wds100t2b0c</x:v>
      </x:c>
    </x:row>
    <x:row r="441">
      <x:c r="A441" s="33" t="str">
        <x:v>storage</x:v>
      </x:c>
      <x:c r="B441" s="34" t="str">
        <x:v>hf-internal-hard-drive-151257</x:v>
      </x:c>
      <x:c r="C441" s="34" t="str">
        <x:v>Crucial MX500</x:v>
      </x:c>
      <x:c r="D441" s="34" t="str">
        <x:v>Crucial</x:v>
      </x:c>
      <x:c r="E441" s="82" t="n">
        <x:v>492.17</x:v>
      </x:c>
      <x:c r="F441" s="34" t="str">
        <x:v>USD</x:v>
      </x:c>
      <x:c r="G441" s="34" t="str">
        <x:v>reference</x:v>
      </x:c>
      <x:c r="H441" s="34" t="str">
        <x:v>2026-06-28</x:v>
      </x:c>
      <x:c r="I441" s="34" t="str">
        <x:v>capacityTb=1; interface=SATA; readSpeedMb=550; writeSpeedMb=468</x:v>
      </x:c>
      <x:c r="J441" s="34" t="str">
        <x:v>SATA, 1TB, SSD, dataset</x:v>
      </x:c>
      <x:c r="K441" s="34" t="str">
        <x:v>1TB SATA solid-state drive; throughput is an interface-class estimate when the source omits it.</x:v>
      </x:c>
      <x:c r="L441" s="34" t="str">
        <x:v>https://fr.pcpartpicker.com/product/h3tQzy/crucial-mx500-1tb-25-solid-state-drive-ct1000mx500ssd1</x:v>
      </x:c>
      <x:c r="M441" s="35" t="str">
        <x:v>https://fr.pcpartpicker.com/product/h3tQzy/crucial-mx500-1tb-25-solid-state-drive-ct1000mx500ssd1</x:v>
      </x:c>
    </x:row>
    <x:row r="442">
      <x:c r="A442" s="33" t="str">
        <x:v>storage</x:v>
      </x:c>
      <x:c r="B442" s="34" t="str">
        <x:v>hf-internal-hard-drive-402500</x:v>
      </x:c>
      <x:c r="C442" s="34" t="str">
        <x:v>Western Digital Black SN770</x:v>
      </x:c>
      <x:c r="D442" s="34" t="str">
        <x:v>Western Digital</x:v>
      </x:c>
      <x:c r="E442" s="82" t="n">
        <x:v>342.03</x:v>
      </x:c>
      <x:c r="F442" s="34" t="str">
        <x:v>USD</x:v>
      </x:c>
      <x:c r="G442" s="34" t="str">
        <x:v>reference</x:v>
      </x:c>
      <x:c r="H442" s="34" t="str">
        <x:v>2026-06-28</x:v>
      </x:c>
      <x:c r="I442" s="34" t="str">
        <x:v>capacityTb=1; interface=NVMe; readSpeedMb=7000; writeSpeedMb=5950</x:v>
      </x:c>
      <x:c r="J442" s="34" t="str">
        <x:v>NVMe, 1TB, SSD, dataset</x:v>
      </x:c>
      <x:c r="K442" s="34" t="str">
        <x:v>1TB NVMe solid-state drive; throughput is an interface-class estimate when the source omits it.</x:v>
      </x:c>
      <x:c r="L442" s="34" t="str">
        <x:v>https://fr.pcpartpicker.com/product/YVytt6/western-digital-1-tb-m2-2280-nvme-solid-state-drive-wds100t3x0e</x:v>
      </x:c>
      <x:c r="M442" s="35" t="str">
        <x:v>https://fr.pcpartpicker.com/product/YVytt6/western-digital-1-tb-m2-2280-nvme-solid-state-drive-wds100t3x0e</x:v>
      </x:c>
    </x:row>
    <x:row r="443">
      <x:c r="A443" s="33" t="str">
        <x:v>storage</x:v>
      </x:c>
      <x:c r="B443" s="34" t="str">
        <x:v>hf-internal-hard-drive-200195</x:v>
      </x:c>
      <x:c r="C443" s="34" t="str">
        <x:v>Intel 660p</x:v>
      </x:c>
      <x:c r="D443" s="34" t="str">
        <x:v>Intel</x:v>
      </x:c>
      <x:c r="E443" s="82" t="n">
        <x:v>232.64</x:v>
      </x:c>
      <x:c r="F443" s="34" t="str">
        <x:v>USD</x:v>
      </x:c>
      <x:c r="G443" s="34" t="str">
        <x:v>reference</x:v>
      </x:c>
      <x:c r="H443" s="34" t="str">
        <x:v>2026-06-28</x:v>
      </x:c>
      <x:c r="I443" s="34" t="str">
        <x:v>capacityTb=1.02; interface=NVMe; readSpeedMb=3500; writeSpeedMb=2975</x:v>
      </x:c>
      <x:c r="J443" s="34" t="str">
        <x:v>NVMe, 1.02TB, SSD, dataset</x:v>
      </x:c>
      <x:c r="K443" s="34" t="str">
        <x:v>1.02TB NVMe solid-state drive; throughput is an interface-class estimate when the source omits it.</x:v>
      </x:c>
      <x:c r="L443" s="34" t="str">
        <x:v>https://fr.pcpartpicker.com/product/9nhKHx/intel-660p-series-1tb-m2-2280-solid-state-drive-ssdpeknw010t8x1</x:v>
      </x:c>
      <x:c r="M443" s="35" t="str">
        <x:v>https://fr.pcpartpicker.com/product/9nhKHx/intel-660p-series-1tb-m2-2280-solid-state-drive-ssdpeknw010t8x1</x:v>
      </x:c>
    </x:row>
    <x:row r="444">
      <x:c r="A444" s="33" t="str">
        <x:v>storage</x:v>
      </x:c>
      <x:c r="B444" s="34" t="str">
        <x:v>hf-internal-hard-drive-108930</x:v>
      </x:c>
      <x:c r="C444" s="34" t="str">
        <x:v>Kingston A400</x:v>
      </x:c>
      <x:c r="D444" s="34" t="str">
        <x:v>Kingston</x:v>
      </x:c>
      <x:c r="E444" s="82" t="n">
        <x:v>80.79</x:v>
      </x:c>
      <x:c r="F444" s="34" t="str">
        <x:v>USD</x:v>
      </x:c>
      <x:c r="G444" s="34" t="str">
        <x:v>reference</x:v>
      </x:c>
      <x:c r="H444" s="34" t="str">
        <x:v>2026-06-28</x:v>
      </x:c>
      <x:c r="I444" s="34" t="str">
        <x:v>capacityTb=0.24; interface=SATA; readSpeedMb=550; writeSpeedMb=468</x:v>
      </x:c>
      <x:c r="J444" s="34" t="str">
        <x:v>SATA, 0.24TB, SSD, dataset</x:v>
      </x:c>
      <x:c r="K444" s="34" t="str">
        <x:v>0.24TB SATA solid-state drive; throughput is an interface-class estimate when the source omits it.</x:v>
      </x:c>
      <x:c r="L444" s="34" t="str">
        <x:v>https://fr.pcpartpicker.com/product/btDzK8/kingston-a400-240gb-25-solid-state-drive-sa400s37240g</x:v>
      </x:c>
      <x:c r="M444" s="35" t="str">
        <x:v>https://fr.pcpartpicker.com/product/btDzK8/kingston-a400-240gb-25-solid-state-drive-sa400s37240g</x:v>
      </x:c>
    </x:row>
    <x:row r="445">
      <x:c r="A445" s="33" t="str">
        <x:v>storage</x:v>
      </x:c>
      <x:c r="B445" s="34" t="str">
        <x:v>hf-internal-hard-drive-422206</x:v>
      </x:c>
      <x:c r="C445" s="34" t="str">
        <x:v>Crucial P3 Plus</x:v>
      </x:c>
      <x:c r="D445" s="34" t="str">
        <x:v>Crucial</x:v>
      </x:c>
      <x:c r="E445" s="82" t="n">
        <x:v>303.26</x:v>
      </x:c>
      <x:c r="F445" s="34" t="str">
        <x:v>USD</x:v>
      </x:c>
      <x:c r="G445" s="34" t="str">
        <x:v>reference</x:v>
      </x:c>
      <x:c r="H445" s="34" t="str">
        <x:v>2026-06-28</x:v>
      </x:c>
      <x:c r="I445" s="34" t="str">
        <x:v>capacityTb=2; interface=NVMe; readSpeedMb=7000; writeSpeedMb=5950</x:v>
      </x:c>
      <x:c r="J445" s="34" t="str">
        <x:v>NVMe, 2TB, SSD, dataset</x:v>
      </x:c>
      <x:c r="K445" s="34" t="str">
        <x:v>2TB NVMe solid-state drive; throughput is an interface-class estimate when the source omits it.</x:v>
      </x:c>
      <x:c r="L445" s="34" t="str">
        <x:v>https://fr.pcpartpicker.com/product/yGZ9TW/crucial-p3-plus-2-tb-m2-2280-nvme-solid-state-drive-ct2000p3pssd8</x:v>
      </x:c>
      <x:c r="M445" s="35" t="str">
        <x:v>https://fr.pcpartpicker.com/product/yGZ9TW/crucial-p3-plus-2-tb-m2-2280-nvme-solid-state-drive-ct2000p3pssd8</x:v>
      </x:c>
    </x:row>
    <x:row r="446">
      <x:c r="A446" s="33" t="str">
        <x:v>storage</x:v>
      </x:c>
      <x:c r="B446" s="34" t="str">
        <x:v>hf-internal-hard-drive-152372</x:v>
      </x:c>
      <x:c r="C446" s="34" t="str">
        <x:v>Western Digital Blue</x:v>
      </x:c>
      <x:c r="D446" s="34" t="str">
        <x:v>Western Digital</x:v>
      </x:c>
      <x:c r="E446" s="82" t="n">
        <x:v>378.8</x:v>
      </x:c>
      <x:c r="F446" s="34" t="str">
        <x:v>USD</x:v>
      </x:c>
      <x:c r="G446" s="34" t="str">
        <x:v>reference</x:v>
      </x:c>
      <x:c r="H446" s="34" t="str">
        <x:v>2026-06-28</x:v>
      </x:c>
      <x:c r="I446" s="34" t="str">
        <x:v>capacityTb=1; interface=SATA; readSpeedMb=550; writeSpeedMb=468</x:v>
      </x:c>
      <x:c r="J446" s="34" t="str">
        <x:v>SATA, 1TB, SSD, dataset</x:v>
      </x:c>
      <x:c r="K446" s="34" t="str">
        <x:v>1TB SATA solid-state drive; throughput is an interface-class estimate when the source omits it.</x:v>
      </x:c>
      <x:c r="L446" s="34" t="str">
        <x:v>https://fr.pcpartpicker.com/product/GTCD4D/western-digital-blue-1tb-25-solid-state-drive-wds100t2b0a</x:v>
      </x:c>
      <x:c r="M446" s="35" t="str">
        <x:v>https://fr.pcpartpicker.com/product/GTCD4D/western-digital-blue-1tb-25-solid-state-drive-wds100t2b0a</x:v>
      </x:c>
    </x:row>
    <x:row r="447">
      <x:c r="A447" s="33" t="str">
        <x:v>storage</x:v>
      </x:c>
      <x:c r="B447" s="34" t="str">
        <x:v>hf-internal-hard-drive-357366</x:v>
      </x:c>
      <x:c r="C447" s="34" t="str">
        <x:v>Samsung 980</x:v>
      </x:c>
      <x:c r="D447" s="34" t="str">
        <x:v>Samsung</x:v>
      </x:c>
      <x:c r="E447" s="82" t="n">
        <x:v>302.13</x:v>
      </x:c>
      <x:c r="F447" s="34" t="str">
        <x:v>USD</x:v>
      </x:c>
      <x:c r="G447" s="34" t="str">
        <x:v>reference</x:v>
      </x:c>
      <x:c r="H447" s="34" t="str">
        <x:v>2026-06-28</x:v>
      </x:c>
      <x:c r="I447" s="34" t="str">
        <x:v>capacityTb=1; interface=NVMe; readSpeedMb=3500; writeSpeedMb=2975</x:v>
      </x:c>
      <x:c r="J447" s="34" t="str">
        <x:v>NVMe, 1TB, SSD, dataset</x:v>
      </x:c>
      <x:c r="K447" s="34" t="str">
        <x:v>1TB NVMe solid-state drive; throughput is an interface-class estimate when the source omits it.</x:v>
      </x:c>
      <x:c r="L447" s="34" t="str">
        <x:v>https://fr.pcpartpicker.com/product/mKBG3C/samsung-980-1-tb-m2-2280-nvme-solid-state-drive-mz-v8v1t0bam</x:v>
      </x:c>
      <x:c r="M447" s="35" t="str">
        <x:v>https://fr.pcpartpicker.com/product/mKBG3C/samsung-980-1-tb-m2-2280-nvme-solid-state-drive-mz-v8v1t0bam</x:v>
      </x:c>
    </x:row>
    <x:row r="448">
      <x:c r="A448" s="33" t="str">
        <x:v>storage</x:v>
      </x:c>
      <x:c r="B448" s="34" t="str">
        <x:v>hf-internal-hard-drive-21614</x:v>
      </x:c>
      <x:c r="C448" s="34" t="str">
        <x:v>Seagate ST1000DX001</x:v>
      </x:c>
      <x:c r="D448" s="34" t="str">
        <x:v>Seagate</x:v>
      </x:c>
      <x:c r="E448" s="82" t="n">
        <x:v>98.05</x:v>
      </x:c>
      <x:c r="F448" s="34" t="str">
        <x:v>USD</x:v>
      </x:c>
      <x:c r="G448" s="34" t="str">
        <x:v>reference</x:v>
      </x:c>
      <x:c r="H448" s="34" t="str">
        <x:v>2026-06-28</x:v>
      </x:c>
      <x:c r="I448" s="34" t="str">
        <x:v>capacityTb=1; interface=SATA; readSpeedMb=550; writeSpeedMb=468</x:v>
      </x:c>
      <x:c r="J448" s="34" t="str">
        <x:v>SATA, 1TB, SSD, dataset</x:v>
      </x:c>
      <x:c r="K448" s="34" t="str">
        <x:v>1TB SATA solid-state drive; throughput is an interface-class estimate when the source omits it.</x:v>
      </x:c>
      <x:c r="L448" s="34" t="str">
        <x:v>https://fr.pcpartpicker.com/product/ftPfrH/seagate-internal-hard-drive-st1000dx001</x:v>
      </x:c>
      <x:c r="M448" s="35" t="str">
        <x:v>https://fr.pcpartpicker.com/product/ftPfrH/seagate-internal-hard-drive-st1000dx001</x:v>
      </x:c>
    </x:row>
    <x:row r="449">
      <x:c r="A449" s="33" t="str">
        <x:v>storage</x:v>
      </x:c>
      <x:c r="B449" s="34" t="str">
        <x:v>hf-internal-hard-drive-54217</x:v>
      </x:c>
      <x:c r="C449" s="34" t="str">
        <x:v>SanDisk SSD PLUS</x:v>
      </x:c>
      <x:c r="D449" s="34" t="str">
        <x:v>SanDisk</x:v>
      </x:c>
      <x:c r="E449" s="82" t="n">
        <x:v>113.59</x:v>
      </x:c>
      <x:c r="F449" s="34" t="str">
        <x:v>USD</x:v>
      </x:c>
      <x:c r="G449" s="34" t="str">
        <x:v>reference</x:v>
      </x:c>
      <x:c r="H449" s="34" t="str">
        <x:v>2026-06-28</x:v>
      </x:c>
      <x:c r="I449" s="34" t="str">
        <x:v>capacityTb=0.24; interface=SATA; readSpeedMb=550; writeSpeedMb=468</x:v>
      </x:c>
      <x:c r="J449" s="34" t="str">
        <x:v>SATA, 0.24TB, SSD, dataset</x:v>
      </x:c>
      <x:c r="K449" s="34" t="str">
        <x:v>0.24TB SATA solid-state drive; throughput is an interface-class estimate when the source omits it.</x:v>
      </x:c>
      <x:c r="L449" s="34" t="str">
        <x:v>https://fr.pcpartpicker.com/product/8jH48d/sandisk-ssd-plus-240gb-25-solid-state-drive-sdssda-240g-g26</x:v>
      </x:c>
      <x:c r="M449" s="35" t="str">
        <x:v>https://fr.pcpartpicker.com/product/8jH48d/sandisk-ssd-plus-240gb-25-solid-state-drive-sdssda-240g-g26</x:v>
      </x:c>
    </x:row>
    <x:row r="450">
      <x:c r="A450" s="33" t="str">
        <x:v>storage</x:v>
      </x:c>
      <x:c r="B450" s="34" t="str">
        <x:v>hf-internal-hard-drive-346178</x:v>
      </x:c>
      <x:c r="C450" s="34" t="str">
        <x:v>Samsung 870 Evo</x:v>
      </x:c>
      <x:c r="D450" s="34" t="str">
        <x:v>Samsung</x:v>
      </x:c>
      <x:c r="E450" s="82" t="n">
        <x:v>289.61</x:v>
      </x:c>
      <x:c r="F450" s="34" t="str">
        <x:v>USD</x:v>
      </x:c>
      <x:c r="G450" s="34" t="str">
        <x:v>reference</x:v>
      </x:c>
      <x:c r="H450" s="34" t="str">
        <x:v>2026-06-28</x:v>
      </x:c>
      <x:c r="I450" s="34" t="str">
        <x:v>capacityTb=1; interface=SATA; readSpeedMb=550; writeSpeedMb=468</x:v>
      </x:c>
      <x:c r="J450" s="34" t="str">
        <x:v>SATA, 1TB, SSD, dataset</x:v>
      </x:c>
      <x:c r="K450" s="34" t="str">
        <x:v>1TB SATA solid-state drive; throughput is an interface-class estimate when the source omits it.</x:v>
      </x:c>
      <x:c r="L450" s="34" t="str">
        <x:v>https://fr.pcpartpicker.com/product/7nsnTW/samsung-870-evo-1-tb-25-solid-state-drive-mz-77e1t0bam</x:v>
      </x:c>
      <x:c r="M450" s="35" t="str">
        <x:v>https://fr.pcpartpicker.com/product/7nsnTW/samsung-870-evo-1-tb-25-solid-state-drive-mz-77e1t0bam</x:v>
      </x:c>
    </x:row>
    <x:row r="451">
      <x:c r="A451" s="33" t="str">
        <x:v>storage</x:v>
      </x:c>
      <x:c r="B451" s="34" t="str">
        <x:v>hf-internal-hard-drive-547749</x:v>
      </x:c>
      <x:c r="C451" s="34" t="str">
        <x:v>Samsung 990 EVO Plus</x:v>
      </x:c>
      <x:c r="D451" s="34" t="str">
        <x:v>Samsung</x:v>
      </x:c>
      <x:c r="E451" s="82" t="n">
        <x:v>304.77</x:v>
      </x:c>
      <x:c r="F451" s="34" t="str">
        <x:v>USD</x:v>
      </x:c>
      <x:c r="G451" s="34" t="str">
        <x:v>reference</x:v>
      </x:c>
      <x:c r="H451" s="34" t="str">
        <x:v>2026-06-28</x:v>
      </x:c>
      <x:c r="I451" s="34" t="str">
        <x:v>capacityTb=2; interface=NVMe; readSpeedMb=12000; writeSpeedMb=10200</x:v>
      </x:c>
      <x:c r="J451" s="34" t="str">
        <x:v>NVMe, 2TB, SSD, dataset</x:v>
      </x:c>
      <x:c r="K451" s="34" t="str">
        <x:v>2TB NVMe solid-state drive; throughput is an interface-class estimate when the source omits it.</x:v>
      </x:c>
      <x:c r="L451" s="34" t="str">
        <x:v>https://fr.pcpartpicker.com/product/hpqrxr/samsung-990-evo-plus-2-tb-m2-2280-pcie-50-x2-nvme-solid-state-drive-mz-v9s2t0bw</x:v>
      </x:c>
      <x:c r="M451" s="35" t="str">
        <x:v>https://fr.pcpartpicker.com/product/hpqrxr/samsung-990-evo-plus-2-tb-m2-2280-pcie-50-x2-nvme-solid-state-drive-mz-v9s2t0bw</x:v>
      </x:c>
    </x:row>
    <x:row r="452">
      <x:c r="A452" s="33" t="str">
        <x:v>storage</x:v>
      </x:c>
      <x:c r="B452" s="34" t="str">
        <x:v>hf-internal-hard-drive-261823</x:v>
      </x:c>
      <x:c r="C452" s="34" t="str">
        <x:v>TEAMGROUP MP33</x:v>
      </x:c>
      <x:c r="D452" s="34" t="str">
        <x:v>TEAMGROUP</x:v>
      </x:c>
      <x:c r="E452" s="82" t="n">
        <x:v>168.51</x:v>
      </x:c>
      <x:c r="F452" s="34" t="str">
        <x:v>USD</x:v>
      </x:c>
      <x:c r="G452" s="34" t="str">
        <x:v>reference</x:v>
      </x:c>
      <x:c r="H452" s="34" t="str">
        <x:v>2026-06-28</x:v>
      </x:c>
      <x:c r="I452" s="34" t="str">
        <x:v>capacityTb=1; interface=NVMe; readSpeedMb=3500; writeSpeedMb=2975</x:v>
      </x:c>
      <x:c r="J452" s="34" t="str">
        <x:v>NVMe, 1TB, SSD, dataset</x:v>
      </x:c>
      <x:c r="K452" s="34" t="str">
        <x:v>1TB NVMe solid-state drive; throughput is an interface-class estimate when the source omits it.</x:v>
      </x:c>
      <x:c r="L452" s="34" t="str">
        <x:v>https://fr.pcpartpicker.com/product/64MTwP/team-mp33-1-tb-m2-2280-nvme-solid-state-drive-tm8fp6001t0c101</x:v>
      </x:c>
      <x:c r="M452" s="35" t="str">
        <x:v>https://fr.pcpartpicker.com/product/64MTwP/team-mp33-1-tb-m2-2280-nvme-solid-state-drive-tm8fp6001t0c101</x:v>
      </x:c>
    </x:row>
    <x:row r="453">
      <x:c r="A453" s="33" t="str">
        <x:v>storage</x:v>
      </x:c>
      <x:c r="B453" s="34" t="str">
        <x:v>hf-internal-hard-drive-430420</x:v>
      </x:c>
      <x:c r="C453" s="34" t="str">
        <x:v>Silicon Power UD90</x:v>
      </x:c>
      <x:c r="D453" s="34" t="str">
        <x:v>Silicon Power</x:v>
      </x:c>
      <x:c r="E453" s="82" t="n">
        <x:v>250.81</x:v>
      </x:c>
      <x:c r="F453" s="34" t="str">
        <x:v>USD</x:v>
      </x:c>
      <x:c r="G453" s="34" t="str">
        <x:v>reference</x:v>
      </x:c>
      <x:c r="H453" s="34" t="str">
        <x:v>2026-06-28</x:v>
      </x:c>
      <x:c r="I453" s="34" t="str">
        <x:v>capacityTb=2; interface=NVMe; readSpeedMb=7000; writeSpeedMb=5950</x:v>
      </x:c>
      <x:c r="J453" s="34" t="str">
        <x:v>NVMe, 2TB, SSD, dataset</x:v>
      </x:c>
      <x:c r="K453" s="34" t="str">
        <x:v>2TB NVMe solid-state drive; throughput is an interface-class estimate when the source omits it.</x:v>
      </x:c>
      <x:c r="L453" s="34" t="str">
        <x:v>https://fr.pcpartpicker.com/product/f4cG3C/silicon-power-ud90-2-tb-m2-2280-pcie-40-x4-nvme-solid-state-drive-sp02kgbp44ud9005</x:v>
      </x:c>
      <x:c r="M453" s="35" t="str">
        <x:v>https://fr.pcpartpicker.com/product/f4cG3C/silicon-power-ud90-2-tb-m2-2280-pcie-40-x4-nvme-solid-state-drive-sp02kgbp44ud9005</x:v>
      </x:c>
    </x:row>
    <x:row r="454">
      <x:c r="A454" s="33" t="str">
        <x:v>storage</x:v>
      </x:c>
      <x:c r="B454" s="34" t="str">
        <x:v>hf-internal-hard-drive-539621</x:v>
      </x:c>
      <x:c r="C454" s="34" t="str">
        <x:v>Kingston NV3</x:v>
      </x:c>
      <x:c r="D454" s="34" t="str">
        <x:v>Kingston</x:v>
      </x:c>
      <x:c r="E454" s="82" t="n">
        <x:v>173.07</x:v>
      </x:c>
      <x:c r="F454" s="34" t="str">
        <x:v>USD</x:v>
      </x:c>
      <x:c r="G454" s="34" t="str">
        <x:v>reference</x:v>
      </x:c>
      <x:c r="H454" s="34" t="str">
        <x:v>2026-06-28</x:v>
      </x:c>
      <x:c r="I454" s="34" t="str">
        <x:v>capacityTb=1; interface=NVMe; readSpeedMb=7000; writeSpeedMb=5950</x:v>
      </x:c>
      <x:c r="J454" s="34" t="str">
        <x:v>NVMe, 1TB, SSD, dataset</x:v>
      </x:c>
      <x:c r="K454" s="34" t="str">
        <x:v>1TB NVMe solid-state drive; throughput is an interface-class estimate when the source omits it.</x:v>
      </x:c>
      <x:c r="L454" s="34" t="str">
        <x:v>https://fr.pcpartpicker.com/product/tmbRsY/kingston-nv3-1-tb-m2-2280-pcie-40-x4-nvme-solid-state-drive-snv3s1000g</x:v>
      </x:c>
      <x:c r="M454" s="35" t="str">
        <x:v>https://fr.pcpartpicker.com/product/tmbRsY/kingston-nv3-1-tb-m2-2280-pcie-40-x4-nvme-solid-state-drive-snv3s1000g</x:v>
      </x:c>
    </x:row>
    <x:row r="455">
      <x:c r="A455" s="33" t="str">
        <x:v>storage</x:v>
      </x:c>
      <x:c r="B455" s="34" t="str">
        <x:v>hf-internal-hard-drive-210165</x:v>
      </x:c>
      <x:c r="C455" s="34" t="str">
        <x:v>ADATA XPG SX8200 Pro</x:v>
      </x:c>
      <x:c r="D455" s="34" t="str">
        <x:v>ADATA</x:v>
      </x:c>
      <x:c r="E455" s="82" t="n">
        <x:v>139.45</x:v>
      </x:c>
      <x:c r="F455" s="34" t="str">
        <x:v>USD</x:v>
      </x:c>
      <x:c r="G455" s="34" t="str">
        <x:v>reference</x:v>
      </x:c>
      <x:c r="H455" s="34" t="str">
        <x:v>2026-06-28</x:v>
      </x:c>
      <x:c r="I455" s="34" t="str">
        <x:v>capacityTb=0.512; interface=NVMe; readSpeedMb=3500; writeSpeedMb=2975</x:v>
      </x:c>
      <x:c r="J455" s="34" t="str">
        <x:v>NVMe, 0.512TB, SSD, dataset</x:v>
      </x:c>
      <x:c r="K455" s="34" t="str">
        <x:v>0.512TB NVMe solid-state drive; throughput is an interface-class estimate when the source omits it.</x:v>
      </x:c>
      <x:c r="L455" s="34" t="str">
        <x:v>https://fr.pcpartpicker.com/product/kVzkcf/adata-xpg-sx8200-pro-512-gb-m2-2280-solid-state-drive-asx8200pnp-512gt-c</x:v>
      </x:c>
      <x:c r="M455" s="35" t="str">
        <x:v>https://fr.pcpartpicker.com/product/kVzkcf/adata-xpg-sx8200-pro-512-gb-m2-2280-solid-state-drive-asx8200pnp-512gt-c</x:v>
      </x:c>
    </x:row>
    <x:row r="456">
      <x:c r="A456" s="33" t="str">
        <x:v>storage</x:v>
      </x:c>
      <x:c r="B456" s="34" t="str">
        <x:v>hf-internal-hard-drive-82943</x:v>
      </x:c>
      <x:c r="C456" s="34" t="str">
        <x:v>Seagate FireCuda</x:v>
      </x:c>
      <x:c r="D456" s="34" t="str">
        <x:v>Seagate</x:v>
      </x:c>
      <x:c r="E456" s="82" t="n">
        <x:v>263.36</x:v>
      </x:c>
      <x:c r="F456" s="34" t="str">
        <x:v>USD</x:v>
      </x:c>
      <x:c r="G456" s="34" t="str">
        <x:v>reference</x:v>
      </x:c>
      <x:c r="H456" s="34" t="str">
        <x:v>2026-06-28</x:v>
      </x:c>
      <x:c r="I456" s="34" t="str">
        <x:v>capacityTb=2; interface=SATA; readSpeedMb=550; writeSpeedMb=468</x:v>
      </x:c>
      <x:c r="J456" s="34" t="str">
        <x:v>SATA, 2TB, SSD, dataset</x:v>
      </x:c>
      <x:c r="K456" s="34" t="str">
        <x:v>2TB SATA solid-state drive; throughput is an interface-class estimate when the source omits it.</x:v>
      </x:c>
      <x:c r="L456" s="34" t="str">
        <x:v>https://fr.pcpartpicker.com/product/zk7CmG/seagate-firecuda-2tb-25-5400rpm-internal-hard-drive-st2000lx001</x:v>
      </x:c>
      <x:c r="M456" s="35" t="str">
        <x:v>https://fr.pcpartpicker.com/product/zk7CmG/seagate-firecuda-2tb-25-5400rpm-internal-hard-drive-st2000lx001</x:v>
      </x:c>
    </x:row>
    <x:row r="457">
      <x:c r="A457" s="33" t="str">
        <x:v>storage</x:v>
      </x:c>
      <x:c r="B457" s="34" t="str">
        <x:v>hf-internal-hard-drive-438305</x:v>
      </x:c>
      <x:c r="C457" s="34" t="str">
        <x:v>TEAMGROUP MP44L</x:v>
      </x:c>
      <x:c r="D457" s="34" t="str">
        <x:v>TEAMGROUP</x:v>
      </x:c>
      <x:c r="E457" s="82" t="n">
        <x:v>332.78</x:v>
      </x:c>
      <x:c r="F457" s="34" t="str">
        <x:v>USD</x:v>
      </x:c>
      <x:c r="G457" s="34" t="str">
        <x:v>reference</x:v>
      </x:c>
      <x:c r="H457" s="34" t="str">
        <x:v>2026-06-28</x:v>
      </x:c>
      <x:c r="I457" s="34" t="str">
        <x:v>capacityTb=2; interface=NVMe; readSpeedMb=7000; writeSpeedMb=5950</x:v>
      </x:c>
      <x:c r="J457" s="34" t="str">
        <x:v>NVMe, 2TB, SSD, dataset</x:v>
      </x:c>
      <x:c r="K457" s="34" t="str">
        <x:v>2TB NVMe solid-state drive; throughput is an interface-class estimate when the source omits it.</x:v>
      </x:c>
      <x:c r="L457" s="34" t="str">
        <x:v>https://fr.pcpartpicker.com/product/2VJgXL/teamgroup-mp44l-2-tb-m2-2280-pcie-40-x4-nvme-solid-state-drive-tm8fpk002t0c101</x:v>
      </x:c>
      <x:c r="M457" s="35" t="str">
        <x:v>https://fr.pcpartpicker.com/product/2VJgXL/teamgroup-mp44l-2-tb-m2-2280-pcie-40-x4-nvme-solid-state-drive-tm8fpk002t0c101</x:v>
      </x:c>
    </x:row>
    <x:row r="458">
      <x:c r="A458" s="33" t="str">
        <x:v>storage</x:v>
      </x:c>
      <x:c r="B458" s="34" t="str">
        <x:v>hf-internal-hard-drive-255702</x:v>
      </x:c>
      <x:c r="C458" s="34" t="str">
        <x:v>Kingston A2000</x:v>
      </x:c>
      <x:c r="D458" s="34" t="str">
        <x:v>Kingston</x:v>
      </x:c>
      <x:c r="E458" s="82" t="n">
        <x:v>214.01</x:v>
      </x:c>
      <x:c r="F458" s="34" t="str">
        <x:v>USD</x:v>
      </x:c>
      <x:c r="G458" s="34" t="str">
        <x:v>reference</x:v>
      </x:c>
      <x:c r="H458" s="34" t="str">
        <x:v>2026-06-28</x:v>
      </x:c>
      <x:c r="I458" s="34" t="str">
        <x:v>capacityTb=1; interface=NVMe; readSpeedMb=3500; writeSpeedMb=2975</x:v>
      </x:c>
      <x:c r="J458" s="34" t="str">
        <x:v>NVMe, 1TB, SSD, dataset</x:v>
      </x:c>
      <x:c r="K458" s="34" t="str">
        <x:v>1TB NVMe solid-state drive; throughput is an interface-class estimate when the source omits it.</x:v>
      </x:c>
      <x:c r="L458" s="34" t="str">
        <x:v>https://fr.pcpartpicker.com/product/9vWBD3/kingston-a2000-1-tb-m2-2280-nvme-solid-state-drive-sa2000m81000g</x:v>
      </x:c>
      <x:c r="M458" s="35" t="str">
        <x:v>https://fr.pcpartpicker.com/product/9vWBD3/kingston-a2000-1-tb-m2-2280-nvme-solid-state-drive-sa2000m81000g</x:v>
      </x:c>
    </x:row>
    <x:row r="459">
      <x:c r="A459" s="33" t="str">
        <x:v>storage</x:v>
      </x:c>
      <x:c r="B459" s="34" t="str">
        <x:v>hf-internal-hard-drive-394005</x:v>
      </x:c>
      <x:c r="C459" s="34" t="str">
        <x:v>Kingston KC3000</x:v>
      </x:c>
      <x:c r="D459" s="34" t="str">
        <x:v>Kingston</x:v>
      </x:c>
      <x:c r="E459" s="82" t="n">
        <x:v>364.82</x:v>
      </x:c>
      <x:c r="F459" s="34" t="str">
        <x:v>USD</x:v>
      </x:c>
      <x:c r="G459" s="34" t="str">
        <x:v>reference</x:v>
      </x:c>
      <x:c r="H459" s="34" t="str">
        <x:v>2026-06-28</x:v>
      </x:c>
      <x:c r="I459" s="34" t="str">
        <x:v>capacityTb=2.048; interface=NVMe; readSpeedMb=7000; writeSpeedMb=5950</x:v>
      </x:c>
      <x:c r="J459" s="34" t="str">
        <x:v>NVMe, 2.048TB, SSD, dataset</x:v>
      </x:c>
      <x:c r="K459" s="34" t="str">
        <x:v>2.048TB NVMe solid-state drive; throughput is an interface-class estimate when the source omits it.</x:v>
      </x:c>
      <x:c r="L459" s="34" t="str">
        <x:v>https://fr.pcpartpicker.com/product/sJPQzy/kingston-kc3000-2048-tb-m2-2280-nvme-solid-state-drive-skc3000d2048g</x:v>
      </x:c>
      <x:c r="M459" s="35" t="str">
        <x:v>https://fr.pcpartpicker.com/product/sJPQzy/kingston-kc3000-2048-tb-m2-2280-nvme-solid-state-drive-skc3000d2048g</x:v>
      </x:c>
    </x:row>
    <x:row r="460">
      <x:c r="A460" s="33" t="str">
        <x:v>storage</x:v>
      </x:c>
      <x:c r="B460" s="34" t="str">
        <x:v>hf-internal-hard-drive-21587</x:v>
      </x:c>
      <x:c r="C460" s="34" t="str">
        <x:v>Seagate ST2000DX001</x:v>
      </x:c>
      <x:c r="D460" s="34" t="str">
        <x:v>Seagate</x:v>
      </x:c>
      <x:c r="E460" s="82" t="n">
        <x:v>170.95</x:v>
      </x:c>
      <x:c r="F460" s="34" t="str">
        <x:v>USD</x:v>
      </x:c>
      <x:c r="G460" s="34" t="str">
        <x:v>reference</x:v>
      </x:c>
      <x:c r="H460" s="34" t="str">
        <x:v>2026-06-28</x:v>
      </x:c>
      <x:c r="I460" s="34" t="str">
        <x:v>capacityTb=2; interface=SATA; readSpeedMb=550; writeSpeedMb=468</x:v>
      </x:c>
      <x:c r="J460" s="34" t="str">
        <x:v>SATA, 2TB, SSD, dataset</x:v>
      </x:c>
      <x:c r="K460" s="34" t="str">
        <x:v>2TB SATA solid-state drive; throughput is an interface-class estimate when the source omits it.</x:v>
      </x:c>
      <x:c r="L460" s="34" t="str">
        <x:v>https://fr.pcpartpicker.com/product/tR2kcf/seagate-internal-hard-drive-st2000dx001</x:v>
      </x:c>
      <x:c r="M460" s="35" t="str">
        <x:v>https://fr.pcpartpicker.com/product/tR2kcf/seagate-internal-hard-drive-st2000dx001</x:v>
      </x:c>
    </x:row>
    <x:row r="461">
      <x:c r="A461" s="33" t="str">
        <x:v>storage</x:v>
      </x:c>
      <x:c r="B461" s="34" t="str">
        <x:v>hf-internal-hard-drive-267499</x:v>
      </x:c>
      <x:c r="C461" s="34" t="str">
        <x:v>Silicon Power P34A60</x:v>
      </x:c>
      <x:c r="D461" s="34" t="str">
        <x:v>Silicon Power</x:v>
      </x:c>
      <x:c r="E461" s="82" t="n">
        <x:v>110.59</x:v>
      </x:c>
      <x:c r="F461" s="34" t="str">
        <x:v>USD</x:v>
      </x:c>
      <x:c r="G461" s="34" t="str">
        <x:v>reference</x:v>
      </x:c>
      <x:c r="H461" s="34" t="str">
        <x:v>2026-06-28</x:v>
      </x:c>
      <x:c r="I461" s="34" t="str">
        <x:v>capacityTb=0.512; interface=NVMe; readSpeedMb=3500; writeSpeedMb=2975</x:v>
      </x:c>
      <x:c r="J461" s="34" t="str">
        <x:v>NVMe, 0.512TB, SSD, dataset</x:v>
      </x:c>
      <x:c r="K461" s="34" t="str">
        <x:v>0.512TB NVMe solid-state drive; throughput is an interface-class estimate when the source omits it.</x:v>
      </x:c>
      <x:c r="L461" s="34" t="str">
        <x:v>https://fr.pcpartpicker.com/product/94gQzy/silicon-power-p34a60-512-gb-m2-2280-pcie-30-x4-nvme-solid-state-drive-sp512gbp34a60m28</x:v>
      </x:c>
      <x:c r="M461" s="35" t="str">
        <x:v>https://fr.pcpartpicker.com/product/94gQzy/silicon-power-p34a60-512-gb-m2-2280-pcie-30-x4-nvme-solid-state-drive-sp512gbp34a60m28</x:v>
      </x:c>
    </x:row>
    <x:row r="462">
      <x:c r="A462" s="33" t="str">
        <x:v>storage</x:v>
      </x:c>
      <x:c r="B462" s="34" t="str">
        <x:v>hf-internal-hard-drive-156751</x:v>
      </x:c>
      <x:c r="C462" s="34" t="str">
        <x:v>Samsung 860 Evo</x:v>
      </x:c>
      <x:c r="D462" s="34" t="str">
        <x:v>Samsung</x:v>
      </x:c>
      <x:c r="E462" s="82" t="n">
        <x:v>569.99</x:v>
      </x:c>
      <x:c r="F462" s="34" t="str">
        <x:v>USD</x:v>
      </x:c>
      <x:c r="G462" s="34" t="str">
        <x:v>reference</x:v>
      </x:c>
      <x:c r="H462" s="34" t="str">
        <x:v>2026-06-28</x:v>
      </x:c>
      <x:c r="I462" s="34" t="str">
        <x:v>capacityTb=2; interface=SATA; readSpeedMb=550; writeSpeedMb=468</x:v>
      </x:c>
      <x:c r="J462" s="34" t="str">
        <x:v>SATA, 2TB, SSD, dataset</x:v>
      </x:c>
      <x:c r="K462" s="34" t="str">
        <x:v>2TB SATA solid-state drive; throughput is an interface-class estimate when the source omits it.</x:v>
      </x:c>
      <x:c r="L462" s="34" t="str">
        <x:v>https://fr.pcpartpicker.com/product/dQ66Mp/samsung-860-evo-2tb-25-solid-state-drive-mz-76e2t0bam</x:v>
      </x:c>
      <x:c r="M462" s="35" t="str">
        <x:v>https://fr.pcpartpicker.com/product/dQ66Mp/samsung-860-evo-2tb-25-solid-state-drive-mz-76e2t0bam</x:v>
      </x:c>
    </x:row>
    <x:row r="463">
      <x:c r="A463" s="33" t="str">
        <x:v>storage</x:v>
      </x:c>
      <x:c r="B463" s="34" t="str">
        <x:v>hf-internal-hard-drive-264184</x:v>
      </x:c>
      <x:c r="C463" s="34" t="str">
        <x:v>Crucial BX500</x:v>
      </x:c>
      <x:c r="D463" s="34" t="str">
        <x:v>Crucial</x:v>
      </x:c>
      <x:c r="E463" s="82" t="n">
        <x:v>148.21</x:v>
      </x:c>
      <x:c r="F463" s="34" t="str">
        <x:v>USD</x:v>
      </x:c>
      <x:c r="G463" s="34" t="str">
        <x:v>reference</x:v>
      </x:c>
      <x:c r="H463" s="34" t="str">
        <x:v>2026-06-28</x:v>
      </x:c>
      <x:c r="I463" s="34" t="str">
        <x:v>capacityTb=1; interface=SATA; readSpeedMb=550; writeSpeedMb=468</x:v>
      </x:c>
      <x:c r="J463" s="34" t="str">
        <x:v>SATA, 1TB, SSD, dataset</x:v>
      </x:c>
      <x:c r="K463" s="34" t="str">
        <x:v>1TB SATA solid-state drive; throughput is an interface-class estimate when the source omits it.</x:v>
      </x:c>
      <x:c r="L463" s="34" t="str">
        <x:v>https://fr.pcpartpicker.com/product/LFZzK8/crucial-bx500-1-tb-25-solid-state-drive-ct1000bx500ssd1</x:v>
      </x:c>
      <x:c r="M463" s="35" t="str">
        <x:v>https://fr.pcpartpicker.com/product/LFZzK8/crucial-bx500-1-tb-25-solid-state-drive-ct1000bx500ssd1</x:v>
      </x:c>
    </x:row>
    <x:row r="464">
      <x:c r="A464" s="33" t="str">
        <x:v>storage</x:v>
      </x:c>
      <x:c r="B464" s="34" t="str">
        <x:v>hf-internal-hard-drive-495614</x:v>
      </x:c>
      <x:c r="C464" s="34" t="str">
        <x:v>Crucial T500</x:v>
      </x:c>
      <x:c r="D464" s="34" t="str">
        <x:v>Crucial</x:v>
      </x:c>
      <x:c r="E464" s="82" t="n">
        <x:v>353.43</x:v>
      </x:c>
      <x:c r="F464" s="34" t="str">
        <x:v>USD</x:v>
      </x:c>
      <x:c r="G464" s="34" t="str">
        <x:v>reference</x:v>
      </x:c>
      <x:c r="H464" s="34" t="str">
        <x:v>2026-06-28</x:v>
      </x:c>
      <x:c r="I464" s="34" t="str">
        <x:v>capacityTb=2; interface=NVMe; readSpeedMb=7000; writeSpeedMb=5950</x:v>
      </x:c>
      <x:c r="J464" s="34" t="str">
        <x:v>NVMe, 2TB, SSD, dataset</x:v>
      </x:c>
      <x:c r="K464" s="34" t="str">
        <x:v>2TB NVMe solid-state drive; throughput is an interface-class estimate when the source omits it.</x:v>
      </x:c>
      <x:c r="L464" s="34" t="str">
        <x:v>https://fr.pcpartpicker.com/product/M8yH99/crucial-t500-2-tb-m2-2280-pcie-40-x4-nvme-solid-state-drive-ct2000t500ssd8</x:v>
      </x:c>
      <x:c r="M464" s="35" t="str">
        <x:v>https://fr.pcpartpicker.com/product/M8yH99/crucial-t500-2-tb-m2-2280-pcie-40-x4-nvme-solid-state-drive-ct2000t500ssd8</x:v>
      </x:c>
    </x:row>
    <x:row r="465">
      <x:c r="A465" s="33" t="str">
        <x:v>storage</x:v>
      </x:c>
      <x:c r="B465" s="34" t="str">
        <x:v>hf-internal-hard-drive-54049</x:v>
      </x:c>
      <x:c r="C465" s="34" t="str">
        <x:v>Kingston SSDNow UV400</x:v>
      </x:c>
      <x:c r="D465" s="34" t="str">
        <x:v>Kingston</x:v>
      </x:c>
      <x:c r="E465" s="82" t="n">
        <x:v>215.11</x:v>
      </x:c>
      <x:c r="F465" s="34" t="str">
        <x:v>USD</x:v>
      </x:c>
      <x:c r="G465" s="34" t="str">
        <x:v>reference</x:v>
      </x:c>
      <x:c r="H465" s="34" t="str">
        <x:v>2026-06-28</x:v>
      </x:c>
      <x:c r="I465" s="34" t="str">
        <x:v>capacityTb=0.24; interface=SATA; readSpeedMb=550; writeSpeedMb=468</x:v>
      </x:c>
      <x:c r="J465" s="34" t="str">
        <x:v>SATA, 0.24TB, SSD, dataset</x:v>
      </x:c>
      <x:c r="K465" s="34" t="str">
        <x:v>0.24TB SATA solid-state drive; throughput is an interface-class estimate when the source omits it.</x:v>
      </x:c>
      <x:c r="L465" s="34" t="str">
        <x:v>https://fr.pcpartpicker.com/product/MVWrxr/kingston-ssdnow-uv400-240gb-25-solid-state-drive-suv400s37240g</x:v>
      </x:c>
      <x:c r="M465" s="35" t="str">
        <x:v>https://fr.pcpartpicker.com/product/MVWrxr/kingston-ssdnow-uv400-240gb-25-solid-state-drive-suv400s37240g</x:v>
      </x:c>
    </x:row>
    <x:row r="466">
      <x:c r="A466" s="33" t="str">
        <x:v>storage</x:v>
      </x:c>
      <x:c r="B466" s="34" t="str">
        <x:v>hf-internal-hard-drive-233025</x:v>
      </x:c>
      <x:c r="C466" s="34" t="str">
        <x:v>TEAMGROUP GX2</x:v>
      </x:c>
      <x:c r="D466" s="34" t="str">
        <x:v>TEAMGROUP</x:v>
      </x:c>
      <x:c r="E466" s="82" t="n">
        <x:v>107.17</x:v>
      </x:c>
      <x:c r="F466" s="34" t="str">
        <x:v>USD</x:v>
      </x:c>
      <x:c r="G466" s="34" t="str">
        <x:v>reference</x:v>
      </x:c>
      <x:c r="H466" s="34" t="str">
        <x:v>2026-06-28</x:v>
      </x:c>
      <x:c r="I466" s="34" t="str">
        <x:v>capacityTb=0.512; interface=SATA; readSpeedMb=550; writeSpeedMb=468</x:v>
      </x:c>
      <x:c r="J466" s="34" t="str">
        <x:v>SATA, 0.512TB, SSD, dataset</x:v>
      </x:c>
      <x:c r="K466" s="34" t="str">
        <x:v>0.512TB SATA solid-state drive; throughput is an interface-class estimate when the source omits it.</x:v>
      </x:c>
      <x:c r="L466" s="34" t="str">
        <x:v>https://fr.pcpartpicker.com/product/MC3H99/team-gx2-512-gb-25-solid-state-drive-t253x2512g0c101</x:v>
      </x:c>
      <x:c r="M466" s="35" t="str">
        <x:v>https://fr.pcpartpicker.com/product/MC3H99/team-gx2-512-gb-25-solid-state-drive-t253x2512g0c101</x:v>
      </x:c>
    </x:row>
    <x:row r="467">
      <x:c r="A467" s="33" t="str">
        <x:v>storage</x:v>
      </x:c>
      <x:c r="B467" s="34" t="str">
        <x:v>hf-internal-hard-drive-182498</x:v>
      </x:c>
      <x:c r="C467" s="34" t="str">
        <x:v>Silicon Power A55</x:v>
      </x:c>
      <x:c r="D467" s="34" t="str">
        <x:v>Silicon Power</x:v>
      </x:c>
      <x:c r="E467" s="82" t="n">
        <x:v>84.34</x:v>
      </x:c>
      <x:c r="F467" s="34" t="str">
        <x:v>USD</x:v>
      </x:c>
      <x:c r="G467" s="34" t="str">
        <x:v>reference</x:v>
      </x:c>
      <x:c r="H467" s="34" t="str">
        <x:v>2026-06-28</x:v>
      </x:c>
      <x:c r="I467" s="34" t="str">
        <x:v>capacityTb=0.512; interface=SATA; readSpeedMb=550; writeSpeedMb=468</x:v>
      </x:c>
      <x:c r="J467" s="34" t="str">
        <x:v>SATA, 0.512TB, SSD, dataset</x:v>
      </x:c>
      <x:c r="K467" s="34" t="str">
        <x:v>0.512TB SATA solid-state drive; throughput is an interface-class estimate when the source omits it.</x:v>
      </x:c>
      <x:c r="L467" s="34" t="str">
        <x:v>https://fr.pcpartpicker.com/product/LdgzK8/silicon-power-a55-512-gb-25-solid-state-drive-sp512gbss3a55s25</x:v>
      </x:c>
      <x:c r="M467" s="35" t="str">
        <x:v>https://fr.pcpartpicker.com/product/LdgzK8/silicon-power-a55-512-gb-25-solid-state-drive-sp512gbss3a55s25</x:v>
      </x:c>
    </x:row>
    <x:row r="468">
      <x:c r="A468" s="33" t="str">
        <x:v>storage</x:v>
      </x:c>
      <x:c r="B468" s="34" t="str">
        <x:v>hf-internal-hard-drive-64742</x:v>
      </x:c>
      <x:c r="C468" s="34" t="str">
        <x:v>ADATA SU800</x:v>
      </x:c>
      <x:c r="D468" s="34" t="str">
        <x:v>ADATA</x:v>
      </x:c>
      <x:c r="E468" s="82" t="n">
        <x:v>78.22</x:v>
      </x:c>
      <x:c r="F468" s="34" t="str">
        <x:v>USD</x:v>
      </x:c>
      <x:c r="G468" s="34" t="str">
        <x:v>reference</x:v>
      </x:c>
      <x:c r="H468" s="34" t="str">
        <x:v>2026-06-28</x:v>
      </x:c>
      <x:c r="I468" s="34" t="str">
        <x:v>capacityTb=0.256; interface=SATA; readSpeedMb=550; writeSpeedMb=468</x:v>
      </x:c>
      <x:c r="J468" s="34" t="str">
        <x:v>SATA, 0.256TB, SSD, dataset</x:v>
      </x:c>
      <x:c r="K468" s="34" t="str">
        <x:v>0.256TB SATA solid-state drive; throughput is an interface-class estimate when the source omits it.</x:v>
      </x:c>
      <x:c r="L468" s="34" t="str">
        <x:v>https://fr.pcpartpicker.com/product/7YQRsY/adata-ultimate-su800-256-gb-25-solid-state-drive-asu800ss-256gt-c</x:v>
      </x:c>
      <x:c r="M468" s="35" t="str">
        <x:v>https://fr.pcpartpicker.com/product/7YQRsY/adata-ultimate-su800-256-gb-25-solid-state-drive-asu800ss-256gt-c</x:v>
      </x:c>
    </x:row>
    <x:row r="469">
      <x:c r="A469" s="33" t="str">
        <x:v>storage</x:v>
      </x:c>
      <x:c r="B469" s="34" t="str">
        <x:v>hf-internal-hard-drive-574675</x:v>
      </x:c>
      <x:c r="C469" s="34" t="str">
        <x:v>Samsung 9100 PRO</x:v>
      </x:c>
      <x:c r="D469" s="34" t="str">
        <x:v>Samsung</x:v>
      </x:c>
      <x:c r="E469" s="82" t="n">
        <x:v>410.42</x:v>
      </x:c>
      <x:c r="F469" s="34" t="str">
        <x:v>USD</x:v>
      </x:c>
      <x:c r="G469" s="34" t="str">
        <x:v>reference</x:v>
      </x:c>
      <x:c r="H469" s="34" t="str">
        <x:v>2026-06-28</x:v>
      </x:c>
      <x:c r="I469" s="34" t="str">
        <x:v>capacityTb=2; interface=NVMe; readSpeedMb=12000; writeSpeedMb=10200</x:v>
      </x:c>
      <x:c r="J469" s="34" t="str">
        <x:v>NVMe, 2TB, SSD, dataset</x:v>
      </x:c>
      <x:c r="K469" s="34" t="str">
        <x:v>2TB NVMe solid-state drive; throughput is an interface-class estimate when the source omits it.</x:v>
      </x:c>
      <x:c r="L469" s="34" t="str">
        <x:v>https://fr.pcpartpicker.com/product/dKXMnQ/samsung-9100-pro-2-tb-m2-2280-pcie-50-x4-nvme-solid-state-drive-mz-vap2t0bam</x:v>
      </x:c>
      <x:c r="M469" s="35" t="str">
        <x:v>https://fr.pcpartpicker.com/product/dKXMnQ/samsung-9100-pro-2-tb-m2-2280-pcie-50-x4-nvme-solid-state-drive-mz-vap2t0bam</x:v>
      </x:c>
    </x:row>
    <x:row r="470">
      <x:c r="A470" s="33" t="str">
        <x:v>storage</x:v>
      </x:c>
      <x:c r="B470" s="34" t="str">
        <x:v>hf-internal-hard-drive-473139</x:v>
      </x:c>
      <x:c r="C470" s="34" t="str">
        <x:v>Lexar NM790</x:v>
      </x:c>
      <x:c r="D470" s="34" t="str">
        <x:v>Lexar</x:v>
      </x:c>
      <x:c r="E470" s="82" t="n">
        <x:v>302.1</x:v>
      </x:c>
      <x:c r="F470" s="34" t="str">
        <x:v>USD</x:v>
      </x:c>
      <x:c r="G470" s="34" t="str">
        <x:v>reference</x:v>
      </x:c>
      <x:c r="H470" s="34" t="str">
        <x:v>2026-06-28</x:v>
      </x:c>
      <x:c r="I470" s="34" t="str">
        <x:v>capacityTb=2; interface=NVMe; readSpeedMb=7000; writeSpeedMb=5950</x:v>
      </x:c>
      <x:c r="J470" s="34" t="str">
        <x:v>NVMe, 2TB, SSD, dataset</x:v>
      </x:c>
      <x:c r="K470" s="34" t="str">
        <x:v>2TB NVMe solid-state drive; throughput is an interface-class estimate when the source omits it.</x:v>
      </x:c>
      <x:c r="L470" s="34" t="str">
        <x:v>https://fr.pcpartpicker.com/product/TspQzy/lexar-nm790-2-tb-m2-2280-pcie-40-x4-nvme-solid-state-drive-lnm790x002t-rnnng</x:v>
      </x:c>
      <x:c r="M470" s="35" t="str">
        <x:v>https://fr.pcpartpicker.com/product/TspQzy/lexar-nm790-2-tb-m2-2280-pcie-40-x4-nvme-solid-state-drive-lnm790x002t-rnnng</x:v>
      </x:c>
    </x:row>
    <x:row r="471">
      <x:c r="A471" s="33" t="str">
        <x:v>storage</x:v>
      </x:c>
      <x:c r="B471" s="34" t="str">
        <x:v>hf-internal-hard-drive-226972</x:v>
      </x:c>
      <x:c r="C471" s="34" t="str">
        <x:v>TEAMGROUP MS30</x:v>
      </x:c>
      <x:c r="D471" s="34" t="str">
        <x:v>TEAMGROUP</x:v>
      </x:c>
      <x:c r="E471" s="82" t="n">
        <x:v>118.08</x:v>
      </x:c>
      <x:c r="F471" s="34" t="str">
        <x:v>USD</x:v>
      </x:c>
      <x:c r="G471" s="34" t="str">
        <x:v>reference</x:v>
      </x:c>
      <x:c r="H471" s="34" t="str">
        <x:v>2026-06-28</x:v>
      </x:c>
      <x:c r="I471" s="34" t="str">
        <x:v>capacityTb=0.512; interface=NVMe; readSpeedMb=3500; writeSpeedMb=2975</x:v>
      </x:c>
      <x:c r="J471" s="34" t="str">
        <x:v>NVMe, 0.512TB, SSD, dataset</x:v>
      </x:c>
      <x:c r="K471" s="34" t="str">
        <x:v>0.512TB NVMe solid-state drive; throughput is an interface-class estimate when the source omits it.</x:v>
      </x:c>
      <x:c r="L471" s="34" t="str">
        <x:v>https://fr.pcpartpicker.com/product/vY3H99/team-ms30-512-gb-m2-2280-solid-state-drive-tm8ps7512g0c101</x:v>
      </x:c>
      <x:c r="M471" s="35" t="str">
        <x:v>https://fr.pcpartpicker.com/product/vY3H99/team-ms30-512-gb-m2-2280-solid-state-drive-tm8ps7512g0c101</x:v>
      </x:c>
    </x:row>
    <x:row r="472">
      <x:c r="A472" s="33" t="str">
        <x:v>storage</x:v>
      </x:c>
      <x:c r="B472" s="34" t="str">
        <x:v>hf-internal-hard-drive-390188</x:v>
      </x:c>
      <x:c r="C472" s="34" t="str">
        <x:v>Samsung 980 Pro w/Heatsink</x:v>
      </x:c>
      <x:c r="D472" s="34" t="str">
        <x:v>Samsung</x:v>
      </x:c>
      <x:c r="E472" s="82" t="n">
        <x:v>433.23</x:v>
      </x:c>
      <x:c r="F472" s="34" t="str">
        <x:v>USD</x:v>
      </x:c>
      <x:c r="G472" s="34" t="str">
        <x:v>reference</x:v>
      </x:c>
      <x:c r="H472" s="34" t="str">
        <x:v>2026-06-28</x:v>
      </x:c>
      <x:c r="I472" s="34" t="str">
        <x:v>capacityTb=2; interface=NVMe; readSpeedMb=7000; writeSpeedMb=5950</x:v>
      </x:c>
      <x:c r="J472" s="34" t="str">
        <x:v>NVMe, 2TB, SSD, dataset</x:v>
      </x:c>
      <x:c r="K472" s="34" t="str">
        <x:v>2TB NVMe solid-state drive; throughput is an interface-class estimate when the source omits it.</x:v>
      </x:c>
      <x:c r="L472" s="34" t="str">
        <x:v>https://fr.pcpartpicker.com/product/fVC48d/samsung-980-pro-heatsink-2-tb-m2-2280-nvme-solid-state-drive-mz-v8p2t0cw</x:v>
      </x:c>
      <x:c r="M472" s="35" t="str">
        <x:v>https://fr.pcpartpicker.com/product/fVC48d/samsung-980-pro-heatsink-2-tb-m2-2280-nvme-solid-state-drive-mz-v8p2t0cw</x:v>
      </x:c>
    </x:row>
    <x:row r="473">
      <x:c r="A473" s="33" t="str">
        <x:v>storage</x:v>
      </x:c>
      <x:c r="B473" s="34" t="str">
        <x:v>hf-internal-hard-drive-202190</x:v>
      </x:c>
      <x:c r="C473" s="34" t="str">
        <x:v>Corsair MP510</x:v>
      </x:c>
      <x:c r="D473" s="34" t="str">
        <x:v>Corsair</x:v>
      </x:c>
      <x:c r="E473" s="82" t="n">
        <x:v>636.84</x:v>
      </x:c>
      <x:c r="F473" s="34" t="str">
        <x:v>USD</x:v>
      </x:c>
      <x:c r="G473" s="34" t="str">
        <x:v>reference</x:v>
      </x:c>
      <x:c r="H473" s="34" t="str">
        <x:v>2026-06-28</x:v>
      </x:c>
      <x:c r="I473" s="34" t="str">
        <x:v>capacityTb=0.96; interface=NVMe; readSpeedMb=3500; writeSpeedMb=2975</x:v>
      </x:c>
      <x:c r="J473" s="34" t="str">
        <x:v>NVMe, 0.96TB, SSD, dataset</x:v>
      </x:c>
      <x:c r="K473" s="34" t="str">
        <x:v>0.96TB NVMe solid-state drive; throughput is an interface-class estimate when the source omits it.</x:v>
      </x:c>
      <x:c r="L473" s="34" t="str">
        <x:v>https://fr.pcpartpicker.com/product/Ny22FT/corsair-mp510-960gb-m2-2280-solid-state-drive-cssd-f960gbmp510</x:v>
      </x:c>
      <x:c r="M473" s="35" t="str">
        <x:v>https://fr.pcpartpicker.com/product/Ny22FT/corsair-mp510-960gb-m2-2280-solid-state-drive-cssd-f960gbmp510</x:v>
      </x:c>
    </x:row>
    <x:row r="474">
      <x:c r="A474" s="33" t="str">
        <x:v>storage</x:v>
      </x:c>
      <x:c r="B474" s="34" t="str">
        <x:v>hf-internal-hard-drive-247659</x:v>
      </x:c>
      <x:c r="C474" s="34" t="str">
        <x:v>Corsair MP600 Force Series Gen4</x:v>
      </x:c>
      <x:c r="D474" s="34" t="str">
        <x:v>Corsair</x:v>
      </x:c>
      <x:c r="E474" s="82" t="n">
        <x:v>489.08</x:v>
      </x:c>
      <x:c r="F474" s="34" t="str">
        <x:v>USD</x:v>
      </x:c>
      <x:c r="G474" s="34" t="str">
        <x:v>reference</x:v>
      </x:c>
      <x:c r="H474" s="34" t="str">
        <x:v>2026-06-28</x:v>
      </x:c>
      <x:c r="I474" s="34" t="str">
        <x:v>capacityTb=2; interface=NVMe; readSpeedMb=3500; writeSpeedMb=2975</x:v>
      </x:c>
      <x:c r="J474" s="34" t="str">
        <x:v>NVMe, 2TB, SSD, dataset</x:v>
      </x:c>
      <x:c r="K474" s="34" t="str">
        <x:v>2TB NVMe solid-state drive; throughput is an interface-class estimate when the source omits it.</x:v>
      </x:c>
      <x:c r="L474" s="34" t="str">
        <x:v>https://fr.pcpartpicker.com/product/qCmFf7/corsair-mp600-force-series-gen4-2-tb-m2-2280-solid-state-drive-cssd-f2000gbmp600</x:v>
      </x:c>
      <x:c r="M474" s="35" t="str">
        <x:v>https://fr.pcpartpicker.com/product/qCmFf7/corsair-mp600-force-series-gen4-2-tb-m2-2280-solid-state-drive-cssd-f2000gbmp600</x:v>
      </x:c>
    </x:row>
    <x:row r="475">
      <x:c r="A475" s="33" t="str">
        <x:v>storage</x:v>
      </x:c>
      <x:c r="B475" s="34" t="str">
        <x:v>hf-internal-hard-drive-437118</x:v>
      </x:c>
      <x:c r="C475" s="34" t="str">
        <x:v>Kingston NV2</x:v>
      </x:c>
      <x:c r="D475" s="34" t="str">
        <x:v>Kingston</x:v>
      </x:c>
      <x:c r="E475" s="82" t="n">
        <x:v>157.2</x:v>
      </x:c>
      <x:c r="F475" s="34" t="str">
        <x:v>USD</x:v>
      </x:c>
      <x:c r="G475" s="34" t="str">
        <x:v>reference</x:v>
      </x:c>
      <x:c r="H475" s="34" t="str">
        <x:v>2026-06-28</x:v>
      </x:c>
      <x:c r="I475" s="34" t="str">
        <x:v>capacityTb=0.5; interface=NVMe; readSpeedMb=7000; writeSpeedMb=5950</x:v>
      </x:c>
      <x:c r="J475" s="34" t="str">
        <x:v>NVMe, 0.5TB, SSD, dataset</x:v>
      </x:c>
      <x:c r="K475" s="34" t="str">
        <x:v>0.5TB NVMe solid-state drive; throughput is an interface-class estimate when the source omits it.</x:v>
      </x:c>
      <x:c r="L475" s="34" t="str">
        <x:v>https://fr.pcpartpicker.com/product/QvpzK8/kingston-nv2-500-gb-m2-2280-pcie-40-x4-nvme-solid-state-drive-snv2s500g</x:v>
      </x:c>
      <x:c r="M475" s="35" t="str">
        <x:v>https://fr.pcpartpicker.com/product/QvpzK8/kingston-nv2-500-gb-m2-2280-pcie-40-x4-nvme-solid-state-drive-snv2s500g</x:v>
      </x:c>
    </x:row>
    <x:row r="476">
      <x:c r="A476" s="33" t="str">
        <x:v>storage</x:v>
      </x:c>
      <x:c r="B476" s="34" t="str">
        <x:v>hf-internal-hard-drive-392703</x:v>
      </x:c>
      <x:c r="C476" s="34" t="str">
        <x:v>Kingston Fury Renegade</x:v>
      </x:c>
      <x:c r="D476" s="34" t="str">
        <x:v>Kingston</x:v>
      </x:c>
      <x:c r="E476" s="82" t="n">
        <x:v>424.89</x:v>
      </x:c>
      <x:c r="F476" s="34" t="str">
        <x:v>USD</x:v>
      </x:c>
      <x:c r="G476" s="34" t="str">
        <x:v>reference</x:v>
      </x:c>
      <x:c r="H476" s="34" t="str">
        <x:v>2026-06-28</x:v>
      </x:c>
      <x:c r="I476" s="34" t="str">
        <x:v>capacityTb=1; interface=NVMe; readSpeedMb=7000; writeSpeedMb=5950</x:v>
      </x:c>
      <x:c r="J476" s="34" t="str">
        <x:v>NVMe, 1TB, SSD, dataset</x:v>
      </x:c>
      <x:c r="K476" s="34" t="str">
        <x:v>1TB NVMe solid-state drive; throughput is an interface-class estimate when the source omits it.</x:v>
      </x:c>
      <x:c r="L476" s="34" t="str">
        <x:v>https://fr.pcpartpicker.com/product/QxkWGX/kingston-fury-renegade-1-tb-m2-2280-nvme-solid-state-drive-sfyrs1000g</x:v>
      </x:c>
      <x:c r="M476" s="35" t="str">
        <x:v>https://fr.pcpartpicker.com/product/QxkWGX/kingston-fury-renegade-1-tb-m2-2280-nvme-solid-state-drive-sfyrs1000g</x:v>
      </x:c>
    </x:row>
    <x:row r="477">
      <x:c r="A477" s="33" t="str">
        <x:v>storage</x:v>
      </x:c>
      <x:c r="B477" s="34" t="str">
        <x:v>hf-internal-hard-drive-508427</x:v>
      </x:c>
      <x:c r="C477" s="34" t="str">
        <x:v>Samsung 990 EVO</x:v>
      </x:c>
      <x:c r="D477" s="34" t="str">
        <x:v>Samsung</x:v>
      </x:c>
      <x:c r="E477" s="82" t="n">
        <x:v>491.37</x:v>
      </x:c>
      <x:c r="F477" s="34" t="str">
        <x:v>USD</x:v>
      </x:c>
      <x:c r="G477" s="34" t="str">
        <x:v>reference</x:v>
      </x:c>
      <x:c r="H477" s="34" t="str">
        <x:v>2026-06-28</x:v>
      </x:c>
      <x:c r="I477" s="34" t="str">
        <x:v>capacityTb=2; interface=NVMe; readSpeedMb=12000; writeSpeedMb=10200</x:v>
      </x:c>
      <x:c r="J477" s="34" t="str">
        <x:v>NVMe, 2TB, SSD, dataset</x:v>
      </x:c>
      <x:c r="K477" s="34" t="str">
        <x:v>2TB NVMe solid-state drive; throughput is an interface-class estimate when the source omits it.</x:v>
      </x:c>
      <x:c r="L477" s="34" t="str">
        <x:v>https://fr.pcpartpicker.com/product/kFrqqs/samsung-990-evo-2-tb-m2-2280-pcie-50-x2-nvme-solid-state-drive-mz-v9e2t0bam</x:v>
      </x:c>
      <x:c r="M477" s="35" t="str">
        <x:v>https://fr.pcpartpicker.com/product/kFrqqs/samsung-990-evo-2-tb-m2-2280-pcie-50-x2-nvme-solid-state-drive-mz-v9e2t0bam</x:v>
      </x:c>
    </x:row>
    <x:row r="478">
      <x:c r="A478" s="33" t="str">
        <x:v>storage</x:v>
      </x:c>
      <x:c r="B478" s="34" t="str">
        <x:v>ca-newegg-storage-samsung-ssd-9100-pro-2tb-pcie-5-0x4-m-2-2280-seq-read-speeds-up-to-14-</x:v>
      </x:c>
      <x:c r="C478" s="34" t="str">
        <x:v>SAMSUNG SSD 9100 PRO 2TB, PCIe 5.0x4 M.2 2280, Seq. Read Speeds Up to 14,700MB/s, Best for AI Computing, Gaming, and Heavy Duty Workstations (MZ- VAP2T0B/AM)</x:v>
      </x:c>
      <x:c r="D478" s="34" t="str">
        <x:v>SAMSUNG</x:v>
      </x:c>
      <x:c r="E478" s="82" t="n">
        <x:v>652.21</x:v>
      </x:c>
      <x:c r="F478" s="34" t="str">
        <x:v>USD</x:v>
      </x:c>
      <x:c r="G478" s="34" t="str">
        <x:v>retail</x:v>
      </x:c>
      <x:c r="H478" s="34" t="str">
        <x:v>2026-06-29</x:v>
      </x:c>
      <x:c r="I478" s="34" t="str">
        <x:v>capacityTb=2; interface=NVMe; readSpeedMb=14700; writeSpeedMb=12495</x:v>
      </x:c>
      <x:c r="J478" s="34" t="str">
        <x:v>NVMe, 2TB, SSD, ca-retail</x:v>
      </x:c>
      <x:c r="K478" s="34" t="str">
        <x:v>2TB NVMe SSD from CA retailer; throughput is an interface-class estimate when omitted.</x:v>
      </x:c>
      <x:c r="L478" s="34" t="str">
        <x:v>https://www.newegg.ca/p/20-147-903</x:v>
      </x:c>
      <x:c r="M478" s="35" t="str">
        <x:v>https://www.newegg.ca/p/20-147-903</x:v>
      </x:c>
    </x:row>
    <x:row r="479">
      <x:c r="A479" s="33" t="str">
        <x:v>storage</x:v>
      </x:c>
      <x:c r="B479" s="34" t="str">
        <x:v>ca-newegg-storage-samsung-ssd-9100-pro-with-heatsink-2tb-pcie-5-0x4-m-2-2280-seq-read-sp</x:v>
      </x:c>
      <x:c r="C479" s="34" t="str">
        <x:v>SAMSUNG SSD 9100 PRO with Heatsink 2TB, PCIe 5.0x4 M.2 2280, Seq. Read Speeds Up to 14,800/13,400 MB/s, Best for AI Computing, Gaming, and Heavy Duty Workstations (MZ- VAP2T0CW)</x:v>
      </x:c>
      <x:c r="D479" s="34" t="str">
        <x:v>SAMSUNG</x:v>
      </x:c>
      <x:c r="E479" s="82" t="n">
        <x:v>683.94</x:v>
      </x:c>
      <x:c r="F479" s="34" t="str">
        <x:v>USD</x:v>
      </x:c>
      <x:c r="G479" s="34" t="str">
        <x:v>retail</x:v>
      </x:c>
      <x:c r="H479" s="34" t="str">
        <x:v>2026-06-29</x:v>
      </x:c>
      <x:c r="I479" s="34" t="str">
        <x:v>capacityTb=2; interface=NVMe; readSpeedMb=14800; writeSpeedMb=13400</x:v>
      </x:c>
      <x:c r="J479" s="34" t="str">
        <x:v>NVMe, 2TB, SSD, ca-retail</x:v>
      </x:c>
      <x:c r="K479" s="34" t="str">
        <x:v>2TB NVMe SSD from CA retailer; throughput is an interface-class estimate when omitted.</x:v>
      </x:c>
      <x:c r="L479" s="34" t="str">
        <x:v>https://www.newegg.ca/p/9SIB4UBKVV8399</x:v>
      </x:c>
      <x:c r="M479" s="35" t="str">
        <x:v>https://www.newegg.ca/p/9SIB4UBKVV8399</x:v>
      </x:c>
    </x:row>
    <x:row r="480">
      <x:c r="A480" s="33" t="str">
        <x:v>storage</x:v>
      </x:c>
      <x:c r="B480" s="34" t="str">
        <x:v>ca-newegg-storage-samsung-ssd-9100-pro-2tb-pcie-5-0x4-m-2-2280-seq-read-speeds-up-to-14--1</x:v>
      </x:c>
      <x:c r="C480" s="34" t="str">
        <x:v>SAMSUNG SSD 9100 PRO 2TB, PCIe 5.0x4 M.2 2280, Seq. Read Speeds Up to 14,700MB/s, MZ-VAP2T0BW AI Computing, Gaming, and Heavy Duty Workstations MZ-VAP2T0</x:v>
      </x:c>
      <x:c r="D480" s="34" t="str">
        <x:v>SAMSUNG</x:v>
      </x:c>
      <x:c r="E480" s="82" t="n">
        <x:v>550.26</x:v>
      </x:c>
      <x:c r="F480" s="34" t="str">
        <x:v>USD</x:v>
      </x:c>
      <x:c r="G480" s="34" t="str">
        <x:v>retail</x:v>
      </x:c>
      <x:c r="H480" s="34" t="str">
        <x:v>2026-06-29</x:v>
      </x:c>
      <x:c r="I480" s="34" t="str">
        <x:v>capacityTb=2; interface=NVMe; readSpeedMb=14700; writeSpeedMb=12495</x:v>
      </x:c>
      <x:c r="J480" s="34" t="str">
        <x:v>NVMe, 2TB, SSD, ca-retail</x:v>
      </x:c>
      <x:c r="K480" s="34" t="str">
        <x:v>2TB NVMe SSD from CA retailer; throughput is an interface-class estimate when omitted.</x:v>
      </x:c>
      <x:c r="L480" s="34" t="str">
        <x:v>https://www.newegg.ca/p/9SIBGSHKGK7518</x:v>
      </x:c>
      <x:c r="M480" s="35" t="str">
        <x:v>https://www.newegg.ca/p/9SIBGSHKGK7518</x:v>
      </x:c>
    </x:row>
    <x:row r="481">
      <x:c r="A481" s="33" t="str">
        <x:v>storage</x:v>
      </x:c>
      <x:c r="B481" s="34" t="str">
        <x:v>ca-newegg-storage-samsung-ssd-9100-pro-1tb-pcie-5-0x4-m-2-2280-seq-read-speeds-up-to-14-</x:v>
      </x:c>
      <x:c r="C481" s="34" t="str">
        <x:v>SAMSUNG SSD 9100 PRO 1TB, PCIe 5.0x4 M.2 2280, Seq. Read Speeds Up to 14,800MB/s, Best for AI Computing, Gaming, and Heavy Duty Workstations (MZ- VAP1T0B/AM)</x:v>
      </x:c>
      <x:c r="D481" s="34" t="str">
        <x:v>SAMSUNG</x:v>
      </x:c>
      <x:c r="E481" s="82" t="n">
        <x:v>327.85</x:v>
      </x:c>
      <x:c r="F481" s="34" t="str">
        <x:v>USD</x:v>
      </x:c>
      <x:c r="G481" s="34" t="str">
        <x:v>retail</x:v>
      </x:c>
      <x:c r="H481" s="34" t="str">
        <x:v>2026-06-29</x:v>
      </x:c>
      <x:c r="I481" s="34" t="str">
        <x:v>capacityTb=1; interface=NVMe; readSpeedMb=14800; writeSpeedMb=12580</x:v>
      </x:c>
      <x:c r="J481" s="34" t="str">
        <x:v>NVMe, 1TB, SSD, ca-retail</x:v>
      </x:c>
      <x:c r="K481" s="34" t="str">
        <x:v>1TB NVMe SSD from CA retailer; throughput is an interface-class estimate when omitted.</x:v>
      </x:c>
      <x:c r="L481" s="34" t="str">
        <x:v>https://www.newegg.ca/p/20-147-902</x:v>
      </x:c>
      <x:c r="M481" s="35" t="str">
        <x:v>https://www.newegg.ca/p/20-147-902</x:v>
      </x:c>
    </x:row>
    <x:row r="482">
      <x:c r="A482" s="33" t="str">
        <x:v>storage</x:v>
      </x:c>
      <x:c r="B482" s="34" t="str">
        <x:v>ca-newegg-storage-samsung-ssd-9100-pro-4tb-pcie-5-0x4-m-2-2280-seq-read-speeds-up-to-14-</x:v>
      </x:c>
      <x:c r="C482" s="34" t="str">
        <x:v>SAMSUNG SSD 9100 PRO 4TB, PCIe 5.0x4 M.2 2280, Seq. Read Speeds Up to 14,800MB/s, Best for AI Computing, Gaming, and Heavy Duty Workstations (MZ-VAP4T0B/AM)</x:v>
      </x:c>
      <x:c r="D482" s="34" t="str">
        <x:v>SAMSUNG</x:v>
      </x:c>
      <x:c r="E482" s="82" t="n">
        <x:v>1304.43</x:v>
      </x:c>
      <x:c r="F482" s="34" t="str">
        <x:v>USD</x:v>
      </x:c>
      <x:c r="G482" s="34" t="str">
        <x:v>retail</x:v>
      </x:c>
      <x:c r="H482" s="34" t="str">
        <x:v>2026-06-29</x:v>
      </x:c>
      <x:c r="I482" s="34" t="str">
        <x:v>capacityTb=4; interface=NVMe; readSpeedMb=14800; writeSpeedMb=12580</x:v>
      </x:c>
      <x:c r="J482" s="34" t="str">
        <x:v>NVMe, 4TB, SSD, ca-retail</x:v>
      </x:c>
      <x:c r="K482" s="34" t="str">
        <x:v>4TB NVMe SSD from CA retailer; throughput is an interface-class estimate when omitted.</x:v>
      </x:c>
      <x:c r="L482" s="34" t="str">
        <x:v>https://www.newegg.ca/p/20-147-904</x:v>
      </x:c>
      <x:c r="M482" s="35" t="str">
        <x:v>https://www.newegg.ca/p/20-147-904</x:v>
      </x:c>
    </x:row>
    <x:row r="483">
      <x:c r="A483" s="33" t="str">
        <x:v>storage</x:v>
      </x:c>
      <x:c r="B483" s="34" t="str">
        <x:v>ca-newegg-storage-samsung-ssd-9100-pro-with-heatsink-1tb-pcie-5-0x4-m-2-2280-seq-read-sp</x:v>
      </x:c>
      <x:c r="C483" s="34" t="str">
        <x:v>SAMSUNG SSD 9100 PRO with Heatsink 1TB, PCIe 5.0x4 M.2 2280, Seq. Read Speeds Up to 14,800/13,400 MB/s, Best for AI Computing, Gaming, and Heavy Duty Workstations (MZ- VAP1T0CW)</x:v>
      </x:c>
      <x:c r="D483" s="34" t="str">
        <x:v>SAMSUNG</x:v>
      </x:c>
      <x:c r="E483" s="82" t="n">
        <x:v>345.48</x:v>
      </x:c>
      <x:c r="F483" s="34" t="str">
        <x:v>USD</x:v>
      </x:c>
      <x:c r="G483" s="34" t="str">
        <x:v>retail</x:v>
      </x:c>
      <x:c r="H483" s="34" t="str">
        <x:v>2026-06-29</x:v>
      </x:c>
      <x:c r="I483" s="34" t="str">
        <x:v>capacityTb=1; interface=NVMe; readSpeedMb=14800; writeSpeedMb=13400</x:v>
      </x:c>
      <x:c r="J483" s="34" t="str">
        <x:v>NVMe, 1TB, SSD, ca-retail</x:v>
      </x:c>
      <x:c r="K483" s="34" t="str">
        <x:v>1TB NVMe SSD from CA retailer; throughput is an interface-class estimate when omitted.</x:v>
      </x:c>
      <x:c r="L483" s="34" t="str">
        <x:v>https://www.newegg.ca/p/20-147-906</x:v>
      </x:c>
      <x:c r="M483" s="35" t="str">
        <x:v>https://www.newegg.ca/p/20-147-906</x:v>
      </x:c>
    </x:row>
    <x:row r="484">
      <x:c r="A484" s="33" t="str">
        <x:v>storage</x:v>
      </x:c>
      <x:c r="B484" s="34" t="str">
        <x:v>ca-newegg-storage-samsung-ssd-9100-pro-with-heatsink-4tb-pcie-5-0x4-m-2-2280-seq-read-sp</x:v>
      </x:c>
      <x:c r="C484" s="34" t="str">
        <x:v>SAMSUNG SSD 9100 PRO with Heatsink 4TB, PCIe 5.0x4 M.2 2280, Seq. Read Speeds Up to 14,800/13,400 MB/s, Best for AI Computing, Gaming, and Heavy Duty Workstations (MZ-VAP4T0CW)</x:v>
      </x:c>
      <x:c r="D484" s="34" t="str">
        <x:v>SAMSUNG</x:v>
      </x:c>
      <x:c r="E484" s="82" t="n">
        <x:v>1343.21</x:v>
      </x:c>
      <x:c r="F484" s="34" t="str">
        <x:v>USD</x:v>
      </x:c>
      <x:c r="G484" s="34" t="str">
        <x:v>retail</x:v>
      </x:c>
      <x:c r="H484" s="34" t="str">
        <x:v>2026-06-29</x:v>
      </x:c>
      <x:c r="I484" s="34" t="str">
        <x:v>capacityTb=4; interface=NVMe; readSpeedMb=14800; writeSpeedMb=13400</x:v>
      </x:c>
      <x:c r="J484" s="34" t="str">
        <x:v>NVMe, 4TB, SSD, ca-retail</x:v>
      </x:c>
      <x:c r="K484" s="34" t="str">
        <x:v>4TB NVMe SSD from CA retailer; throughput is an interface-class estimate when omitted.</x:v>
      </x:c>
      <x:c r="L484" s="34" t="str">
        <x:v>https://www.newegg.ca/p/20-147-908</x:v>
      </x:c>
      <x:c r="M484" s="35" t="str">
        <x:v>https://www.newegg.ca/p/20-147-908</x:v>
      </x:c>
    </x:row>
    <x:row r="485">
      <x:c r="A485" s="33" t="str">
        <x:v>storage</x:v>
      </x:c>
      <x:c r="B485" s="34" t="str">
        <x:v>ca-newegg-storage-samsung-ssd-9100-pro-4tb-pcie-5-0x4-m-2-2280-seq-read-speeds-up-to-14--1</x:v>
      </x:c>
      <x:c r="C485" s="34" t="str">
        <x:v>SAMSUNG SSD 9100 PRO 4TB, PCIe 5.0x4 M.2 2280, Seq. Read Speeds Up to 14,800MB/s, MZ-VAP4T0BW AI Computing, Gaming, and Heavy Duty Workstations MZ-VAP4T0</x:v>
      </x:c>
      <x:c r="D485" s="34" t="str">
        <x:v>SAMSUNG</x:v>
      </x:c>
      <x:c r="E485" s="82" t="n">
        <x:v>1410.22</x:v>
      </x:c>
      <x:c r="F485" s="34" t="str">
        <x:v>USD</x:v>
      </x:c>
      <x:c r="G485" s="34" t="str">
        <x:v>retail</x:v>
      </x:c>
      <x:c r="H485" s="34" t="str">
        <x:v>2026-06-29</x:v>
      </x:c>
      <x:c r="I485" s="34" t="str">
        <x:v>capacityTb=4; interface=NVMe; readSpeedMb=14800; writeSpeedMb=12580</x:v>
      </x:c>
      <x:c r="J485" s="34" t="str">
        <x:v>NVMe, 4TB, SSD, ca-retail</x:v>
      </x:c>
      <x:c r="K485" s="34" t="str">
        <x:v>4TB NVMe SSD from CA retailer; throughput is an interface-class estimate when omitted.</x:v>
      </x:c>
      <x:c r="L485" s="34" t="str">
        <x:v>https://www.newegg.ca/p/9SIB4UBKVW9858</x:v>
      </x:c>
      <x:c r="M485" s="35" t="str">
        <x:v>https://www.newegg.ca/p/9SIB4UBKVW9858</x:v>
      </x:c>
    </x:row>
    <x:row r="486">
      <x:c r="A486" s="33" t="str">
        <x:v>storage</x:v>
      </x:c>
      <x:c r="B486" s="34" t="str">
        <x:v>ca-newegg-storage-crucial-t710-m-2-2280-2tb-pci-express-5-0-x4-tlc-nand-internal-solid-s</x:v>
      </x:c>
      <x:c r="C486" s="34" t="str">
        <x:v>Crucial T710 M.2 2280 2TB PCI-Express 5.0 x4 TLC NAND² Internal Solid State Drive (SSD) CT2000T710SSD8</x:v>
      </x:c>
      <x:c r="D486" s="34" t="str">
        <x:v>Crucial</x:v>
      </x:c>
      <x:c r="E486" s="82" t="n">
        <x:v>419.47</x:v>
      </x:c>
      <x:c r="F486" s="34" t="str">
        <x:v>USD</x:v>
      </x:c>
      <x:c r="G486" s="34" t="str">
        <x:v>retail</x:v>
      </x:c>
      <x:c r="H486" s="34" t="str">
        <x:v>2026-06-29</x:v>
      </x:c>
      <x:c r="I486" s="34" t="str">
        <x:v>capacityTb=2; interface=NVMe; readSpeedMb=14900; writeSpeedMb=12665</x:v>
      </x:c>
      <x:c r="J486" s="34" t="str">
        <x:v>NVMe, 2TB, SSD, ca-retail</x:v>
      </x:c>
      <x:c r="K486" s="34" t="str">
        <x:v>2TB NVMe SSD from CA retailer; throughput is an interface-class estimate when omitted.</x:v>
      </x:c>
      <x:c r="L486" s="34" t="str">
        <x:v>https://www.newegg.ca/p/9SIAHEBKRY4208</x:v>
      </x:c>
      <x:c r="M486" s="35" t="str">
        <x:v>https://www.newegg.ca/p/9SIAHEBKRY4208</x:v>
      </x:c>
    </x:row>
    <x:row r="487">
      <x:c r="A487" s="33" t="str">
        <x:v>storage</x:v>
      </x:c>
      <x:c r="B487" s="34" t="str">
        <x:v>ca-newegg-storage-samsung-990-pro-2tb-ssd-pcie-gen4-m-2-2280-seq-read-speeds-up-to-7-450</x:v>
      </x:c>
      <x:c r="C487" s="34" t="str">
        <x:v>SAMSUNG 990 PRO 2TB SSD, PCIe Gen4 M.2 2280, Seq. Read Speeds Up-to 7,450MB/s for High End Computing, Gaming, and Heavy Duty Workstations (MZ-V9P2T0B/AM) Non-Heatsink</x:v>
      </x:c>
      <x:c r="D487" s="34" t="str">
        <x:v>SAMSUNG</x:v>
      </x:c>
      <x:c r="E487" s="82" t="n">
        <x:v>616.95</x:v>
      </x:c>
      <x:c r="F487" s="34" t="str">
        <x:v>USD</x:v>
      </x:c>
      <x:c r="G487" s="34" t="str">
        <x:v>retail</x:v>
      </x:c>
      <x:c r="H487" s="34" t="str">
        <x:v>2026-06-29</x:v>
      </x:c>
      <x:c r="I487" s="34" t="str">
        <x:v>capacityTb=2; interface=NVMe; readSpeedMb=7450; writeSpeedMb=6333</x:v>
      </x:c>
      <x:c r="J487" s="34" t="str">
        <x:v>NVMe, 2TB, SSD, ca-retail</x:v>
      </x:c>
      <x:c r="K487" s="34" t="str">
        <x:v>2TB NVMe SSD from CA retailer; throughput is an interface-class estimate when omitted.</x:v>
      </x:c>
      <x:c r="L487" s="34" t="str">
        <x:v>https://www.newegg.ca/p/20-147-861</x:v>
      </x:c>
      <x:c r="M487" s="35" t="str">
        <x:v>https://www.newegg.ca/p/20-147-861</x:v>
      </x:c>
    </x:row>
    <x:row r="488">
      <x:c r="A488" s="33" t="str">
        <x:v>storage</x:v>
      </x:c>
      <x:c r="B488" s="34" t="str">
        <x:v>ca-newegg-storage-samsung-990-pro-w-heatsink-ssd-2tb-pcie-gen4-m-2-2280-internal-solid-s</x:v>
      </x:c>
      <x:c r="C488" s="34" t="str">
        <x:v>SAMSUNG 990 PRO w/ Heatsink SSD 2TB, PCIe Gen4 M.2 2280 Internal Solid State Hard Drive, Seq. Read Speeds Up To 7,450MB/s for High End Computing, Workstations, Compatible w/ PlayStation 5, MZ-V9P2T0CW</x:v>
      </x:c>
      <x:c r="D488" s="34" t="str">
        <x:v>SAMSUNG</x:v>
      </x:c>
      <x:c r="E488" s="82" t="n">
        <x:v>645.15</x:v>
      </x:c>
      <x:c r="F488" s="34" t="str">
        <x:v>USD</x:v>
      </x:c>
      <x:c r="G488" s="34" t="str">
        <x:v>retail</x:v>
      </x:c>
      <x:c r="H488" s="34" t="str">
        <x:v>2026-06-29</x:v>
      </x:c>
      <x:c r="I488" s="34" t="str">
        <x:v>capacityTb=2; interface=NVMe; readSpeedMb=7450; writeSpeedMb=6333</x:v>
      </x:c>
      <x:c r="J488" s="34" t="str">
        <x:v>NVMe, 2TB, SSD, ca-retail</x:v>
      </x:c>
      <x:c r="K488" s="34" t="str">
        <x:v>2TB NVMe SSD from CA retailer; throughput is an interface-class estimate when omitted.</x:v>
      </x:c>
      <x:c r="L488" s="34" t="str">
        <x:v>https://www.newegg.ca/p/20-147-863</x:v>
      </x:c>
      <x:c r="M488" s="35" t="str">
        <x:v>https://www.newegg.ca/p/20-147-863</x:v>
      </x:c>
    </x:row>
    <x:row r="489">
      <x:c r="A489" s="33" t="str">
        <x:v>storage</x:v>
      </x:c>
      <x:c r="B489" s="34" t="str">
        <x:v>ca-newegg-storage-kingspec-m-2-2280-2tb-pcie-gen3-x4-nvme-1-3-3d-nand-internal-solid-sta</x:v>
      </x:c>
      <x:c r="C489" s="34" t="str">
        <x:v>KingSpec M.2 2280 2TB PCIe Gen3 x4, NVMe 1.3 3D NAND Internal Solid State Drive (SSD), up to 3500MB/s</x:v>
      </x:c>
      <x:c r="D489" s="34" t="str">
        <x:v>KingSpec</x:v>
      </x:c>
      <x:c r="E489" s="82" t="n">
        <x:v>234.09</x:v>
      </x:c>
      <x:c r="F489" s="34" t="str">
        <x:v>USD</x:v>
      </x:c>
      <x:c r="G489" s="34" t="str">
        <x:v>retail</x:v>
      </x:c>
      <x:c r="H489" s="34" t="str">
        <x:v>2026-06-29</x:v>
      </x:c>
      <x:c r="I489" s="34" t="str">
        <x:v>capacityTb=2; interface=NVMe; readSpeedMb=3200; writeSpeedMb=2720</x:v>
      </x:c>
      <x:c r="J489" s="34" t="str">
        <x:v>NVMe, 2TB, SSD, ca-retail</x:v>
      </x:c>
      <x:c r="K489" s="34" t="str">
        <x:v>2TB NVMe SSD from CA retailer; throughput is an interface-class estimate when omitted.</x:v>
      </x:c>
      <x:c r="L489" s="34" t="str">
        <x:v>https://www.newegg.ca/p/9SIB1V9HRT2928</x:v>
      </x:c>
      <x:c r="M489" s="35" t="str">
        <x:v>https://www.newegg.ca/p/9SIB1V9HRT2928</x:v>
      </x:c>
    </x:row>
    <x:row r="490">
      <x:c r="A490" s="33" t="str">
        <x:v>storage</x:v>
      </x:c>
      <x:c r="B490" s="34" t="str">
        <x:v>ca-newegg-storage-wd-black-2tb-sn850x-nvme-internal-gaming-ssd-solid-state-drive-gen4-pc</x:v>
      </x:c>
      <x:c r="C490" s="34" t="str">
        <x:v>WD_BLACK 2TB SN850X NVMe Internal Gaming SSD Solid State Drive - Gen4 PCIe, M.2 2280, Up to 7,300 MB/s - WDS200T2X0E</x:v>
      </x:c>
      <x:c r="D490" s="34" t="str">
        <x:v>SanDisk</x:v>
      </x:c>
      <x:c r="E490" s="82" t="n">
        <x:v>334.92</x:v>
      </x:c>
      <x:c r="F490" s="34" t="str">
        <x:v>USD</x:v>
      </x:c>
      <x:c r="G490" s="34" t="str">
        <x:v>retail</x:v>
      </x:c>
      <x:c r="H490" s="34" t="str">
        <x:v>2026-06-29</x:v>
      </x:c>
      <x:c r="I490" s="34" t="str">
        <x:v>capacityTb=2; interface=NVMe; readSpeedMb=3500; writeSpeedMb=2975</x:v>
      </x:c>
      <x:c r="J490" s="34" t="str">
        <x:v>NVMe, 2TB, SSD, ca-retail, rgb</x:v>
      </x:c>
      <x:c r="K490" s="34" t="str">
        <x:v>2TB NVMe SSD from CA retailer; throughput is an interface-class estimate when omitted.</x:v>
      </x:c>
      <x:c r="L490" s="34" t="str">
        <x:v>https://www.newegg.ca/p/20-250-247</x:v>
      </x:c>
      <x:c r="M490" s="35" t="str">
        <x:v>https://www.newegg.ca/p/20-250-247</x:v>
      </x:c>
    </x:row>
    <x:row r="491">
      <x:c r="A491" s="33" t="str">
        <x:v>storage</x:v>
      </x:c>
      <x:c r="B491" s="34" t="str">
        <x:v>ca-newegg-storage-wd-black-2tb-sn850x-nvme-internal-gaming-ssd-solid-state-drive-with-he</x:v>
      </x:c>
      <x:c r="C491" s="34" t="str">
        <x:v>WD_BLACK 2TB SN850X NVMe Internal Gaming SSD Solid State Drive with Heatsink - Works with Playstation 5, Gen4 PCIe, M.2 2280, Up to 7,300 MB/s - WDS200T2XHE</x:v>
      </x:c>
      <x:c r="D491" s="34" t="str">
        <x:v>SanDisk</x:v>
      </x:c>
      <x:c r="E491" s="82" t="n">
        <x:v>373.7</x:v>
      </x:c>
      <x:c r="F491" s="34" t="str">
        <x:v>USD</x:v>
      </x:c>
      <x:c r="G491" s="34" t="str">
        <x:v>retail</x:v>
      </x:c>
      <x:c r="H491" s="34" t="str">
        <x:v>2026-06-29</x:v>
      </x:c>
      <x:c r="I491" s="34" t="str">
        <x:v>capacityTb=2; interface=NVMe; readSpeedMb=3500; writeSpeedMb=2975</x:v>
      </x:c>
      <x:c r="J491" s="34" t="str">
        <x:v>NVMe, 2TB, SSD, ca-retail, rgb</x:v>
      </x:c>
      <x:c r="K491" s="34" t="str">
        <x:v>2TB NVMe SSD from CA retailer; throughput is an interface-class estimate when omitted.</x:v>
      </x:c>
      <x:c r="L491" s="34" t="str">
        <x:v>https://www.newegg.ca/p/9SIADGEJ5V5053</x:v>
      </x:c>
      <x:c r="M491" s="35" t="str">
        <x:v>https://www.newegg.ca/p/9SIADGEJ5V5053</x:v>
      </x:c>
    </x:row>
    <x:row r="492">
      <x:c r="A492" s="33" t="str">
        <x:v>storage</x:v>
      </x:c>
      <x:c r="B492" s="34" t="str">
        <x:v>ca-newegg-storage-wd-black-sn8100-nvme-ssd-2tb-with-heatsink-m-2-2280-pci-express-5-0-x4</x:v>
      </x:c>
      <x:c r="C492" s="34" t="str">
        <x:v>WD_BLACK SN8100 NVMe SSD - 2TB, With Heatsink, M.2 2280 PCI-Express 5.0 x4 Internal Solid State Drive (SSD) WDS200T1XHM-00CMT0</x:v>
      </x:c>
      <x:c r="D492" s="34" t="str">
        <x:v>SanDisk</x:v>
      </x:c>
      <x:c r="E492" s="82" t="n">
        <x:v>602.85</x:v>
      </x:c>
      <x:c r="F492" s="34" t="str">
        <x:v>USD</x:v>
      </x:c>
      <x:c r="G492" s="34" t="str">
        <x:v>retail</x:v>
      </x:c>
      <x:c r="H492" s="34" t="str">
        <x:v>2026-06-29</x:v>
      </x:c>
      <x:c r="I492" s="34" t="str">
        <x:v>capacityTb=2; interface=NVMe; readSpeedMb=3500; writeSpeedMb=2975</x:v>
      </x:c>
      <x:c r="J492" s="34" t="str">
        <x:v>NVMe, 2TB, SSD, ca-retail, rgb</x:v>
      </x:c>
      <x:c r="K492" s="34" t="str">
        <x:v>2TB NVMe SSD from CA retailer; throughput is an interface-class estimate when omitted.</x:v>
      </x:c>
      <x:c r="L492" s="34" t="str">
        <x:v>https://www.newegg.ca/p/20-250-282</x:v>
      </x:c>
      <x:c r="M492" s="35" t="str">
        <x:v>https://www.newegg.ca/p/20-250-282</x:v>
      </x:c>
    </x:row>
    <x:row r="493">
      <x:c r="A493" s="33" t="str">
        <x:v>storage</x:v>
      </x:c>
      <x:c r="B493" s="34" t="str">
        <x:v>ca-newegg-storage-crucial-t500-m-2-2280-4tb-pcie-4-0-nvme-3d-nand-tlc-internal-solid-sta</x:v>
      </x:c>
      <x:c r="C493" s="34" t="str">
        <x:v>Crucial T500 M.2 2280 4TB PCIe 4.0 NVMe 3D NAND TLC Internal Solid State Drive (SSD) CT4000T500SSD5</x:v>
      </x:c>
      <x:c r="D493" s="34" t="str">
        <x:v>Crucial</x:v>
      </x:c>
      <x:c r="E493" s="82" t="n">
        <x:v>463.89</x:v>
      </x:c>
      <x:c r="F493" s="34" t="str">
        <x:v>USD</x:v>
      </x:c>
      <x:c r="G493" s="34" t="str">
        <x:v>retail</x:v>
      </x:c>
      <x:c r="H493" s="34" t="str">
        <x:v>2026-06-29</x:v>
      </x:c>
      <x:c r="I493" s="34" t="str">
        <x:v>capacityTb=4; interface=NVMe; readSpeedMb=7000; writeSpeedMb=5950</x:v>
      </x:c>
      <x:c r="J493" s="34" t="str">
        <x:v>NVMe, 4TB, SSD, ca-retail</x:v>
      </x:c>
      <x:c r="K493" s="34" t="str">
        <x:v>4TB NVMe SSD from CA retailer; throughput is an interface-class estimate when omitted.</x:v>
      </x:c>
      <x:c r="L493" s="34" t="str">
        <x:v>https://www.newegg.ca/p/9SIAHEBKYT4579</x:v>
      </x:c>
      <x:c r="M493" s="35" t="str">
        <x:v>https://www.newegg.ca/p/9SIAHEBKYT4579</x:v>
      </x:c>
    </x:row>
    <x:row r="494">
      <x:c r="A494" s="33" t="str">
        <x:v>storage</x:v>
      </x:c>
      <x:c r="B494" s="34" t="str">
        <x:v>ca-newegg-storage-team-group-mp44-m-2-2280-2tb-pcie-4-0-x4-with-nvme-laptop-desktop-nuc-</x:v>
      </x:c>
      <x:c r="C494" s="34" t="str">
        <x:v>Team Group MP44 M.2 2280 2TB PCIe 4.0 x4 with NVMe Laptop &amp; Desktop &amp; NUC &amp; NAS Internal Solid State Drive (SSD), (R/W Speed up to 7,400/7,000MB/s) TM8FPW002T0C101</x:v>
      </x:c>
      <x:c r="D494" s="34" t="str">
        <x:v>Team Group</x:v>
      </x:c>
      <x:c r="E494" s="82" t="n">
        <x:v>373.7</x:v>
      </x:c>
      <x:c r="F494" s="34" t="str">
        <x:v>USD</x:v>
      </x:c>
      <x:c r="G494" s="34" t="str">
        <x:v>retail</x:v>
      </x:c>
      <x:c r="H494" s="34" t="str">
        <x:v>2026-06-29</x:v>
      </x:c>
      <x:c r="I494" s="34" t="str">
        <x:v>capacityTb=2; interface=NVMe; readSpeedMb=7400; writeSpeedMb=7000</x:v>
      </x:c>
      <x:c r="J494" s="34" t="str">
        <x:v>NVMe, 2TB, SSD, ca-retail</x:v>
      </x:c>
      <x:c r="K494" s="34" t="str">
        <x:v>2TB NVMe SSD from CA retailer; throughput is an interface-class estimate when omitted.</x:v>
      </x:c>
      <x:c r="L494" s="34" t="str">
        <x:v>https://www.newegg.ca/p/20-985-037</x:v>
      </x:c>
      <x:c r="M494" s="35" t="str">
        <x:v>https://www.newegg.ca/p/20-985-037</x:v>
      </x:c>
    </x:row>
    <x:row r="495">
      <x:c r="A495" s="33" t="str">
        <x:v>storage</x:v>
      </x:c>
      <x:c r="B495" s="34" t="str">
        <x:v>ca-newegg-storage-wd-black-1tb-sn8100-nvme-ssd-internal-solid-state-drive-gen-5-pcie-5-0</x:v>
      </x:c>
      <x:c r="C495" s="34" t="str">
        <x:v>WD_BLACK 1TB SN8100 NVMe SSD Internal Solid State Drive - Gen 5 PCIe 5.0x4, M.2 2280, Seq. Read Speeds Up to 14,900 MB/s, Best for AI Applications, Gaming, and Video Editing - WDS100T1X0M</x:v>
      </x:c>
      <x:c r="D495" s="34" t="str">
        <x:v>SanDisk</x:v>
      </x:c>
      <x:c r="E495" s="82" t="n">
        <x:v>260.88</x:v>
      </x:c>
      <x:c r="F495" s="34" t="str">
        <x:v>USD</x:v>
      </x:c>
      <x:c r="G495" s="34" t="str">
        <x:v>retail</x:v>
      </x:c>
      <x:c r="H495" s="34" t="str">
        <x:v>2026-06-29</x:v>
      </x:c>
      <x:c r="I495" s="34" t="str">
        <x:v>capacityTb=1; interface=NVMe; readSpeedMb=14900; writeSpeedMb=12665</x:v>
      </x:c>
      <x:c r="J495" s="34" t="str">
        <x:v>NVMe, 1TB, SSD, ca-retail</x:v>
      </x:c>
      <x:c r="K495" s="34" t="str">
        <x:v>1TB NVMe SSD from CA retailer; throughput is an interface-class estimate when omitted.</x:v>
      </x:c>
      <x:c r="L495" s="34" t="str">
        <x:v>https://www.newegg.ca/p/20-250-278</x:v>
      </x:c>
      <x:c r="M495" s="35" t="str">
        <x:v>https://www.newegg.ca/p/20-250-278</x:v>
      </x:c>
    </x:row>
    <x:row r="496">
      <x:c r="A496" s="33" t="str">
        <x:v>storage</x:v>
      </x:c>
      <x:c r="B496" s="34" t="str">
        <x:v>ca-newegg-storage-kingspec-m-2-2280-1tb-pcie-gen-4x4-with-nvme-1-4-3d-nand-laptop-deskto</x:v>
      </x:c>
      <x:c r="C496" s="34" t="str">
        <x:v>KingSpec M.2 2280 1TB PCIe Gen 4x4 with NVMe 1.4 3D NAND Laptop &amp; Desktop Internal Solid State Drive NVMe SSD R/W up to 5,100/4,600 MB/s</x:v>
      </x:c>
      <x:c r="D496" s="34" t="str">
        <x:v>KingSpec</x:v>
      </x:c>
      <x:c r="E496" s="82" t="n">
        <x:v>142.43</x:v>
      </x:c>
      <x:c r="F496" s="34" t="str">
        <x:v>USD</x:v>
      </x:c>
      <x:c r="G496" s="34" t="str">
        <x:v>retail</x:v>
      </x:c>
      <x:c r="H496" s="34" t="str">
        <x:v>2026-06-29</x:v>
      </x:c>
      <x:c r="I496" s="34" t="str">
        <x:v>capacityTb=1; interface=NVMe; readSpeedMb=5100; writeSpeedMb=4600</x:v>
      </x:c>
      <x:c r="J496" s="34" t="str">
        <x:v>NVMe, 1TB, SSD, ca-retail</x:v>
      </x:c>
      <x:c r="K496" s="34" t="str">
        <x:v>1TB NVMe SSD from CA retailer; throughput is an interface-class estimate when omitted.</x:v>
      </x:c>
      <x:c r="L496" s="34" t="str">
        <x:v>https://www.newegg.ca/p/9SIB1V9HRT3089</x:v>
      </x:c>
      <x:c r="M496" s="35" t="str">
        <x:v>https://www.newegg.ca/p/9SIB1V9HRT3089</x:v>
      </x:c>
    </x:row>
    <x:row r="497">
      <x:c r="A497" s="33" t="str">
        <x:v>storage</x:v>
      </x:c>
      <x:c r="B497" s="34" t="str">
        <x:v>ca-newegg-storage-wd-black-2tb-sn8100-nvme-ssd-internal-solid-state-drive-gen-5-pcie-5-0</x:v>
      </x:c>
      <x:c r="C497" s="34" t="str">
        <x:v>WD_BLACK 2TB SN8100 NVMe SSD Internal Solid State Drive - Gen 5 PCIe 5.0x4, M.2 2280, Seq. Read Speeds Up to 14,900 MB/s, Best for AI Applications, Gaming, and Video Editing - WDS200T1X0M</x:v>
      </x:c>
      <x:c r="D497" s="34" t="str">
        <x:v>SanDisk</x:v>
      </x:c>
      <x:c r="E497" s="82" t="n">
        <x:v>433.64</x:v>
      </x:c>
      <x:c r="F497" s="34" t="str">
        <x:v>USD</x:v>
      </x:c>
      <x:c r="G497" s="34" t="str">
        <x:v>retail</x:v>
      </x:c>
      <x:c r="H497" s="34" t="str">
        <x:v>2026-06-29</x:v>
      </x:c>
      <x:c r="I497" s="34" t="str">
        <x:v>capacityTb=2; interface=NVMe; readSpeedMb=14900; writeSpeedMb=12665</x:v>
      </x:c>
      <x:c r="J497" s="34" t="str">
        <x:v>NVMe, 2TB, SSD, ca-retail</x:v>
      </x:c>
      <x:c r="K497" s="34" t="str">
        <x:v>2TB NVMe SSD from CA retailer; throughput is an interface-class estimate when omitted.</x:v>
      </x:c>
      <x:c r="L497" s="34" t="str">
        <x:v>https://www.newegg.ca/p/20-250-279</x:v>
      </x:c>
      <x:c r="M497" s="35" t="str">
        <x:v>https://www.newegg.ca/p/20-250-279</x:v>
      </x:c>
    </x:row>
    <x:row r="498">
      <x:c r="A498" s="33" t="str">
        <x:v>storage</x:v>
      </x:c>
      <x:c r="B498" s="34" t="str">
        <x:v>ca-newegg-storage-samsung-990-evo-plus-ssd-1tb-pcie-gen-4x4-gen-5x2-m-2-2280-speeds-up-t</x:v>
      </x:c>
      <x:c r="C498" s="34" t="str">
        <x:v>SAMSUNG 990 EVO PLUS SSD 1TB, PCIe Gen 4x4 | Gen 5x2 M.2 2280, Speeds Up-to 7,150 MB/s, Upgrade Storage for PC/Laptops, HMB Technology and Intelligent Turbowrite 2.0 (MZ-V9S1T0B/AM)</x:v>
      </x:c>
      <x:c r="D498" s="34" t="str">
        <x:v>SAMSUNG</x:v>
      </x:c>
      <x:c r="E498" s="82" t="n">
        <x:v>278.5</x:v>
      </x:c>
      <x:c r="F498" s="34" t="str">
        <x:v>USD</x:v>
      </x:c>
      <x:c r="G498" s="34" t="str">
        <x:v>retail</x:v>
      </x:c>
      <x:c r="H498" s="34" t="str">
        <x:v>2026-06-29</x:v>
      </x:c>
      <x:c r="I498" s="34" t="str">
        <x:v>capacityTb=1; interface=NVMe; readSpeedMb=7250; writeSpeedMb=6300</x:v>
      </x:c>
      <x:c r="J498" s="34" t="str">
        <x:v>NVMe, 1TB, SSD, ca-retail</x:v>
      </x:c>
      <x:c r="K498" s="34" t="str">
        <x:v>1TB NVMe SSD from CA retailer; throughput is an interface-class estimate when omitted.</x:v>
      </x:c>
      <x:c r="L498" s="34" t="str">
        <x:v>https://www.newegg.ca/p/20-147-899</x:v>
      </x:c>
      <x:c r="M498" s="35" t="str">
        <x:v>https://www.newegg.ca/p/20-147-899</x:v>
      </x:c>
    </x:row>
    <x:row r="499">
      <x:c r="A499" s="33" t="str">
        <x:v>storage</x:v>
      </x:c>
      <x:c r="B499" s="34" t="str">
        <x:v>ca-newegg-storage-wd-black-sn7100-m-2-2280-4tb-pci-express-4-0-x4-tlc-3d-nand-internal-s</x:v>
      </x:c>
      <x:c r="C499" s="34" t="str">
        <x:v>WD_BLACK SN7100 M.2 2280 4TB PCI-Express 4.0 x4 TLC 3D NAND Internal Solid State Drive (SSD) WDS400T4X0E</x:v>
      </x:c>
      <x:c r="D499" s="34" t="str">
        <x:v>SanDisk</x:v>
      </x:c>
      <x:c r="E499" s="82" t="n">
        <x:v>507.67</x:v>
      </x:c>
      <x:c r="F499" s="34" t="str">
        <x:v>USD</x:v>
      </x:c>
      <x:c r="G499" s="34" t="str">
        <x:v>retail</x:v>
      </x:c>
      <x:c r="H499" s="34" t="str">
        <x:v>2026-06-29</x:v>
      </x:c>
      <x:c r="I499" s="34" t="str">
        <x:v>capacityTb=4; interface=NVMe; readSpeedMb=6900; writeSpeedMb=5865</x:v>
      </x:c>
      <x:c r="J499" s="34" t="str">
        <x:v>NVMe, 4TB, SSD, ca-retail</x:v>
      </x:c>
      <x:c r="K499" s="34" t="str">
        <x:v>4TB NVMe SSD from CA retailer; throughput is an interface-class estimate when omitted.</x:v>
      </x:c>
      <x:c r="L499" s="34" t="str">
        <x:v>https://www.newegg.ca/p/0D9-001A-003S1</x:v>
      </x:c>
      <x:c r="M499" s="35" t="str">
        <x:v>https://www.newegg.ca/p/0D9-001A-003S1</x:v>
      </x:c>
    </x:row>
    <x:row r="500">
      <x:c r="A500" s="33" t="str">
        <x:v>storage</x:v>
      </x:c>
      <x:c r="B500" s="34" t="str">
        <x:v>ca-newegg-storage-samsung-990-evo-plus-ssd-2tb-pcie-gen-4x4-gen-5x2-m-2-2280-speeds-up-t</x:v>
      </x:c>
      <x:c r="C500" s="34" t="str">
        <x:v>SAMSUNG 990 EVO PLUS SSD 2TB, PCIe Gen 4x4 | Gen 5x2 M.2 2280, Speeds Up-to 7,250 MB/s, Upgrade Storage for PC/Laptops, HMB Technology and Intelligent Turbowrite 2.0 (MZ-V9S2T0B/AM)</x:v>
      </x:c>
      <x:c r="D500" s="34" t="str">
        <x:v>SAMSUNG</x:v>
      </x:c>
      <x:c r="E500" s="82" t="n">
        <x:v>557.02</x:v>
      </x:c>
      <x:c r="F500" s="34" t="str">
        <x:v>USD</x:v>
      </x:c>
      <x:c r="G500" s="34" t="str">
        <x:v>retail</x:v>
      </x:c>
      <x:c r="H500" s="34" t="str">
        <x:v>2026-06-29</x:v>
      </x:c>
      <x:c r="I500" s="34" t="str">
        <x:v>capacityTb=2; interface=NVMe; readSpeedMb=7250; writeSpeedMb=6300</x:v>
      </x:c>
      <x:c r="J500" s="34" t="str">
        <x:v>NVMe, 2TB, SSD, ca-retail</x:v>
      </x:c>
      <x:c r="K500" s="34" t="str">
        <x:v>2TB NVMe SSD from CA retailer; throughput is an interface-class estimate when omitted.</x:v>
      </x:c>
      <x:c r="L500" s="34" t="str">
        <x:v>https://www.newegg.ca/p/20-147-900</x:v>
      </x:c>
      <x:c r="M500" s="35" t="str">
        <x:v>https://www.newegg.ca/p/20-147-900</x:v>
      </x:c>
    </x:row>
    <x:row r="501">
      <x:c r="A501" s="33" t="str">
        <x:v>storage</x:v>
      </x:c>
      <x:c r="B501" s="34" t="str">
        <x:v>ca-newegg-storage-samsung-990-pro-w-heatsink-ssd-4tb-pcie-gen4-m-2-2280-internal-solid-s</x:v>
      </x:c>
      <x:c r="C501" s="34" t="str">
        <x:v>SAMSUNG 990 PRO w/Heatsink SSD 4TB, PCIe Gen4 M.2 2280 Internal Solid State Hard Drive, Seq. Read Speeds Up to 7,450MB/s for High End Computing, Workstations, Compatible w/PlayStation 5, MZ-V9P4T0CW</x:v>
      </x:c>
      <x:c r="D501" s="34" t="str">
        <x:v>SAMSUNG</x:v>
      </x:c>
      <x:c r="E501" s="82" t="n">
        <x:v>494.26</x:v>
      </x:c>
      <x:c r="F501" s="34" t="str">
        <x:v>USD</x:v>
      </x:c>
      <x:c r="G501" s="34" t="str">
        <x:v>retail</x:v>
      </x:c>
      <x:c r="H501" s="34" t="str">
        <x:v>2026-06-29</x:v>
      </x:c>
      <x:c r="I501" s="34" t="str">
        <x:v>capacityTb=4; interface=NVMe; readSpeedMb=7450; writeSpeedMb=6333</x:v>
      </x:c>
      <x:c r="J501" s="34" t="str">
        <x:v>NVMe, 4TB, SSD, ca-retail, rgb</x:v>
      </x:c>
      <x:c r="K501" s="34" t="str">
        <x:v>4TB NVMe SSD from CA retailer; throughput is an interface-class estimate when omitted.</x:v>
      </x:c>
      <x:c r="L501" s="34" t="str">
        <x:v>https://www.newegg.ca/p/20-147-878</x:v>
      </x:c>
      <x:c r="M501" s="35" t="str">
        <x:v>https://www.newegg.ca/p/20-147-878R</x:v>
      </x:c>
    </x:row>
    <x:row r="502">
      <x:c r="A502" s="33" t="str">
        <x:v>storage</x:v>
      </x:c>
      <x:c r="B502" s="34" t="str">
        <x:v>ca-newegg-storage-8tb-wd-black-sn8100-gen-5-nvme-ssd-wds800t1x0m-00cmt0</x:v>
      </x:c>
      <x:c r="C502" s="34" t="str">
        <x:v>8TB* WD_BLACK™ SN8100 Gen 5 NVMe™ SSD WDS800T1X0M-00CMT0</x:v>
      </x:c>
      <x:c r="D502" s="34" t="str">
        <x:v>SanDisk</x:v>
      </x:c>
      <x:c r="E502" s="82" t="n">
        <x:v>1819.18</x:v>
      </x:c>
      <x:c r="F502" s="34" t="str">
        <x:v>USD</x:v>
      </x:c>
      <x:c r="G502" s="34" t="str">
        <x:v>retail</x:v>
      </x:c>
      <x:c r="H502" s="34" t="str">
        <x:v>2026-06-29</x:v>
      </x:c>
      <x:c r="I502" s="34" t="str">
        <x:v>capacityTb=8; interface=NVMe; readSpeedMb=14900; writeSpeedMb=12665</x:v>
      </x:c>
      <x:c r="J502" s="34" t="str">
        <x:v>NVMe, 8TB, SSD, ca-retail</x:v>
      </x:c>
      <x:c r="K502" s="34" t="str">
        <x:v>8TB NVMe SSD from CA retailer; throughput is an interface-class estimate when omitted.</x:v>
      </x:c>
      <x:c r="L502" s="34" t="str">
        <x:v>https://www.newegg.ca/p/20-250-296</x:v>
      </x:c>
      <x:c r="M502" s="35" t="str">
        <x:v>https://www.newegg.ca/p/20-250-296</x:v>
      </x:c>
    </x:row>
    <x:row r="503">
      <x:c r="A503" s="33" t="str">
        <x:v>storage</x:v>
      </x:c>
      <x:c r="B503" s="34" t="str">
        <x:v>ca-newegg-storage-wd-black-1tb-sn850x-nvme-internal-gaming-solid-state-drive-with-heatsi</x:v>
      </x:c>
      <x:c r="C503" s="34" t="str">
        <x:v>WD_BLACK 1TB SN850X NVMe Internal Gaming Solid State Drive with Heatsink - Works with Playstation 5, Gen4 PCIe, M.2 2280, Up to 7,300 MB/s - WDS100T2XHE</x:v>
      </x:c>
      <x:c r="D503" s="34" t="str">
        <x:v>SanDisk</x:v>
      </x:c>
      <x:c r="E503" s="82" t="n">
        <x:v>250.31</x:v>
      </x:c>
      <x:c r="F503" s="34" t="str">
        <x:v>USD</x:v>
      </x:c>
      <x:c r="G503" s="34" t="str">
        <x:v>retail</x:v>
      </x:c>
      <x:c r="H503" s="34" t="str">
        <x:v>2026-06-29</x:v>
      </x:c>
      <x:c r="I503" s="34" t="str">
        <x:v>capacityTb=1; interface=NVMe; readSpeedMb=3500; writeSpeedMb=2975</x:v>
      </x:c>
      <x:c r="J503" s="34" t="str">
        <x:v>NVMe, 1TB, SSD, ca-retail, rgb</x:v>
      </x:c>
      <x:c r="K503" s="34" t="str">
        <x:v>1TB NVMe SSD from CA retailer; throughput is an interface-class estimate when omitted.</x:v>
      </x:c>
      <x:c r="L503" s="34" t="str">
        <x:v>https://www.newegg.ca/p/20-250-245</x:v>
      </x:c>
      <x:c r="M503" s="35" t="str">
        <x:v>https://www.newegg.ca/p/20-250-245</x:v>
      </x:c>
    </x:row>
    <x:row r="504">
      <x:c r="A504" s="33" t="str">
        <x:v>storage</x:v>
      </x:c>
      <x:c r="B504" s="34" t="str">
        <x:v>ca-newegg-storage-wd-blue-sn5100-1tb-nvme-ssd-pcie-gen-4-0-up-to-7-100-mb-s-read-speeds</x:v>
      </x:c>
      <x:c r="C504" s="34" t="str">
        <x:v>WD Blue SN5100 1TB NVMe SSD, PCIe Gen 4.0, up to 7,100 MB/s read speeds</x:v>
      </x:c>
      <x:c r="D504" s="34" t="str">
        <x:v>SanDisk</x:v>
      </x:c>
      <x:c r="E504" s="82" t="n">
        <x:v>190.37</x:v>
      </x:c>
      <x:c r="F504" s="34" t="str">
        <x:v>USD</x:v>
      </x:c>
      <x:c r="G504" s="34" t="str">
        <x:v>retail</x:v>
      </x:c>
      <x:c r="H504" s="34" t="str">
        <x:v>2026-06-29</x:v>
      </x:c>
      <x:c r="I504" s="34" t="str">
        <x:v>capacityTb=1; interface=NVMe; readSpeedMb=5100; writeSpeedMb=4335</x:v>
      </x:c>
      <x:c r="J504" s="34" t="str">
        <x:v>NVMe, 1TB, SSD, ca-retail</x:v>
      </x:c>
      <x:c r="K504" s="34" t="str">
        <x:v>1TB NVMe SSD from CA retailer; throughput is an interface-class estimate when omitted.</x:v>
      </x:c>
      <x:c r="L504" s="34" t="str">
        <x:v>https://www.newegg.ca/p/20-173-682</x:v>
      </x:c>
      <x:c r="M504" s="35" t="str">
        <x:v>https://www.newegg.ca/p/20-173-682</x:v>
      </x:c>
    </x:row>
    <x:row r="505">
      <x:c r="A505" s="33" t="str">
        <x:v>storage</x:v>
      </x:c>
      <x:c r="B505" s="34" t="str">
        <x:v>ca-newegg-storage-wd-black-4tb-sn850x-nvme-internal-gaming-ssd-solid-state-drive-with-he</x:v>
      </x:c>
      <x:c r="C505" s="34" t="str">
        <x:v>WD_BLACK 4TB SN850X NVMe Internal Gaming SSD Solid State Drive with Heatsink - Works with Playstation 5, Gen4 PCIe, M.2 2280, Up to 7,300 MB/s - WDS400T2XHE</x:v>
      </x:c>
      <x:c r="D505" s="34" t="str">
        <x:v>SanDisk</x:v>
      </x:c>
      <x:c r="E505" s="82" t="n">
        <x:v>1099.95</x:v>
      </x:c>
      <x:c r="F505" s="34" t="str">
        <x:v>USD</x:v>
      </x:c>
      <x:c r="G505" s="34" t="str">
        <x:v>retail</x:v>
      </x:c>
      <x:c r="H505" s="34" t="str">
        <x:v>2026-06-29</x:v>
      </x:c>
      <x:c r="I505" s="34" t="str">
        <x:v>capacityTb=4; interface=NVMe; readSpeedMb=3500; writeSpeedMb=2975</x:v>
      </x:c>
      <x:c r="J505" s="34" t="str">
        <x:v>NVMe, 4TB, SSD, ca-retail, rgb</x:v>
      </x:c>
      <x:c r="K505" s="34" t="str">
        <x:v>4TB NVMe SSD from CA retailer; throughput is an interface-class estimate when omitted.</x:v>
      </x:c>
      <x:c r="L505" s="34" t="str">
        <x:v>https://www.newegg.ca/p/9SIADGEKDC9666</x:v>
      </x:c>
      <x:c r="M505" s="35" t="str">
        <x:v>https://www.newegg.ca/p/9SIADGEKDC9666</x:v>
      </x:c>
    </x:row>
    <x:row r="506">
      <x:c r="A506" s="33" t="str">
        <x:v>storage</x:v>
      </x:c>
      <x:c r="B506" s="34" t="str">
        <x:v>ca-newegg-storage-wd-blue-sn5100-2tb-nvme-ssd-pcie-gen-4-0-up-to-7-100-mb-s-read-speeds</x:v>
      </x:c>
      <x:c r="C506" s="34" t="str">
        <x:v>WD Blue SN5100 2TB NVMe SSD, PCIe Gen 4.0, up to 7,100 MB/s read speeds</x:v>
      </x:c>
      <x:c r="D506" s="34" t="str">
        <x:v>SanDisk</x:v>
      </x:c>
      <x:c r="E506" s="82" t="n">
        <x:v>267.93</x:v>
      </x:c>
      <x:c r="F506" s="34" t="str">
        <x:v>USD</x:v>
      </x:c>
      <x:c r="G506" s="34" t="str">
        <x:v>retail</x:v>
      </x:c>
      <x:c r="H506" s="34" t="str">
        <x:v>2026-06-29</x:v>
      </x:c>
      <x:c r="I506" s="34" t="str">
        <x:v>capacityTb=2; interface=NVMe; readSpeedMb=5100; writeSpeedMb=4335</x:v>
      </x:c>
      <x:c r="J506" s="34" t="str">
        <x:v>NVMe, 2TB, SSD, ca-retail</x:v>
      </x:c>
      <x:c r="K506" s="34" t="str">
        <x:v>2TB NVMe SSD from CA retailer; throughput is an interface-class estimate when omitted.</x:v>
      </x:c>
      <x:c r="L506" s="34" t="str">
        <x:v>https://www.newegg.ca/p/20-173-681</x:v>
      </x:c>
      <x:c r="M506" s="35" t="str">
        <x:v>https://www.newegg.ca/p/20-173-681</x:v>
      </x:c>
    </x:row>
    <x:row r="507">
      <x:c r="A507" s="33" t="str">
        <x:v>storage</x:v>
      </x:c>
      <x:c r="B507" s="34" t="str">
        <x:v>ca-newegg-storage-wd-blue-sn5100-500gb-nvme-ssd-pcie-gen-4-0-up-to-6-600-mb-s-read-speed</x:v>
      </x:c>
      <x:c r="C507" s="34" t="str">
        <x:v>WD Blue SN5100 500GB NVMe SSD, PCIe Gen 4.0, up to 6,600 MB/s read speeds</x:v>
      </x:c>
      <x:c r="D507" s="34" t="str">
        <x:v>SanDisk</x:v>
      </x:c>
      <x:c r="E507" s="82" t="n">
        <x:v>121.26</x:v>
      </x:c>
      <x:c r="F507" s="34" t="str">
        <x:v>USD</x:v>
      </x:c>
      <x:c r="G507" s="34" t="str">
        <x:v>retail</x:v>
      </x:c>
      <x:c r="H507" s="34" t="str">
        <x:v>2026-06-29</x:v>
      </x:c>
      <x:c r="I507" s="34" t="str">
        <x:v>capacityTb=0.5; interface=NVMe; readSpeedMb=5100; writeSpeedMb=4335</x:v>
      </x:c>
      <x:c r="J507" s="34" t="str">
        <x:v>NVMe, 0.5TB, SSD, ca-retail</x:v>
      </x:c>
      <x:c r="K507" s="34" t="str">
        <x:v>0.5TB NVMe SSD from CA retailer; throughput is an interface-class estimate when omitted.</x:v>
      </x:c>
      <x:c r="L507" s="34" t="str">
        <x:v>https://www.newegg.ca/p/9SIADGEKRF1816</x:v>
      </x:c>
      <x:c r="M507" s="35" t="str">
        <x:v>https://www.newegg.ca/p/9SIADGEKRF1816</x:v>
      </x:c>
    </x:row>
    <x:row r="508">
      <x:c r="A508" s="33" t="str">
        <x:v>storage</x:v>
      </x:c>
      <x:c r="B508" s="34" t="str">
        <x:v>ca-newegg-storage-western-digital-4tb-wd-blue-sn5000-nvme-ssd-pcie-gen-4-0-up-to-5-500-m</x:v>
      </x:c>
      <x:c r="C508" s="34" t="str">
        <x:v>Western Digital 4TB WD Blue SN5000 NVMe SSD, PCIe Gen 4.0, up to 5,500 MB/s Read Speeds Internal Solid State Drive (SSD) WDS400T4B0E</x:v>
      </x:c>
      <x:c r="D508" s="34" t="str">
        <x:v>SanDisk</x:v>
      </x:c>
      <x:c r="E508" s="82" t="n">
        <x:v>475.94</x:v>
      </x:c>
      <x:c r="F508" s="34" t="str">
        <x:v>USD</x:v>
      </x:c>
      <x:c r="G508" s="34" t="str">
        <x:v>retail</x:v>
      </x:c>
      <x:c r="H508" s="34" t="str">
        <x:v>2026-06-29</x:v>
      </x:c>
      <x:c r="I508" s="34" t="str">
        <x:v>capacityTb=4; interface=NVMe; readSpeedMb=3500; writeSpeedMb=2975</x:v>
      </x:c>
      <x:c r="J508" s="34" t="str">
        <x:v>NVMe, 4TB, SSD, ca-retail</x:v>
      </x:c>
      <x:c r="K508" s="34" t="str">
        <x:v>4TB NVMe SSD from CA retailer; throughput is an interface-class estimate when omitted.</x:v>
      </x:c>
      <x:c r="L508" s="34" t="str">
        <x:v>https://www.newegg.ca/p/20-250-266</x:v>
      </x:c>
      <x:c r="M508" s="35" t="str">
        <x:v>https://www.newegg.ca/p/20-250-266</x:v>
      </x:c>
    </x:row>
    <x:row r="509">
      <x:c r="A509" s="33" t="str">
        <x:v>storage</x:v>
      </x:c>
      <x:c r="B509" s="34" t="str">
        <x:v>ca-newegg-storage-western-digital-1tb-wd-blue-sn5000-nvme-ssd-pcie-gen-4-0-up-to-5-150-m</x:v>
      </x:c>
      <x:c r="C509" s="34" t="str">
        <x:v>Western Digital 1TB WD Blue SN5000 NVMe SSD, PCIe Gen 4.0, up to 5,150 MB/s Read Speeds Internal Solid State Drive (SSD) WDS100T4B0E</x:v>
      </x:c>
      <x:c r="D509" s="34" t="str">
        <x:v>SanDisk</x:v>
      </x:c>
      <x:c r="E509" s="82" t="n">
        <x:v>196.18</x:v>
      </x:c>
      <x:c r="F509" s="34" t="str">
        <x:v>USD</x:v>
      </x:c>
      <x:c r="G509" s="34" t="str">
        <x:v>retail</x:v>
      </x:c>
      <x:c r="H509" s="34" t="str">
        <x:v>2026-06-29</x:v>
      </x:c>
      <x:c r="I509" s="34" t="str">
        <x:v>capacityTb=1; interface=NVMe; readSpeedMb=3500; writeSpeedMb=2975</x:v>
      </x:c>
      <x:c r="J509" s="34" t="str">
        <x:v>NVMe, 1TB, SSD, ca-retail</x:v>
      </x:c>
      <x:c r="K509" s="34" t="str">
        <x:v>1TB NVMe SSD from CA retailer; throughput is an interface-class estimate when omitted.</x:v>
      </x:c>
      <x:c r="L509" s="34" t="str">
        <x:v>https://www.newegg.ca/p/9SIB277KRJ3737</x:v>
      </x:c>
      <x:c r="M509" s="35" t="str">
        <x:v>https://www.newegg.ca/p/9SIB277KRJ3737</x:v>
      </x:c>
    </x:row>
    <x:row r="510">
      <x:c r="A510" s="33" t="str">
        <x:v>storage</x:v>
      </x:c>
      <x:c r="B510" s="34" t="str">
        <x:v>ca-newegg-storage-wd-black-sn8100-nvme-ssd-4tb-with-heatsink-m-2-2280-pci-express-5-0-x4</x:v>
      </x:c>
      <x:c r="C510" s="34" t="str">
        <x:v>WD_BLACK SN8100 NVMe SSD - 4TB, With Heatsink, M.2 2280 PCI-Express 5.0 x4 Internal Solid State Drive (SSD) WDS400T1XHM-00CMT0</x:v>
      </x:c>
      <x:c r="D510" s="34" t="str">
        <x:v>SanDisk</x:v>
      </x:c>
      <x:c r="E510" s="82" t="n">
        <x:v>958.94</x:v>
      </x:c>
      <x:c r="F510" s="34" t="str">
        <x:v>USD</x:v>
      </x:c>
      <x:c r="G510" s="34" t="str">
        <x:v>retail</x:v>
      </x:c>
      <x:c r="H510" s="34" t="str">
        <x:v>2026-06-29</x:v>
      </x:c>
      <x:c r="I510" s="34" t="str">
        <x:v>capacityTb=4; interface=NVMe; readSpeedMb=3500; writeSpeedMb=2975</x:v>
      </x:c>
      <x:c r="J510" s="34" t="str">
        <x:v>NVMe, 4TB, SSD, ca-retail, rgb</x:v>
      </x:c>
      <x:c r="K510" s="34" t="str">
        <x:v>4TB NVMe SSD from CA retailer; throughput is an interface-class estimate when omitted.</x:v>
      </x:c>
      <x:c r="L510" s="34" t="str">
        <x:v>https://www.newegg.ca/p/20-250-283</x:v>
      </x:c>
      <x:c r="M510" s="35" t="str">
        <x:v>https://www.newegg.ca/p/20-250-283</x:v>
      </x:c>
    </x:row>
    <x:row r="511">
      <x:c r="A511" s="33" t="str">
        <x:v>storage</x:v>
      </x:c>
      <x:c r="B511" s="34" t="str">
        <x:v>ca-newegg-storage-western-digital-500gb-wd-blue-sn5000-nvme-ssd-pcie-gen-4-0-up-to-5-000</x:v>
      </x:c>
      <x:c r="C511" s="34" t="str">
        <x:v>Western Digital 500GB WD Blue SN5000 NVMe SSD, PCIe Gen 4.0, up to 5,000 MB/s Read Speeds Internal Solid State Drive (SSD) WDS500G4B0E</x:v>
      </x:c>
      <x:c r="D511" s="34" t="str">
        <x:v>SanDisk</x:v>
      </x:c>
      <x:c r="E511" s="82" t="n">
        <x:v>139.61</x:v>
      </x:c>
      <x:c r="F511" s="34" t="str">
        <x:v>USD</x:v>
      </x:c>
      <x:c r="G511" s="34" t="str">
        <x:v>retail</x:v>
      </x:c>
      <x:c r="H511" s="34" t="str">
        <x:v>2026-06-29</x:v>
      </x:c>
      <x:c r="I511" s="34" t="str">
        <x:v>capacityTb=0.5; interface=NVMe; readSpeedMb=3500; writeSpeedMb=2975</x:v>
      </x:c>
      <x:c r="J511" s="34" t="str">
        <x:v>NVMe, 0.5TB, SSD, ca-retail</x:v>
      </x:c>
      <x:c r="K511" s="34" t="str">
        <x:v>0.5TB NVMe SSD from CA retailer; throughput is an interface-class estimate when omitted.</x:v>
      </x:c>
      <x:c r="L511" s="34" t="str">
        <x:v>https://www.newegg.ca/p/9SIB277KRV1581</x:v>
      </x:c>
      <x:c r="M511" s="35" t="str">
        <x:v>https://www.newegg.ca/p/9SIB277KRV1581</x:v>
      </x:c>
    </x:row>
    <x:row r="512">
      <x:c r="A512" s="33" t="str">
        <x:v>storage</x:v>
      </x:c>
      <x:c r="B512" s="34" t="str">
        <x:v>ca-newegg-storage-crucial-t705-4tb-pcie-gen5-nvme-m-2-ssd-up-to-14-100-mb-s-game-ready-i</x:v>
      </x:c>
      <x:c r="C512" s="34" t="str">
        <x:v>Crucial T705 4TB PCIe Gen5 NVMe M.2 SSD - Up to 14,100 MB/s - Game Ready - Internal Solid State Drive (PC) - +1mo Adobe CC - CT4000T705SSD3</x:v>
      </x:c>
      <x:c r="D512" s="34" t="str">
        <x:v>Crucial</x:v>
      </x:c>
      <x:c r="E512" s="82" t="n">
        <x:v>1080.93</x:v>
      </x:c>
      <x:c r="F512" s="34" t="str">
        <x:v>USD</x:v>
      </x:c>
      <x:c r="G512" s="34" t="str">
        <x:v>retail</x:v>
      </x:c>
      <x:c r="H512" s="34" t="str">
        <x:v>2026-06-29</x:v>
      </x:c>
      <x:c r="I512" s="34" t="str">
        <x:v>capacityTb=4; interface=NVMe; readSpeedMb=14100; writeSpeedMb=11985</x:v>
      </x:c>
      <x:c r="J512" s="34" t="str">
        <x:v>NVMe, 4TB, SSD, ca-retail</x:v>
      </x:c>
      <x:c r="K512" s="34" t="str">
        <x:v>4TB NVMe SSD from CA retailer; throughput is an interface-class estimate when omitted.</x:v>
      </x:c>
      <x:c r="L512" s="34" t="str">
        <x:v>https://www.newegg.ca/p/9SIAMW5KBD5487</x:v>
      </x:c>
      <x:c r="M512" s="35" t="str">
        <x:v>https://www.newegg.ca/p/9SIAMW5KBD5487</x:v>
      </x:c>
    </x:row>
    <x:row r="513">
      <x:c r="A513" s="33" t="str">
        <x:v>storage</x:v>
      </x:c>
      <x:c r="B513" s="34" t="str">
        <x:v>ca-newegg-storage-western-digital-2tb-wd-blue-sn5000-nvme-internal-solid-state-drive-ssd</x:v>
      </x:c>
      <x:c r="C513" s="34" t="str">
        <x:v>Western Digital 2TB WD Blue SN5000 NVMe Internal Solid State Drive SSD - PCIe Gen 4.0, M.2 2280, Up to 5,150 MB/s - WDS200T4B0E</x:v>
      </x:c>
      <x:c r="D513" s="34" t="str">
        <x:v>SanDisk</x:v>
      </x:c>
      <x:c r="E513" s="82" t="n">
        <x:v>280.14</x:v>
      </x:c>
      <x:c r="F513" s="34" t="str">
        <x:v>USD</x:v>
      </x:c>
      <x:c r="G513" s="34" t="str">
        <x:v>retail</x:v>
      </x:c>
      <x:c r="H513" s="34" t="str">
        <x:v>2026-06-29</x:v>
      </x:c>
      <x:c r="I513" s="34" t="str">
        <x:v>capacityTb=2; interface=NVMe; readSpeedMb=3500; writeSpeedMb=2975</x:v>
      </x:c>
      <x:c r="J513" s="34" t="str">
        <x:v>NVMe, 2TB, SSD, ca-retail</x:v>
      </x:c>
      <x:c r="K513" s="34" t="str">
        <x:v>2TB NVMe SSD from CA retailer; throughput is an interface-class estimate when omitted.</x:v>
      </x:c>
      <x:c r="L513" s="34" t="str">
        <x:v>https://www.newegg.ca/p/9SIB277KNF5666</x:v>
      </x:c>
      <x:c r="M513" s="35" t="str">
        <x:v>https://www.newegg.ca/p/9SIB277KNF5666</x:v>
      </x:c>
    </x:row>
    <x:row r="514">
      <x:c r="A514" s="33" t="str">
        <x:v>storage</x:v>
      </x:c>
      <x:c r="B514" s="34" t="str">
        <x:v>ca-newegg-storage-team-group-t-force-ge-pro-m-2-2280-4tb-pcie-gen-5-0x4-with-dram-cache-</x:v>
      </x:c>
      <x:c r="C514" s="34" t="str">
        <x:v>Team Group T-FORCE GE PRO M.2 2280 4TB PCIe Gen 5.0x4 with DRAM CACHE with NVMe 2.0 3D NAND Internal Solid State Drive (SSD) with AirFlow 1 TM8FG3004T0C133</x:v>
      </x:c>
      <x:c r="D514" s="34" t="str">
        <x:v>Team Group</x:v>
      </x:c>
      <x:c r="E514" s="82" t="n">
        <x:v>528.83</x:v>
      </x:c>
      <x:c r="F514" s="34" t="str">
        <x:v>USD</x:v>
      </x:c>
      <x:c r="G514" s="34" t="str">
        <x:v>retail</x:v>
      </x:c>
      <x:c r="H514" s="34" t="str">
        <x:v>2026-06-29</x:v>
      </x:c>
      <x:c r="I514" s="34" t="str">
        <x:v>capacityTb=4; interface=NVMe; readSpeedMb=3500; writeSpeedMb=2975</x:v>
      </x:c>
      <x:c r="J514" s="34" t="str">
        <x:v>NVMe, 4TB, SSD, ca-retail, airflow</x:v>
      </x:c>
      <x:c r="K514" s="34" t="str">
        <x:v>4TB NVMe SSD from CA retailer; throughput is an interface-class estimate when omitted.</x:v>
      </x:c>
      <x:c r="L514" s="34" t="str">
        <x:v>https://www.newegg.ca/p/20-985-271</x:v>
      </x:c>
      <x:c r="M514" s="35" t="str">
        <x:v>https://www.newegg.ca/p/20-985-271</x:v>
      </x:c>
    </x:row>
    <x:row r="515">
      <x:c r="A515" s="33" t="str">
        <x:v>storage</x:v>
      </x:c>
      <x:c r="B515" s="34" t="str">
        <x:v>ca-newegg-storage-kingspec-vp14000-1tb-pcie-5-0x4-m-2-nvme-2280-gen5-ssd-tlc-nand-intern</x:v>
      </x:c>
      <x:c r="C515" s="34" t="str">
        <x:v>KingSpec VP14000 1TB PCIe 5.0x4 M.2 NVMe 2280 Gen5 SSD TLC NAND Internal Solid State Drive, Seq. Read Speeds Up to 14,349/8,957 MB/s, Best for AI Computing, Gaming, and Heavy Duty Workstations</x:v>
      </x:c>
      <x:c r="D515" s="34" t="str">
        <x:v>KingSpec</x:v>
      </x:c>
      <x:c r="E515" s="82" t="n">
        <x:v>171.33</x:v>
      </x:c>
      <x:c r="F515" s="34" t="str">
        <x:v>USD</x:v>
      </x:c>
      <x:c r="G515" s="34" t="str">
        <x:v>retail</x:v>
      </x:c>
      <x:c r="H515" s="34" t="str">
        <x:v>2026-06-29</x:v>
      </x:c>
      <x:c r="I515" s="34" t="str">
        <x:v>capacityTb=1; interface=NVMe; readSpeedMb=14349; writeSpeedMb=8957</x:v>
      </x:c>
      <x:c r="J515" s="34" t="str">
        <x:v>NVMe, 1TB, SSD, ca-retail</x:v>
      </x:c>
      <x:c r="K515" s="34" t="str">
        <x:v>1TB NVMe SSD from CA retailer; throughput is an interface-class estimate when omitted.</x:v>
      </x:c>
      <x:c r="L515" s="34" t="str">
        <x:v>https://www.newegg.ca/p/9SIB1V9KS24771</x:v>
      </x:c>
      <x:c r="M515" s="35" t="str">
        <x:v>https://www.newegg.ca/p/9SIB1V9KS24771</x:v>
      </x:c>
    </x:row>
    <x:row r="516">
      <x:c r="A516" s="33" t="str">
        <x:v>storage</x:v>
      </x:c>
      <x:c r="B516" s="34" t="str">
        <x:v>ca-newegg-storage-team-group-t-force-gc-pro-m-2-2280-4tb-pcie-gen-5-0x4-with-dram-cache-</x:v>
      </x:c>
      <x:c r="C516" s="34" t="str">
        <x:v>Team Group T-FORCE GC PRO M.2 2280 4TB PCIe Gen 5.0x4 with DRAM CACHE with NVMe 2.0 3D NAND Internal Solid State Drive (SSD) TM8FFL004T0C129</x:v>
      </x:c>
      <x:c r="D516" s="34" t="str">
        <x:v>Team Group</x:v>
      </x:c>
      <x:c r="E516" s="82" t="n">
        <x:v>542.92</x:v>
      </x:c>
      <x:c r="F516" s="34" t="str">
        <x:v>USD</x:v>
      </x:c>
      <x:c r="G516" s="34" t="str">
        <x:v>retail</x:v>
      </x:c>
      <x:c r="H516" s="34" t="str">
        <x:v>2026-06-29</x:v>
      </x:c>
      <x:c r="I516" s="34" t="str">
        <x:v>capacityTb=4; interface=NVMe; readSpeedMb=3500; writeSpeedMb=2975</x:v>
      </x:c>
      <x:c r="J516" s="34" t="str">
        <x:v>NVMe, 4TB, SSD, ca-retail</x:v>
      </x:c>
      <x:c r="K516" s="34" t="str">
        <x:v>4TB NVMe SSD from CA retailer; throughput is an interface-class estimate when omitted.</x:v>
      </x:c>
      <x:c r="L516" s="34" t="str">
        <x:v>https://www.newegg.ca/p/20-985-211</x:v>
      </x:c>
      <x:c r="M516" s="35" t="str">
        <x:v>https://www.newegg.ca/p/20-985-211</x:v>
      </x:c>
    </x:row>
    <x:row r="517">
      <x:c r="A517" s="33" t="str">
        <x:v>storage</x:v>
      </x:c>
      <x:c r="B517" s="34" t="str">
        <x:v>ca-newegg-storage-corsair-mp600-core-xt-m-2-2280-4tb-pci-express-4-0-x4-3d-qlc-internal-</x:v>
      </x:c>
      <x:c r="C517" s="34" t="str">
        <x:v>Corsair MP600 CORE XT M.2 2280 4TB PCI-Express 4.0 x4 3D QLC Internal Solid State Drive Up to 5,000MB/sec (SSD) CSSD-F4000GBMP600CXT</x:v>
      </x:c>
      <x:c r="D517" s="34" t="str">
        <x:v>Corsair</x:v>
      </x:c>
      <x:c r="E517" s="82" t="n">
        <x:v>659.27</x:v>
      </x:c>
      <x:c r="F517" s="34" t="str">
        <x:v>USD</x:v>
      </x:c>
      <x:c r="G517" s="34" t="str">
        <x:v>retail</x:v>
      </x:c>
      <x:c r="H517" s="34" t="str">
        <x:v>2026-06-29</x:v>
      </x:c>
      <x:c r="I517" s="34" t="str">
        <x:v>capacityTb=4; interface=NVMe; readSpeedMb=4400; writeSpeedMb=3740</x:v>
      </x:c>
      <x:c r="J517" s="34" t="str">
        <x:v>NVMe, 4TB, SSD, ca-retail</x:v>
      </x:c>
      <x:c r="K517" s="34" t="str">
        <x:v>4TB NVMe SSD from CA retailer; throughput is an interface-class estimate when omitted.</x:v>
      </x:c>
      <x:c r="L517" s="34" t="str">
        <x:v>https://www.newegg.ca/p/20-236-990</x:v>
      </x:c>
      <x:c r="M517" s="35" t="str">
        <x:v>https://www.newegg.ca/p/20-236-990</x:v>
      </x:c>
    </x:row>
    <x:row r="518">
      <x:c r="A518" s="33" t="str">
        <x:v>storage</x:v>
      </x:c>
      <x:c r="B518" s="34" t="str">
        <x:v>ca-newegg-storage-nextorage-japan-internal-ssd-4tb-for-ps5-and-pc-storage-expansion-m-2-</x:v>
      </x:c>
      <x:c r="C518" s="34" t="str">
        <x:v>Nextorage Japan Internal SSD 4TB for PS5 and PC Storage Expansion M.2 2280 with Heatsink PCIe Gen4.0*4 NVMe 3D TLC NAND NEM-PA4TB/N SYM 3000TBW with Maximum Transfer Rate Read 7300MB/s Write6900MB/s</x:v>
      </x:c>
      <x:c r="D518" s="34" t="str">
        <x:v>Nextorage</x:v>
      </x:c>
      <x:c r="E518" s="82" t="n">
        <x:v>620.49</x:v>
      </x:c>
      <x:c r="F518" s="34" t="str">
        <x:v>USD</x:v>
      </x:c>
      <x:c r="G518" s="34" t="str">
        <x:v>retail</x:v>
      </x:c>
      <x:c r="H518" s="34" t="str">
        <x:v>2026-06-29</x:v>
      </x:c>
      <x:c r="I518" s="34" t="str">
        <x:v>capacityTb=4; interface=NVMe; readSpeedMb=7300; writeSpeedMb=6205</x:v>
      </x:c>
      <x:c r="J518" s="34" t="str">
        <x:v>NVMe, 4TB, SSD, ca-retail, black</x:v>
      </x:c>
      <x:c r="K518" s="34" t="str">
        <x:v>4TB NVMe SSD from CA retailer; throughput is an interface-class estimate when omitted.</x:v>
      </x:c>
      <x:c r="L518" s="34" t="str">
        <x:v>https://www.newegg.ca/p/9SIBG8UJMG7907</x:v>
      </x:c>
      <x:c r="M518" s="35" t="str">
        <x:v>https://www.newegg.ca/p/9SIBG8UJMG7907</x:v>
      </x:c>
    </x:row>
    <x:row r="519">
      <x:c r="A519" s="33" t="str">
        <x:v>storage</x:v>
      </x:c>
      <x:c r="B519" s="34" t="str">
        <x:v>ca-newegg-storage-sandisk-optimus-gx-pro-8100-m-2-2280-s3-m-4tb-pci-express-5-0-x4-3d-na</x:v>
      </x:c>
      <x:c r="C519" s="34" t="str">
        <x:v>SanDisk Optimus GX PRO 8100 M.2 2280-S3-M 4TB PCI-Express 5.0 x4 3D NAND TLC Internal Solid State Drive (SSD) SDSP82400TAN-000E0</x:v>
      </x:c>
      <x:c r="D519" s="34" t="str">
        <x:v>SanDisk</x:v>
      </x:c>
      <x:c r="E519" s="82" t="n">
        <x:v>2176.35</x:v>
      </x:c>
      <x:c r="F519" s="34" t="str">
        <x:v>USD</x:v>
      </x:c>
      <x:c r="G519" s="34" t="str">
        <x:v>retail</x:v>
      </x:c>
      <x:c r="H519" s="34" t="str">
        <x:v>2026-06-29</x:v>
      </x:c>
      <x:c r="I519" s="34" t="str">
        <x:v>capacityTb=4; interface=NVMe; readSpeedMb=14900; writeSpeedMb=14000</x:v>
      </x:c>
      <x:c r="J519" s="34" t="str">
        <x:v>NVMe, 4TB, SSD, ca-retail</x:v>
      </x:c>
      <x:c r="K519" s="34" t="str">
        <x:v>4TB NVMe SSD from CA retailer; throughput is an interface-class estimate when omitted.</x:v>
      </x:c>
      <x:c r="L519" s="34" t="str">
        <x:v>https://www.newegg.ca/p/9SIADGEKZC0692</x:v>
      </x:c>
      <x:c r="M519" s="35" t="str">
        <x:v>https://www.newegg.ca/p/9SIADGEKZC0692</x:v>
      </x:c>
    </x:row>
    <x:row r="520">
      <x:c r="A520" s="33" t="str">
        <x:v>storage</x:v>
      </x:c>
      <x:c r="B520" s="34" t="str">
        <x:v>ca-newegg-storage-sandisk-optimus-gx-pro-8100-m-2-2280-s3-m-2tb-pci-express-5-0-x4-3d-na</x:v>
      </x:c>
      <x:c r="C520" s="34" t="str">
        <x:v>SanDisk Optimus GX PRO 8100 M.2 2280-S3-M 2TB PCI-Express 5.0 x4 3D NAND TLC Internal Solid State Drive (SSD) SDSP82200TAN-000E0</x:v>
      </x:c>
      <x:c r="D520" s="34" t="str">
        <x:v>SanDisk</x:v>
      </x:c>
      <x:c r="E520" s="82" t="n">
        <x:v>1091.89</x:v>
      </x:c>
      <x:c r="F520" s="34" t="str">
        <x:v>USD</x:v>
      </x:c>
      <x:c r="G520" s="34" t="str">
        <x:v>retail</x:v>
      </x:c>
      <x:c r="H520" s="34" t="str">
        <x:v>2026-06-29</x:v>
      </x:c>
      <x:c r="I520" s="34" t="str">
        <x:v>capacityTb=2; interface=NVMe; readSpeedMb=14900; writeSpeedMb=14000</x:v>
      </x:c>
      <x:c r="J520" s="34" t="str">
        <x:v>NVMe, 2TB, SSD, ca-retail</x:v>
      </x:c>
      <x:c r="K520" s="34" t="str">
        <x:v>2TB NVMe SSD from CA retailer; throughput is an interface-class estimate when omitted.</x:v>
      </x:c>
      <x:c r="L520" s="34" t="str">
        <x:v>https://www.newegg.ca/p/9SIADGEKZC0695</x:v>
      </x:c>
      <x:c r="M520" s="35" t="str">
        <x:v>https://www.newegg.ca/p/9SIADGEKZC0695</x:v>
      </x:c>
    </x:row>
    <x:row r="521">
      <x:c r="A521" s="33" t="str">
        <x:v>storage</x:v>
      </x:c>
      <x:c r="B521" s="34" t="str">
        <x:v>ca-newegg-storage-sandisk-optimus-gx-pro-8100-m-2-2280-s3-m-4tb-pci-express-5-0-x4-3d-na-1</x:v>
      </x:c>
      <x:c r="C521" s="34" t="str">
        <x:v>SanDisk Optimus GX PRO 8100 M.2 2280-S3-M 4TB PCI-Express 5.0 x4 3D NAND TLC Internal Solid State Drive (SSD) SDSP82400TAH-000E0</x:v>
      </x:c>
      <x:c r="D521" s="34" t="str">
        <x:v>SanDisk</x:v>
      </x:c>
      <x:c r="E521" s="82" t="n">
        <x:v>2209.49</x:v>
      </x:c>
      <x:c r="F521" s="34" t="str">
        <x:v>USD</x:v>
      </x:c>
      <x:c r="G521" s="34" t="str">
        <x:v>retail</x:v>
      </x:c>
      <x:c r="H521" s="34" t="str">
        <x:v>2026-06-29</x:v>
      </x:c>
      <x:c r="I521" s="34" t="str">
        <x:v>capacityTb=4; interface=NVMe; readSpeedMb=3500; writeSpeedMb=2975</x:v>
      </x:c>
      <x:c r="J521" s="34" t="str">
        <x:v>NVMe, 4TB, SSD, ca-retail</x:v>
      </x:c>
      <x:c r="K521" s="34" t="str">
        <x:v>4TB NVMe SSD from CA retailer; throughput is an interface-class estimate when omitted.</x:v>
      </x:c>
      <x:c r="L521" s="34" t="str">
        <x:v>https://www.newegg.ca/p/9SIADGEKZC0699</x:v>
      </x:c>
      <x:c r="M521" s="35" t="str">
        <x:v>https://www.newegg.ca/p/9SIADGEKZC0699</x:v>
      </x:c>
    </x:row>
    <x:row r="522">
      <x:c r="A522" s="33" t="str">
        <x:v>storage</x:v>
      </x:c>
      <x:c r="B522" s="34" t="str">
        <x:v>ca-newegg-storage-patriot-p410-ssd-m-2-2280-4tb-gen-4-pci-express-4-0-x4-p410p4tbm28h-5-</x:v>
      </x:c>
      <x:c r="C522" s="34" t="str">
        <x:v>Patriot P410 SSD M.2 2280 4TB Gen 4 PCI-Express 4.0 x4 P410P4TBM28H 5,000MB/s</x:v>
      </x:c>
      <x:c r="D522" s="34" t="str">
        <x:v>Patriot Memory</x:v>
      </x:c>
      <x:c r="E522" s="82" t="n">
        <x:v>493.57</x:v>
      </x:c>
      <x:c r="F522" s="34" t="str">
        <x:v>USD</x:v>
      </x:c>
      <x:c r="G522" s="34" t="str">
        <x:v>retail</x:v>
      </x:c>
      <x:c r="H522" s="34" t="str">
        <x:v>2026-06-29</x:v>
      </x:c>
      <x:c r="I522" s="34" t="str">
        <x:v>capacityTb=4; interface=NVMe; readSpeedMb=3500; writeSpeedMb=2975</x:v>
      </x:c>
      <x:c r="J522" s="34" t="str">
        <x:v>NVMe, 4TB, SSD, ca-retail</x:v>
      </x:c>
      <x:c r="K522" s="34" t="str">
        <x:v>4TB NVMe SSD from CA retailer; throughput is an interface-class estimate when omitted.</x:v>
      </x:c>
      <x:c r="L522" s="34" t="str">
        <x:v>https://www.newegg.ca/p/20-225-362</x:v>
      </x:c>
      <x:c r="M522" s="35" t="str">
        <x:v>https://www.newegg.ca/p/20-225-362</x:v>
      </x:c>
    </x:row>
    <x:row r="523">
      <x:c r="A523" s="33" t="str">
        <x:v>storage</x:v>
      </x:c>
      <x:c r="B523" s="34" t="str">
        <x:v>ca-newegg-storage-pny-cs2150-m-2-2280-4tb-pci-express-5-0-x4-3d-nand-internal-solid-stat</x:v>
      </x:c>
      <x:c r="C523" s="34" t="str">
        <x:v>PNY CS2150 M.2 2280 4TB PCI-Express 5.0 x4 3D NAND Internal Solid State Drive (SSD) M280CS2150-4TB-TB</x:v>
      </x:c>
      <x:c r="D523" s="34" t="str">
        <x:v>PNY Technologies, Inc.</x:v>
      </x:c>
      <x:c r="E523" s="82" t="n">
        <x:v>500.62</x:v>
      </x:c>
      <x:c r="F523" s="34" t="str">
        <x:v>USD</x:v>
      </x:c>
      <x:c r="G523" s="34" t="str">
        <x:v>retail</x:v>
      </x:c>
      <x:c r="H523" s="34" t="str">
        <x:v>2026-06-29</x:v>
      </x:c>
      <x:c r="I523" s="34" t="str">
        <x:v>capacityTb=4; interface=NVMe; readSpeedMb=3500; writeSpeedMb=2975</x:v>
      </x:c>
      <x:c r="J523" s="34" t="str">
        <x:v>NVMe, 4TB, SSD, ca-retail</x:v>
      </x:c>
      <x:c r="K523" s="34" t="str">
        <x:v>4TB NVMe SSD from CA retailer; throughput is an interface-class estimate when omitted.</x:v>
      </x:c>
      <x:c r="L523" s="34" t="str">
        <x:v>https://www.newegg.ca/p/20-177-191</x:v>
      </x:c>
      <x:c r="M523" s="35" t="str">
        <x:v>https://www.newegg.ca/p/20-177-191</x:v>
      </x:c>
    </x:row>
    <x:row r="524">
      <x:c r="A524" s="33" t="str">
        <x:v>storage</x:v>
      </x:c>
      <x:c r="B524" s="34" t="str">
        <x:v>ca-newegg-storage-kingspec-oneboom-x400-2280-1tb-m-2-nvme-1-4-pcie-4-0-gen4-gaming-ssd-s</x:v>
      </x:c>
      <x:c r="C524" s="34" t="str">
        <x:v>KingSpec ONEBOOM X400 2280 1TB M.2 NVMe 1.4 PCIe 4.0 Gen4 Gaming SSD, Speed Up to 7400MB/s, 3D TLC NAND, Internal Solid State Disk Compatible for PS5</x:v>
      </x:c>
      <x:c r="D524" s="34" t="str">
        <x:v>KingSpec</x:v>
      </x:c>
      <x:c r="E524" s="82" t="n">
        <x:v>179.8</x:v>
      </x:c>
      <x:c r="F524" s="34" t="str">
        <x:v>USD</x:v>
      </x:c>
      <x:c r="G524" s="34" t="str">
        <x:v>retail</x:v>
      </x:c>
      <x:c r="H524" s="34" t="str">
        <x:v>2026-06-29</x:v>
      </x:c>
      <x:c r="I524" s="34" t="str">
        <x:v>capacityTb=1; interface=NVMe; readSpeedMb=7000; writeSpeedMb=5950</x:v>
      </x:c>
      <x:c r="J524" s="34" t="str">
        <x:v>NVMe, 1TB, SSD, ca-retail</x:v>
      </x:c>
      <x:c r="K524" s="34" t="str">
        <x:v>1TB NVMe SSD from CA retailer; throughput is an interface-class estimate when omitted.</x:v>
      </x:c>
      <x:c r="L524" s="34" t="str">
        <x:v>https://www.newegg.ca/p/9SIC7BMM094363</x:v>
      </x:c>
      <x:c r="M524" s="35" t="str">
        <x:v>https://www.newegg.ca/p/9SIC7BMM094363</x:v>
      </x:c>
    </x:row>
    <x:row r="525">
      <x:c r="A525" s="33" t="str">
        <x:v>storage</x:v>
      </x:c>
      <x:c r="B525" s="34" t="str">
        <x:v>ca-newegg-storage-wd-blue-sn5100-4tb-nvme-ssd-pcie-gen-4-0-up-to-6-900-mb-s-read-speeds</x:v>
      </x:c>
      <x:c r="C525" s="34" t="str">
        <x:v>WD Blue SN5100 4TB NVMe SSD, PCIe Gen 4.0, up to 6,900 MB/s read speeds</x:v>
      </x:c>
      <x:c r="D525" s="34" t="str">
        <x:v>SanDisk</x:v>
      </x:c>
      <x:c r="E525" s="82" t="n">
        <x:v>775.77</x:v>
      </x:c>
      <x:c r="F525" s="34" t="str">
        <x:v>USD</x:v>
      </x:c>
      <x:c r="G525" s="34" t="str">
        <x:v>retail</x:v>
      </x:c>
      <x:c r="H525" s="34" t="str">
        <x:v>2026-06-29</x:v>
      </x:c>
      <x:c r="I525" s="34" t="str">
        <x:v>capacityTb=4; interface=NVMe; readSpeedMb=5100; writeSpeedMb=4335</x:v>
      </x:c>
      <x:c r="J525" s="34" t="str">
        <x:v>NVMe, 4TB, SSD, ca-retail</x:v>
      </x:c>
      <x:c r="K525" s="34" t="str">
        <x:v>4TB NVMe SSD from CA retailer; throughput is an interface-class estimate when omitted.</x:v>
      </x:c>
      <x:c r="L525" s="34" t="str">
        <x:v>https://www.newegg.ca/p/9SIADGEKRV6645</x:v>
      </x:c>
      <x:c r="M525" s="35" t="str">
        <x:v>https://www.newegg.ca/p/9SIADGEKRV6645</x:v>
      </x:c>
    </x:row>
    <x:row r="526">
      <x:c r="A526" s="33" t="str">
        <x:v>storage</x:v>
      </x:c>
      <x:c r="B526" s="34" t="str">
        <x:v>ca-newegg-storage-corsair-mp700-elite-m-2-2280-4tb-pci-express-5-0-x4-3d-tlc-internal-so</x:v>
      </x:c>
      <x:c r="C526" s="34" t="str">
        <x:v>Corsair MP700 ELITE M.2 2280 4TB PCI-Express 5.0 x4 3D TLC Internal Solid State Drive (SSD) CSSD-F4000GBMP700ENH</x:v>
      </x:c>
      <x:c r="D526" s="34" t="str">
        <x:v>Corsair</x:v>
      </x:c>
      <x:c r="E526" s="82" t="n">
        <x:v>817.92</x:v>
      </x:c>
      <x:c r="F526" s="34" t="str">
        <x:v>USD</x:v>
      </x:c>
      <x:c r="G526" s="34" t="str">
        <x:v>retail</x:v>
      </x:c>
      <x:c r="H526" s="34" t="str">
        <x:v>2026-06-29</x:v>
      </x:c>
      <x:c r="I526" s="34" t="str">
        <x:v>capacityTb=4; interface=NVMe; readSpeedMb=3500; writeSpeedMb=2975</x:v>
      </x:c>
      <x:c r="J526" s="34" t="str">
        <x:v>NVMe, 4TB, SSD, ca-retail</x:v>
      </x:c>
      <x:c r="K526" s="34" t="str">
        <x:v>4TB NVMe SSD from CA retailer; throughput is an interface-class estimate when omitted.</x:v>
      </x:c>
      <x:c r="L526" s="34" t="str">
        <x:v>https://www.newegg.ca/p/20-982-289</x:v>
      </x:c>
      <x:c r="M526" s="35" t="str">
        <x:v>https://www.newegg.ca/p/20-982-289</x:v>
      </x:c>
    </x:row>
    <x:row r="527">
      <x:c r="A527" s="33" t="str">
        <x:v>storage</x:v>
      </x:c>
      <x:c r="B527" s="34" t="str">
        <x:v>ca-newegg-storage-corsair-mp700-elite-m-2-2280-4tb-pci-express-5-0-x4-3d-tlc-internal-so-1</x:v>
      </x:c>
      <x:c r="C527" s="34" t="str">
        <x:v>Corsair MP700 ELITE M.2 2280 4TB PCI-Express 5.0 x4 3D TLC Internal Solid State Drive (SSD) CSSD-F4000GBMP700EHS</x:v>
      </x:c>
      <x:c r="D527" s="34" t="str">
        <x:v>Corsair</x:v>
      </x:c>
      <x:c r="E527" s="82" t="n">
        <x:v>824.97</x:v>
      </x:c>
      <x:c r="F527" s="34" t="str">
        <x:v>USD</x:v>
      </x:c>
      <x:c r="G527" s="34" t="str">
        <x:v>retail</x:v>
      </x:c>
      <x:c r="H527" s="34" t="str">
        <x:v>2026-06-29</x:v>
      </x:c>
      <x:c r="I527" s="34" t="str">
        <x:v>capacityTb=4; interface=NVMe; readSpeedMb=3500; writeSpeedMb=2975</x:v>
      </x:c>
      <x:c r="J527" s="34" t="str">
        <x:v>NVMe, 4TB, SSD, ca-retail</x:v>
      </x:c>
      <x:c r="K527" s="34" t="str">
        <x:v>4TB NVMe SSD from CA retailer; throughput is an interface-class estimate when omitted.</x:v>
      </x:c>
      <x:c r="L527" s="34" t="str">
        <x:v>https://www.newegg.ca/p/20-982-290</x:v>
      </x:c>
      <x:c r="M527" s="35" t="str">
        <x:v>https://www.newegg.ca/p/20-982-290</x:v>
      </x:c>
    </x:row>
    <x:row r="528">
      <x:c r="A528" s="33" t="str">
        <x:v>storage</x:v>
      </x:c>
      <x:c r="B528" s="34" t="str">
        <x:v>ca-newegg-storage-sandisk-optimus-gx-pro-8100-m-2-2280-s3-m-1tb-pci-express-5-0-x4-3d-na</x:v>
      </x:c>
      <x:c r="C528" s="34" t="str">
        <x:v>SanDisk Optimus GX PRO 8100 M.2 2280-S3-M 1TB PCI-Express 5.0 x4 3D NAND TLC Internal Solid State Drive (SSD) SDSP82100TAN-000E0</x:v>
      </x:c>
      <x:c r="D528" s="34" t="str">
        <x:v>SanDisk</x:v>
      </x:c>
      <x:c r="E528" s="82" t="n">
        <x:v>366.64</x:v>
      </x:c>
      <x:c r="F528" s="34" t="str">
        <x:v>USD</x:v>
      </x:c>
      <x:c r="G528" s="34" t="str">
        <x:v>retail</x:v>
      </x:c>
      <x:c r="H528" s="34" t="str">
        <x:v>2026-06-29</x:v>
      </x:c>
      <x:c r="I528" s="34" t="str">
        <x:v>capacityTb=1; interface=NVMe; readSpeedMb=14900; writeSpeedMb=14000</x:v>
      </x:c>
      <x:c r="J528" s="34" t="str">
        <x:v>NVMe, 1TB, SSD, ca-retail</x:v>
      </x:c>
      <x:c r="K528" s="34" t="str">
        <x:v>1TB NVMe SSD from CA retailer; throughput is an interface-class estimate when omitted.</x:v>
      </x:c>
      <x:c r="L528" s="34" t="str">
        <x:v>https://www.newegg.ca/p/20-173-698</x:v>
      </x:c>
      <x:c r="M528" s="35" t="str">
        <x:v>https://www.newegg.ca/p/20-173-698</x:v>
      </x:c>
    </x:row>
    <x:row r="529">
      <x:c r="A529" s="33" t="str">
        <x:v>storage</x:v>
      </x:c>
      <x:c r="B529" s="34" t="str">
        <x:v>ca-newegg-storage-4tb-wd-black-sn8100-pcie-5-0x4-nvme-m-2-ssd-wds400t1x0m-00cmt0</x:v>
      </x:c>
      <x:c r="C529" s="34" t="str">
        <x:v>4TB* WD_BLACK™ SN8100 PCIe® 5.0x4 NVMe™ M.2 SSD - WDS400T1X0M-00CMT0</x:v>
      </x:c>
      <x:c r="D529" s="34" t="str">
        <x:v>SanDisk</x:v>
      </x:c>
      <x:c r="E529" s="82" t="n">
        <x:v>981.17</x:v>
      </x:c>
      <x:c r="F529" s="34" t="str">
        <x:v>USD</x:v>
      </x:c>
      <x:c r="G529" s="34" t="str">
        <x:v>retail</x:v>
      </x:c>
      <x:c r="H529" s="34" t="str">
        <x:v>2026-06-29</x:v>
      </x:c>
      <x:c r="I529" s="34" t="str">
        <x:v>capacityTb=4; interface=NVMe; readSpeedMb=14900; writeSpeedMb=12665</x:v>
      </x:c>
      <x:c r="J529" s="34" t="str">
        <x:v>NVMe, 4TB, SSD, ca-retail</x:v>
      </x:c>
      <x:c r="K529" s="34" t="str">
        <x:v>4TB NVMe SSD from CA retailer; throughput is an interface-class estimate when omitted.</x:v>
      </x:c>
      <x:c r="L529" s="34" t="str">
        <x:v>https://www.newegg.ca/p/9SIC4RVKZR0070</x:v>
      </x:c>
      <x:c r="M529" s="35" t="str">
        <x:v>https://www.newegg.ca/p/9SIC4RVKZR0070</x:v>
      </x:c>
    </x:row>
    <x:row r="530">
      <x:c r="A530" s="33" t="str">
        <x:v>storage</x:v>
      </x:c>
      <x:c r="B530" s="34" t="str">
        <x:v>ca-newegg-storage-silicon-power-4tb-ud90-nvme-4-0-gen4-pcie-m-2-ssd-r-w-up-to-5-000-4-50</x:v>
      </x:c>
      <x:c r="C530" s="34" t="str">
        <x:v>Silicon Power 4TB UD90 NVMe 4.0 Gen4 PCIe M.2 SSD R/W up to 5,000/4,500 MB/s (SU04KGBP44UD9005SN)</x:v>
      </x:c>
      <x:c r="D530" s="34" t="str">
        <x:v>Silicon Power</x:v>
      </x:c>
      <x:c r="E530" s="82" t="n">
        <x:v>408.82</x:v>
      </x:c>
      <x:c r="F530" s="34" t="str">
        <x:v>USD</x:v>
      </x:c>
      <x:c r="G530" s="34" t="str">
        <x:v>retail</x:v>
      </x:c>
      <x:c r="H530" s="34" t="str">
        <x:v>2026-06-29</x:v>
      </x:c>
      <x:c r="I530" s="34" t="str">
        <x:v>capacityTb=4; interface=NVMe; readSpeedMb=5000; writeSpeedMb=4500</x:v>
      </x:c>
      <x:c r="J530" s="34" t="str">
        <x:v>NVMe, 4TB, SSD, ca-retail</x:v>
      </x:c>
      <x:c r="K530" s="34" t="str">
        <x:v>4TB NVMe SSD from CA retailer; throughput is an interface-class estimate when omitted.</x:v>
      </x:c>
      <x:c r="L530" s="34" t="str">
        <x:v>https://www.newegg.ca/p/9SIBYK2KDD2291</x:v>
      </x:c>
      <x:c r="M530" s="35" t="str">
        <x:v>https://www.newegg.ca/p/9SIBYK2KDD2291</x:v>
      </x:c>
    </x:row>
    <x:row r="531">
      <x:c r="A531" s="33" t="str">
        <x:v>storage</x:v>
      </x:c>
      <x:c r="B531" s="34" t="str">
        <x:v>ca-newegg-storage-crucial-t700-gen5-nvme-m-2-ssd-w-heatsink-2280-1tb-pci-express-5-0-x4-</x:v>
      </x:c>
      <x:c r="C531" s="34" t="str">
        <x:v>Crucial T700 GEN5 NVME M.2  SSD w/ Heatsink 2280 1TB PCI-Express 5.0 x4 TLC NAND² Internal Solid State Drive (SSD) CT1000T700SSD5</x:v>
      </x:c>
      <x:c r="D531" s="34" t="str">
        <x:v>Crucial</x:v>
      </x:c>
      <x:c r="E531" s="82" t="n">
        <x:v>345.25</x:v>
      </x:c>
      <x:c r="F531" s="34" t="str">
        <x:v>USD</x:v>
      </x:c>
      <x:c r="G531" s="34" t="str">
        <x:v>retail</x:v>
      </x:c>
      <x:c r="H531" s="34" t="str">
        <x:v>2026-06-29</x:v>
      </x:c>
      <x:c r="I531" s="34" t="str">
        <x:v>capacityTb=1; interface=NVMe; readSpeedMb=11700; writeSpeedMb=9945</x:v>
      </x:c>
      <x:c r="J531" s="34" t="str">
        <x:v>NVMe, 1TB, SSD, ca-retail, airflow</x:v>
      </x:c>
      <x:c r="K531" s="34" t="str">
        <x:v>1TB NVMe SSD from CA retailer; throughput is an interface-class estimate when omitted.</x:v>
      </x:c>
      <x:c r="L531" s="34" t="str">
        <x:v>https://www.newegg.ca/p/9SIA7BBJXK0559</x:v>
      </x:c>
      <x:c r="M531" s="35" t="str">
        <x:v>https://www.newegg.ca/p/9SIA7BBJXK0559</x:v>
      </x:c>
    </x:row>
    <x:row r="532">
      <x:c r="A532" s="33" t="str">
        <x:v>storage</x:v>
      </x:c>
      <x:c r="B532" s="34" t="str">
        <x:v>ca-newegg-storage-msi-spatium-m480-pro-pcie-4-0-nvme-m-2-1tb-pci-express-4-0-x4-nvme-1-4</x:v>
      </x:c>
      <x:c r="C532" s="34" t="str">
        <x:v>MSI SPATIUM M480 PRO PCIe 4.0 NVMe M.2 1TB PCI-Express 4.0 x4, NVMe 1.4 3D NAND Internal Solid State Drive (SSD)</x:v>
      </x:c>
      <x:c r="D532" s="34" t="str">
        <x:v>MSI</x:v>
      </x:c>
      <x:c r="E532" s="82" t="n">
        <x:v>381.09</x:v>
      </x:c>
      <x:c r="F532" s="34" t="str">
        <x:v>USD</x:v>
      </x:c>
      <x:c r="G532" s="34" t="str">
        <x:v>retail</x:v>
      </x:c>
      <x:c r="H532" s="34" t="str">
        <x:v>2026-06-29</x:v>
      </x:c>
      <x:c r="I532" s="34" t="str">
        <x:v>capacityTb=1; interface=NVMe; readSpeedMb=7000; writeSpeedMb=5950</x:v>
      </x:c>
      <x:c r="J532" s="34" t="str">
        <x:v>NVMe, 1TB, SSD, ca-retail</x:v>
      </x:c>
      <x:c r="K532" s="34" t="str">
        <x:v>1TB NVMe SSD from CA retailer; throughput is an interface-class estimate when omitted.</x:v>
      </x:c>
      <x:c r="L532" s="34" t="str">
        <x:v>https://www.newegg.ca/p/9SIA7BBKNF4486</x:v>
      </x:c>
      <x:c r="M532" s="35" t="str">
        <x:v>https://www.newegg.ca/p/9SIA7BBKNF4486</x:v>
      </x:c>
    </x:row>
    <x:row r="533">
      <x:c r="A533" s="33" t="str">
        <x:v>storage</x:v>
      </x:c>
      <x:c r="B533" s="34" t="str">
        <x:v>ca-newegg-storage-wd-black-8tb-sn8100-nvme-ssd-with-heatsink-work-with-pcie-gen-5-0-m-2-</x:v>
      </x:c>
      <x:c r="C533" s="34" t="str">
        <x:v>WD_BLACK 8TB SN8100 NVMe SSD with Heatsink- work with PCIe Gen 5.0, M.2 2280, Up to 14,900 MBps - WDS800T1XHM</x:v>
      </x:c>
      <x:c r="D533" s="34" t="str">
        <x:v>SanDisk</x:v>
      </x:c>
      <x:c r="E533" s="82" t="n">
        <x:v>4089.63</x:v>
      </x:c>
      <x:c r="F533" s="34" t="str">
        <x:v>USD</x:v>
      </x:c>
      <x:c r="G533" s="34" t="str">
        <x:v>retail</x:v>
      </x:c>
      <x:c r="H533" s="34" t="str">
        <x:v>2026-06-29</x:v>
      </x:c>
      <x:c r="I533" s="34" t="str">
        <x:v>capacityTb=8; interface=NVMe; readSpeedMb=14900; writeSpeedMb=12665</x:v>
      </x:c>
      <x:c r="J533" s="34" t="str">
        <x:v>NVMe, 8TB, SSD, ca-retail, rgb, quiet</x:v>
      </x:c>
      <x:c r="K533" s="34" t="str">
        <x:v>8TB NVMe SSD from CA retailer; throughput is an interface-class estimate when omitted.</x:v>
      </x:c>
      <x:c r="L533" s="34" t="str">
        <x:v>https://www.newegg.ca/p/20-173-694</x:v>
      </x:c>
      <x:c r="M533" s="35" t="str">
        <x:v>https://www.newegg.ca/p/20-173-694</x:v>
      </x:c>
    </x:row>
    <x:row r="534">
      <x:c r="A534" s="33" t="str">
        <x:v>storage</x:v>
      </x:c>
      <x:c r="B534" s="34" t="str">
        <x:v>ca-newegg-storage-kingspec-xg-7000-4tb-m-2-2280-pcie-gen-4-0x4-nvme-1-4-speed-up-to-7400</x:v>
      </x:c>
      <x:c r="C534" s="34" t="str">
        <x:v>KingSpec XG 7000 4TB M.2 2280 PCIe Gen 4.0x4 NVME 1.4 Speed up to 7400MB/s Write Speed Up to 6600MB/s Internal Solid State Drive for PS5 PC Desktop Laptop Game-Player</x:v>
      </x:c>
      <x:c r="D534" s="34" t="str">
        <x:v>KingSpec</x:v>
      </x:c>
      <x:c r="E534" s="82" t="n">
        <x:v>482.29</x:v>
      </x:c>
      <x:c r="F534" s="34" t="str">
        <x:v>USD</x:v>
      </x:c>
      <x:c r="G534" s="34" t="str">
        <x:v>retail</x:v>
      </x:c>
      <x:c r="H534" s="34" t="str">
        <x:v>2026-06-29</x:v>
      </x:c>
      <x:c r="I534" s="34" t="str">
        <x:v>capacityTb=4; interface=NVMe; readSpeedMb=7400; writeSpeedMb=6290</x:v>
      </x:c>
      <x:c r="J534" s="34" t="str">
        <x:v>NVMe, 4TB, SSD, ca-retail</x:v>
      </x:c>
      <x:c r="K534" s="34" t="str">
        <x:v>4TB NVMe SSD from CA retailer; throughput is an interface-class estimate when omitted.</x:v>
      </x:c>
      <x:c r="L534" s="34" t="str">
        <x:v>https://www.newegg.ca/p/9SIB1V9K2N9311</x:v>
      </x:c>
      <x:c r="M534" s="35" t="str">
        <x:v>https://www.newegg.ca/p/9SIB1V9K2N9311</x:v>
      </x:c>
    </x:row>
    <x:row r="535">
      <x:c r="A535" s="33" t="str">
        <x:v>storage</x:v>
      </x:c>
      <x:c r="B535" s="34" t="str">
        <x:v>ca-newegg-storage-wd-black-8tb-sn850x-nvme-internal-gaming-ssd-solid-state-drive-gen4-pc</x:v>
      </x:c>
      <x:c r="C535" s="34" t="str">
        <x:v>WD_BLACK 8TB SN850X NVMe Internal Gaming SSD Solid State Drive - Gen4 PCIe, M.2 2280, Up to 7,300 MB/s - WDS800T2X0E</x:v>
      </x:c>
      <x:c r="D535" s="34" t="str">
        <x:v>SanDisk</x:v>
      </x:c>
      <x:c r="E535" s="82" t="n">
        <x:v>1871.15</x:v>
      </x:c>
      <x:c r="F535" s="34" t="str">
        <x:v>USD</x:v>
      </x:c>
      <x:c r="G535" s="34" t="str">
        <x:v>retail</x:v>
      </x:c>
      <x:c r="H535" s="34" t="str">
        <x:v>2026-06-29</x:v>
      </x:c>
      <x:c r="I535" s="34" t="str">
        <x:v>capacityTb=8; interface=NVMe; readSpeedMb=3500; writeSpeedMb=2975</x:v>
      </x:c>
      <x:c r="J535" s="34" t="str">
        <x:v>NVMe, 8TB, SSD, ca-retail, rgb</x:v>
      </x:c>
      <x:c r="K535" s="34" t="str">
        <x:v>8TB NVMe SSD from CA retailer; throughput is an interface-class estimate when omitted.</x:v>
      </x:c>
      <x:c r="L535" s="34" t="str">
        <x:v>https://www.newegg.ca/p/9SIC4RVKXN0409</x:v>
      </x:c>
      <x:c r="M535" s="35" t="str">
        <x:v>https://www.newegg.ca/p/9SIC4RVKXN0409</x:v>
      </x:c>
    </x:row>
    <x:row r="536">
      <x:c r="A536" s="33" t="str">
        <x:v>storage</x:v>
      </x:c>
      <x:c r="B536" s="34" t="str">
        <x:v>ca-canadacomputers-storage-samsung-9100-pro-series-2tb-m-2-nvme-2-0-pcie-gen5-x4-ssd</x:v>
      </x:c>
      <x:c r="C536" s="34" t="str">
        <x:v>Samsung 9100 PRO Series - 2TB  M.2  NVMe 2.0 PCIe Gen5. x4 SSD</x:v>
      </x:c>
      <x:c r="D536" s="34" t="str">
        <x:v>SAMSUNG</x:v>
      </x:c>
      <x:c r="E536" s="82" t="n">
        <x:v>652.22</x:v>
      </x:c>
      <x:c r="F536" s="34" t="str">
        <x:v>USD</x:v>
      </x:c>
      <x:c r="G536" s="34" t="str">
        <x:v>retail</x:v>
      </x:c>
      <x:c r="H536" s="34" t="str">
        <x:v>2026-06-29</x:v>
      </x:c>
      <x:c r="I536" s="34" t="str">
        <x:v>capacityTb=2; interface=NVMe; readSpeedMb=3500; writeSpeedMb=2975</x:v>
      </x:c>
      <x:c r="J536" s="34" t="str">
        <x:v>NVMe, 2TB, SSD, ca-retail</x:v>
      </x:c>
      <x:c r="K536" s="34" t="str">
        <x:v>2TB NVMe SSD from CA retailer; throughput is an interface-class estimate when omitted.</x:v>
      </x:c>
      <x:c r="L536" s="34" t="str">
        <x:v>https://www.canadacomputers.com/en/desktop-laptop-internal-ssds/269816/samsung-9100-pro-series-2tb-m-2-nvme-2-0-pcie-gen5-x4-ssd-mz-vap2t0b-am.html</x:v>
      </x:c>
      <x:c r="M536" s="35" t="str">
        <x:v>https://www.canadacomputers.com/en/desktop-laptop-internal-ssds/269816/samsung-9100-pro-series-2tb-m-2-nvme-2-0-pcie-gen5-x4-ssd-mz-vap2t0b-am.html</x:v>
      </x:c>
    </x:row>
    <x:row r="537">
      <x:c r="A537" s="33" t="str">
        <x:v>storage</x:v>
      </x:c>
      <x:c r="B537" s="34" t="str">
        <x:v>ca-canadacomputers-storage-samsung-9100-pro-with-heatsink-2tb-m-2-nvme-2-0-pcie-gen5-x4-ssd</x:v>
      </x:c>
      <x:c r="C537" s="34" t="str">
        <x:v>Samsung 9100 PRO with Heatsink - 2TB  M.2  NVMe 2.0 PCIe Gen5. x4 SSD</x:v>
      </x:c>
      <x:c r="D537" s="34" t="str">
        <x:v>SAMSUNG</x:v>
      </x:c>
      <x:c r="E537" s="82" t="n">
        <x:v>683.95</x:v>
      </x:c>
      <x:c r="F537" s="34" t="str">
        <x:v>USD</x:v>
      </x:c>
      <x:c r="G537" s="34" t="str">
        <x:v>retail</x:v>
      </x:c>
      <x:c r="H537" s="34" t="str">
        <x:v>2026-06-29</x:v>
      </x:c>
      <x:c r="I537" s="34" t="str">
        <x:v>capacityTb=2; interface=NVMe; readSpeedMb=3500; writeSpeedMb=2975</x:v>
      </x:c>
      <x:c r="J537" s="34" t="str">
        <x:v>NVMe, 2TB, SSD, ca-retail</x:v>
      </x:c>
      <x:c r="K537" s="34" t="str">
        <x:v>2TB NVMe SSD from CA retailer; throughput is an interface-class estimate when omitted.</x:v>
      </x:c>
      <x:c r="L537" s="34" t="str">
        <x:v>https://www.canadacomputers.com/en/desktop-laptop-internal-ssds/269824/samsung-9100-pro-with-heatsink-2tb-m-2-nvme-2-0-pcie-gen5-x4-ssd-mz-vap2t0cw.html</x:v>
      </x:c>
      <x:c r="M537" s="35" t="str">
        <x:v>https://www.canadacomputers.com/en/desktop-laptop-internal-ssds/269824/samsung-9100-pro-with-heatsink-2tb-m-2-nvme-2-0-pcie-gen5-x4-ssd-mz-vap2t0cw.html</x:v>
      </x:c>
    </x:row>
    <x:row r="538">
      <x:c r="A538" s="33" t="str">
        <x:v>storage</x:v>
      </x:c>
      <x:c r="B538" s="34" t="str">
        <x:v>ca-canadacomputers-storage-samsung-9100-pro-series-4tb-m-2-nvme-2-0-pcie-gen5-x4-ssd</x:v>
      </x:c>
      <x:c r="C538" s="34" t="str">
        <x:v>Samsung 9100 PRO Series - 4TB  M.2  NVMe 2.0 PCIe Gen5. x4 SSD</x:v>
      </x:c>
      <x:c r="D538" s="34" t="str">
        <x:v>SAMSUNG</x:v>
      </x:c>
      <x:c r="E538" s="82" t="n">
        <x:v>1304.45</x:v>
      </x:c>
      <x:c r="F538" s="34" t="str">
        <x:v>USD</x:v>
      </x:c>
      <x:c r="G538" s="34" t="str">
        <x:v>retail</x:v>
      </x:c>
      <x:c r="H538" s="34" t="str">
        <x:v>2026-06-29</x:v>
      </x:c>
      <x:c r="I538" s="34" t="str">
        <x:v>capacityTb=4; interface=NVMe; readSpeedMb=3500; writeSpeedMb=2975</x:v>
      </x:c>
      <x:c r="J538" s="34" t="str">
        <x:v>NVMe, 4TB, SSD, ca-retail</x:v>
      </x:c>
      <x:c r="K538" s="34" t="str">
        <x:v>4TB NVMe SSD from CA retailer; throughput is an interface-class estimate when omitted.</x:v>
      </x:c>
      <x:c r="L538" s="34" t="str">
        <x:v>https://www.canadacomputers.com/en/desktop-laptop-internal-ssds/269820/samsung-9100-pro-series-4tb-m-2-nvme-2-0-pcie-gen5-x4-ssd-mz-vap4t0b-am.html</x:v>
      </x:c>
      <x:c r="M538" s="35" t="str">
        <x:v>https://www.canadacomputers.com/en/desktop-laptop-internal-ssds/269820/samsung-9100-pro-series-4tb-m-2-nvme-2-0-pcie-gen5-x4-ssd-mz-vap4t0b-am.html</x:v>
      </x:c>
    </x:row>
    <x:row r="539">
      <x:c r="A539" s="33" t="str">
        <x:v>storage</x:v>
      </x:c>
      <x:c r="B539" s="34" t="str">
        <x:v>ca-canadacomputers-storage-samsung-9100-pro-series-1tb-m-2-nvme-2-0-pcie-gen5-x4-ssd</x:v>
      </x:c>
      <x:c r="C539" s="34" t="str">
        <x:v>Samsung 9100 PRO Series - 1TB  M.2  NVMe 2.0 PCIe Gen5. x4 SSD</x:v>
      </x:c>
      <x:c r="D539" s="34" t="str">
        <x:v>SAMSUNG</x:v>
      </x:c>
      <x:c r="E539" s="82" t="n">
        <x:v>327.87</x:v>
      </x:c>
      <x:c r="F539" s="34" t="str">
        <x:v>USD</x:v>
      </x:c>
      <x:c r="G539" s="34" t="str">
        <x:v>retail</x:v>
      </x:c>
      <x:c r="H539" s="34" t="str">
        <x:v>2026-06-29</x:v>
      </x:c>
      <x:c r="I539" s="34" t="str">
        <x:v>capacityTb=1; interface=NVMe; readSpeedMb=3500; writeSpeedMb=2975</x:v>
      </x:c>
      <x:c r="J539" s="34" t="str">
        <x:v>NVMe, 1TB, SSD, ca-retail</x:v>
      </x:c>
      <x:c r="K539" s="34" t="str">
        <x:v>1TB NVMe SSD from CA retailer; throughput is an interface-class estimate when omitted.</x:v>
      </x:c>
      <x:c r="L539" s="34" t="str">
        <x:v>https://www.canadacomputers.com/en/desktop-laptop-internal-ssds/269814/samsung-9100-pro-series-1tb-m-2-nvme-2-0-pcie-gen5-x4-ssd-mz-vap1t0b-am.html</x:v>
      </x:c>
      <x:c r="M539" s="35" t="str">
        <x:v>https://www.canadacomputers.com/en/desktop-laptop-internal-ssds/269814/samsung-9100-pro-series-1tb-m-2-nvme-2-0-pcie-gen5-x4-ssd-mz-vap1t0b-am.html</x:v>
      </x:c>
    </x:row>
    <x:row r="540">
      <x:c r="A540" s="33" t="str">
        <x:v>storage</x:v>
      </x:c>
      <x:c r="B540" s="34" t="str">
        <x:v>ca-canadacomputers-storage-samsung-9100-pro-with-heatsink-4tb-m-2-nvme-2-0-pcie-gen5-x4-ssd</x:v>
      </x:c>
      <x:c r="C540" s="34" t="str">
        <x:v>Samsung 9100 PRO with Heatsink - 4TB  M.2  NVMe 2.0 PCIe Gen5. X4 SSD</x:v>
      </x:c>
      <x:c r="D540" s="34" t="str">
        <x:v>SAMSUNG</x:v>
      </x:c>
      <x:c r="E540" s="82" t="n">
        <x:v>1343.23</x:v>
      </x:c>
      <x:c r="F540" s="34" t="str">
        <x:v>USD</x:v>
      </x:c>
      <x:c r="G540" s="34" t="str">
        <x:v>retail</x:v>
      </x:c>
      <x:c r="H540" s="34" t="str">
        <x:v>2026-06-29</x:v>
      </x:c>
      <x:c r="I540" s="34" t="str">
        <x:v>capacityTb=4; interface=NVMe; readSpeedMb=3500; writeSpeedMb=2975</x:v>
      </x:c>
      <x:c r="J540" s="34" t="str">
        <x:v>NVMe, 4TB, SSD, ca-retail</x:v>
      </x:c>
      <x:c r="K540" s="34" t="str">
        <x:v>4TB NVMe SSD from CA retailer; throughput is an interface-class estimate when omitted.</x:v>
      </x:c>
      <x:c r="L540" s="34" t="str">
        <x:v>https://www.canadacomputers.com/en/desktop-laptop-internal-ssds/269825/samsung-9100-pro-with-heatsink-4tb-m-2-nvme-2-0-pcie-gen5-x4-ssd-mz-vap4t0cw.html</x:v>
      </x:c>
      <x:c r="M540" s="35" t="str">
        <x:v>https://www.canadacomputers.com/en/desktop-laptop-internal-ssds/269825/samsung-9100-pro-with-heatsink-4tb-m-2-nvme-2-0-pcie-gen5-x4-ssd-mz-vap4t0cw.html</x:v>
      </x:c>
    </x:row>
    <x:row r="541">
      <x:c r="A541" s="33" t="str">
        <x:v>storage</x:v>
      </x:c>
      <x:c r="B541" s="34" t="str">
        <x:v>ca-canadacomputers-storage-samsung-9100-pro-with-heatsink-1tb-m-2-nvme-2-0-pcie-gen5-x4-ssd</x:v>
      </x:c>
      <x:c r="C541" s="34" t="str">
        <x:v>Samsung 9100 PRO with Heatsink - 1TB  M.2  NVMe 2.0 PCIe Gen5. x4 SSD</x:v>
      </x:c>
      <x:c r="D541" s="34" t="str">
        <x:v>SAMSUNG</x:v>
      </x:c>
      <x:c r="E541" s="82" t="n">
        <x:v>345.5</x:v>
      </x:c>
      <x:c r="F541" s="34" t="str">
        <x:v>USD</x:v>
      </x:c>
      <x:c r="G541" s="34" t="str">
        <x:v>retail</x:v>
      </x:c>
      <x:c r="H541" s="34" t="str">
        <x:v>2026-06-29</x:v>
      </x:c>
      <x:c r="I541" s="34" t="str">
        <x:v>capacityTb=1; interface=NVMe; readSpeedMb=3500; writeSpeedMb=2975</x:v>
      </x:c>
      <x:c r="J541" s="34" t="str">
        <x:v>NVMe, 1TB, SSD, ca-retail</x:v>
      </x:c>
      <x:c r="K541" s="34" t="str">
        <x:v>1TB NVMe SSD from CA retailer; throughput is an interface-class estimate when omitted.</x:v>
      </x:c>
      <x:c r="L541" s="34" t="str">
        <x:v>https://www.canadacomputers.com/en/desktop-laptop-internal-ssds/269823/samsung-9100-pro-with-heatsink-1tb-m-2-nvme-2-0-pcie-gen5-x4-ssd-mz-vap1t0cw.html</x:v>
      </x:c>
      <x:c r="M541" s="35" t="str">
        <x:v>https://www.canadacomputers.com/en/desktop-laptop-internal-ssds/269823/samsung-9100-pro-with-heatsink-1tb-m-2-nvme-2-0-pcie-gen5-x4-ssd-mz-vap1t0cw.html</x:v>
      </x:c>
    </x:row>
    <x:row r="542">
      <x:c r="A542" s="33" t="str">
        <x:v>storage</x:v>
      </x:c>
      <x:c r="B542" s="34" t="str">
        <x:v>ca-canadacomputers-storage-samsung-9100-pro-series-8tb-m-2-nvme-2-0-pcie-gen5-x4-ssd</x:v>
      </x:c>
      <x:c r="C542" s="34" t="str">
        <x:v>Samsung 9100 PRO Series - 8TB M.2 NVMe 2.0 PCIe Gen5. X4 SSD</x:v>
      </x:c>
      <x:c r="D542" s="34" t="str">
        <x:v>SAMSUNG</x:v>
      </x:c>
      <x:c r="E542" s="82" t="n">
        <x:v>2608.9</x:v>
      </x:c>
      <x:c r="F542" s="34" t="str">
        <x:v>USD</x:v>
      </x:c>
      <x:c r="G542" s="34" t="str">
        <x:v>retail</x:v>
      </x:c>
      <x:c r="H542" s="34" t="str">
        <x:v>2026-06-29</x:v>
      </x:c>
      <x:c r="I542" s="34" t="str">
        <x:v>capacityTb=8; interface=NVMe; readSpeedMb=3500; writeSpeedMb=2975</x:v>
      </x:c>
      <x:c r="J542" s="34" t="str">
        <x:v>NVMe, 8TB, SSD, ca-retail</x:v>
      </x:c>
      <x:c r="K542" s="34" t="str">
        <x:v>8TB NVMe SSD from CA retailer; throughput is an interface-class estimate when omitted.</x:v>
      </x:c>
      <x:c r="L542" s="34" t="str">
        <x:v>https://www.canadacomputers.com/en/desktop-laptop-internal-ssds/281226/samsung-9100-pro-series-8tb-m-2-nvme-2-0-pcie-gen5-x4-ssd-mz-vap8t0b-am.html</x:v>
      </x:c>
      <x:c r="M542" s="35" t="str">
        <x:v>https://www.canadacomputers.com/en/desktop-laptop-internal-ssds/281226/samsung-9100-pro-series-8tb-m-2-nvme-2-0-pcie-gen5-x4-ssd-mz-vap8t0b-am.html</x:v>
      </x:c>
    </x:row>
    <x:row r="543">
      <x:c r="A543" s="33" t="str">
        <x:v>storage</x:v>
      </x:c>
      <x:c r="B543" s="34" t="str">
        <x:v>ca-canadacomputers-storage-samsung-9100-pro-with-heatsink-series-8tb-m-2-nvme-2-0-pcie-gen5-x4</x:v>
      </x:c>
      <x:c r="C543" s="34" t="str">
        <x:v>Samsung 9100 PRO with heatsink Series - 8TB M.2 NVMe 2.0 PCIe Gen5. X4</x:v>
      </x:c>
      <x:c r="D543" s="34" t="str">
        <x:v>SAMSUNG</x:v>
      </x:c>
      <x:c r="E543" s="82" t="n">
        <x:v>2658.26</x:v>
      </x:c>
      <x:c r="F543" s="34" t="str">
        <x:v>USD</x:v>
      </x:c>
      <x:c r="G543" s="34" t="str">
        <x:v>retail</x:v>
      </x:c>
      <x:c r="H543" s="34" t="str">
        <x:v>2026-06-29</x:v>
      </x:c>
      <x:c r="I543" s="34" t="str">
        <x:v>capacityTb=8; interface=NVMe; readSpeedMb=3500; writeSpeedMb=2975</x:v>
      </x:c>
      <x:c r="J543" s="34" t="str">
        <x:v>NVMe, 8TB, SSD, ca-retail</x:v>
      </x:c>
      <x:c r="K543" s="34" t="str">
        <x:v>8TB NVMe SSD from CA retailer; throughput is an interface-class estimate when omitted.</x:v>
      </x:c>
      <x:c r="L543" s="34" t="str">
        <x:v>https://www.canadacomputers.com/en/desktop-laptop-internal-ssds/281227/samsung-9100-pro-with-heatsink-series-8tb-m-2-nvme-2-0-pcie-gen5-x4-mz-vap8t0cw.html</x:v>
      </x:c>
      <x:c r="M543" s="35" t="str">
        <x:v>https://www.canadacomputers.com/en/desktop-laptop-internal-ssds/281227/samsung-9100-pro-with-heatsink-series-8tb-m-2-nvme-2-0-pcie-gen5-x4-mz-vap8t0cw.html</x:v>
      </x:c>
    </x:row>
    <x:row r="544">
      <x:c r="A544" s="33" t="str">
        <x:v>storage</x:v>
      </x:c>
      <x:c r="B544" s="34" t="str">
        <x:v>ca-canadacomputers-storage-crucial-t710-4tb-m-2-ssd-w-heatsink</x:v>
      </x:c>
      <x:c r="C544" s="34" t="str">
        <x:v>Crucial T710 4TB M.2 SSD w/Heatsink</x:v>
      </x:c>
      <x:c r="D544" s="34" t="str">
        <x:v>Crucial</x:v>
      </x:c>
      <x:c r="E544" s="82" t="n">
        <x:v>705.1</x:v>
      </x:c>
      <x:c r="F544" s="34" t="str">
        <x:v>USD</x:v>
      </x:c>
      <x:c r="G544" s="34" t="str">
        <x:v>retail</x:v>
      </x:c>
      <x:c r="H544" s="34" t="str">
        <x:v>2026-06-29</x:v>
      </x:c>
      <x:c r="I544" s="34" t="str">
        <x:v>capacityTb=4; interface=NVMe; readSpeedMb=3500; writeSpeedMb=2975</x:v>
      </x:c>
      <x:c r="J544" s="34" t="str">
        <x:v>NVMe, 4TB, SSD, ca-retail</x:v>
      </x:c>
      <x:c r="K544" s="34" t="str">
        <x:v>4TB NVMe SSD from CA retailer; throughput is an interface-class estimate when omitted.</x:v>
      </x:c>
      <x:c r="L544" s="34" t="str">
        <x:v>https://www.canadacomputers.com/en/desktop-laptop-internal-ssds/281445/crucial-t710-4tb-m-2-ssd-w-heatsink-ct4000t710ssd5.html</x:v>
      </x:c>
      <x:c r="M544" s="35" t="str">
        <x:v>https://www.canadacomputers.com/en/desktop-laptop-internal-ssds/281445/crucial-t710-4tb-m-2-ssd-w-heatsink-ct4000t710ssd5.html</x:v>
      </x:c>
    </x:row>
    <x:row r="545">
      <x:c r="A545" s="33" t="str">
        <x:v>storage</x:v>
      </x:c>
      <x:c r="B545" s="34" t="str">
        <x:v>ca-canadacomputers-storage-samsung-990-pro-2tb-m-2-nvme-pcie-4-0-solid-state-drive</x:v>
      </x:c>
      <x:c r="C545" s="34" t="str">
        <x:v>SAMSUNG 990 Pro 2TB M.2 NVMe PCIe 4.0 Solid State Drive</x:v>
      </x:c>
      <x:c r="D545" s="34" t="str">
        <x:v>SAMSUNG</x:v>
      </x:c>
      <x:c r="E545" s="82" t="n">
        <x:v>616.96</x:v>
      </x:c>
      <x:c r="F545" s="34" t="str">
        <x:v>USD</x:v>
      </x:c>
      <x:c r="G545" s="34" t="str">
        <x:v>retail</x:v>
      </x:c>
      <x:c r="H545" s="34" t="str">
        <x:v>2026-06-29</x:v>
      </x:c>
      <x:c r="I545" s="34" t="str">
        <x:v>capacityTb=2; interface=NVMe; readSpeedMb=7000; writeSpeedMb=5950</x:v>
      </x:c>
      <x:c r="J545" s="34" t="str">
        <x:v>NVMe, 2TB, SSD, ca-retail</x:v>
      </x:c>
      <x:c r="K545" s="34" t="str">
        <x:v>2TB NVMe SSD from CA retailer; throughput is an interface-class estimate when omitted.</x:v>
      </x:c>
      <x:c r="L545" s="34" t="str">
        <x:v>https://www.canadacomputers.com/en/desktop-laptop-internal-ssds/233286/samsung-990-pro-2tb-m-2-nvme-pcie-4-0-solid-state-drive-mz-v9p2t0b-am.html</x:v>
      </x:c>
      <x:c r="M545" s="35" t="str">
        <x:v>https://www.canadacomputers.com/en/desktop-laptop-internal-ssds/233286/samsung-990-pro-2tb-m-2-nvme-pcie-4-0-solid-state-drive-mz-v9p2t0b-am.html</x:v>
      </x:c>
    </x:row>
    <x:row r="546">
      <x:c r="A546" s="33" t="str">
        <x:v>storage</x:v>
      </x:c>
      <x:c r="B546" s="34" t="str">
        <x:v>ca-canadacomputers-storage-samsung-990-pro-2tb-with-heatsink-m-2-nvme-pcie-4-0-ssd</x:v>
      </x:c>
      <x:c r="C546" s="34" t="str">
        <x:v>SAMSUNG 990 Pro  2TB with Heatsink M.2 NVMe PCIe 4.0  SSD</x:v>
      </x:c>
      <x:c r="D546" s="34" t="str">
        <x:v>SAMSUNG</x:v>
      </x:c>
      <x:c r="E546" s="82" t="n">
        <x:v>645.17</x:v>
      </x:c>
      <x:c r="F546" s="34" t="str">
        <x:v>USD</x:v>
      </x:c>
      <x:c r="G546" s="34" t="str">
        <x:v>retail</x:v>
      </x:c>
      <x:c r="H546" s="34" t="str">
        <x:v>2026-06-29</x:v>
      </x:c>
      <x:c r="I546" s="34" t="str">
        <x:v>capacityTb=2; interface=NVMe; readSpeedMb=7000; writeSpeedMb=5950</x:v>
      </x:c>
      <x:c r="J546" s="34" t="str">
        <x:v>NVMe, 2TB, SSD, ca-retail</x:v>
      </x:c>
      <x:c r="K546" s="34" t="str">
        <x:v>2TB NVMe SSD from CA retailer; throughput is an interface-class estimate when omitted.</x:v>
      </x:c>
      <x:c r="L546" s="34" t="str">
        <x:v>https://www.canadacomputers.com/en/desktop-laptop-internal-ssds/241546/samsung-990-pro-2tb-with-heatsink-m-2-nvme-pcie-4-0-ssd-mz-v9p2t0cw.html</x:v>
      </x:c>
      <x:c r="M546" s="35" t="str">
        <x:v>https://www.canadacomputers.com/en/desktop-laptop-internal-ssds/241546/samsung-990-pro-2tb-with-heatsink-m-2-nvme-pcie-4-0-ssd-mz-v9p2t0cw.html</x:v>
      </x:c>
    </x:row>
    <x:row r="547">
      <x:c r="A547" s="33" t="str">
        <x:v>storage</x:v>
      </x:c>
      <x:c r="B547" s="34" t="str">
        <x:v>ca-canadacomputers-storage-wd-black-sn850x-2tb-pcie-gen4-nvme-m-2-ssd</x:v>
      </x:c>
      <x:c r="C547" s="34" t="str">
        <x:v>WD Black SN850X 2TB PCIe Gen4 NVMe M.2 SSD</x:v>
      </x:c>
      <x:c r="D547" s="34" t="str">
        <x:v>WESTERN DIGITAL</x:v>
      </x:c>
      <x:c r="E547" s="82" t="n">
        <x:v>310.24</x:v>
      </x:c>
      <x:c r="F547" s="34" t="str">
        <x:v>USD</x:v>
      </x:c>
      <x:c r="G547" s="34" t="str">
        <x:v>retail</x:v>
      </x:c>
      <x:c r="H547" s="34" t="str">
        <x:v>2026-06-29</x:v>
      </x:c>
      <x:c r="I547" s="34" t="str">
        <x:v>capacityTb=2; interface=NVMe; readSpeedMb=3500; writeSpeedMb=2975</x:v>
      </x:c>
      <x:c r="J547" s="34" t="str">
        <x:v>NVMe, 2TB, SSD, ca-retail, black</x:v>
      </x:c>
      <x:c r="K547" s="34" t="str">
        <x:v>2TB NVMe SSD from CA retailer; throughput is an interface-class estimate when omitted.</x:v>
      </x:c>
      <x:c r="L547" s="34" t="str">
        <x:v>https://www.canadacomputers.com/en/desktop-laptop-internal-ssds/226019/wd-black-sn850x-2tb-pcie-gen4-nvme-m-2-ssd-wds200t2x0e.html</x:v>
      </x:c>
      <x:c r="M547" s="35" t="str">
        <x:v>https://www.canadacomputers.com/en/desktop-laptop-internal-ssds/226019/wd-black-sn850x-2tb-pcie-gen4-nvme-m-2-ssd-wds200t2x0e.html</x:v>
      </x:c>
    </x:row>
    <x:row r="548">
      <x:c r="A548" s="33" t="str">
        <x:v>storage</x:v>
      </x:c>
      <x:c r="B548" s="34" t="str">
        <x:v>ca-canadacomputers-storage-crucial-x10-4tb-portable-ssd</x:v>
      </x:c>
      <x:c r="C548" s="34" t="str">
        <x:v>Crucial X10 4TB Portable SSD</x:v>
      </x:c>
      <x:c r="D548" s="34" t="str">
        <x:v>Crucial</x:v>
      </x:c>
      <x:c r="E548" s="82" t="n">
        <x:v>458.31</x:v>
      </x:c>
      <x:c r="F548" s="34" t="str">
        <x:v>USD</x:v>
      </x:c>
      <x:c r="G548" s="34" t="str">
        <x:v>retail</x:v>
      </x:c>
      <x:c r="H548" s="34" t="str">
        <x:v>2026-06-29</x:v>
      </x:c>
      <x:c r="I548" s="34" t="str">
        <x:v>capacityTb=4; interface=SATA; readSpeedMb=550; writeSpeedMb=468</x:v>
      </x:c>
      <x:c r="J548" s="34" t="str">
        <x:v>SATA, 4TB, SSD, ca-retail</x:v>
      </x:c>
      <x:c r="K548" s="34" t="str">
        <x:v>4TB SATA SSD from CA retailer; throughput is an interface-class estimate when omitted.</x:v>
      </x:c>
      <x:c r="L548" s="34" t="str">
        <x:v>https://www.canadacomputers.com/en/external-ssds/281437/crucial-x10-4tb-portable-ssd-ct4000x10ssd9.html</x:v>
      </x:c>
      <x:c r="M548" s="35" t="str">
        <x:v>https://www.canadacomputers.com/en/external-ssds/281437/crucial-x10-4tb-portable-ssd-ct4000x10ssd9.html</x:v>
      </x:c>
    </x:row>
    <x:row r="549">
      <x:c r="A549" s="33" t="str">
        <x:v>storage</x:v>
      </x:c>
      <x:c r="B549" s="34" t="str">
        <x:v>ca-canadacomputers-storage-crucial-e100-2tb-m-2-pcie-gen-4-x4-nvme-2280-ssd</x:v>
      </x:c>
      <x:c r="C549" s="34" t="str">
        <x:v>Crucial E100 2TB M.2 PCIe Gen 4 x4 NVMe 2280  SSD</x:v>
      </x:c>
      <x:c r="D549" s="34" t="str">
        <x:v>Crucial</x:v>
      </x:c>
      <x:c r="E549" s="82" t="n">
        <x:v>267.24</x:v>
      </x:c>
      <x:c r="F549" s="34" t="str">
        <x:v>USD</x:v>
      </x:c>
      <x:c r="G549" s="34" t="str">
        <x:v>retail</x:v>
      </x:c>
      <x:c r="H549" s="34" t="str">
        <x:v>2026-06-29</x:v>
      </x:c>
      <x:c r="I549" s="34" t="str">
        <x:v>capacityTb=2; interface=NVMe; readSpeedMb=3500; writeSpeedMb=2975</x:v>
      </x:c>
      <x:c r="J549" s="34" t="str">
        <x:v>NVMe, 2TB, SSD, ca-retail</x:v>
      </x:c>
      <x:c r="K549" s="34" t="str">
        <x:v>2TB NVMe SSD from CA retailer; throughput is an interface-class estimate when omitted.</x:v>
      </x:c>
      <x:c r="L549" s="34" t="str">
        <x:v>https://www.canadacomputers.com/en/desktop-laptop-internal-ssds/284383/crucial-e100-2tb-m-2-pcie-gen-4-x4-nvme-2280-ssd-ct2000e100ssd8.html</x:v>
      </x:c>
      <x:c r="M549" s="35" t="str">
        <x:v>https://www.canadacomputers.com/en/desktop-laptop-internal-ssds/284383/crucial-e100-2tb-m-2-pcie-gen-4-x4-nvme-2280-ssd-ct2000e100ssd8.html</x:v>
      </x:c>
    </x:row>
    <x:row r="550">
      <x:c r="A550" s="33" t="str">
        <x:v>storage</x:v>
      </x:c>
      <x:c r="B550" s="34" t="str">
        <x:v>ca-canadacomputers-storage-crucial-bx500-1tb-sata-ssd</x:v>
      </x:c>
      <x:c r="C550" s="34" t="str">
        <x:v>CRUCIAL BX500 1TB SATA SSD</x:v>
      </x:c>
      <x:c r="D550" s="34" t="str">
        <x:v>Crucial</x:v>
      </x:c>
      <x:c r="E550" s="82" t="n">
        <x:v>162.17</x:v>
      </x:c>
      <x:c r="F550" s="34" t="str">
        <x:v>USD</x:v>
      </x:c>
      <x:c r="G550" s="34" t="str">
        <x:v>retail</x:v>
      </x:c>
      <x:c r="H550" s="34" t="str">
        <x:v>2026-06-29</x:v>
      </x:c>
      <x:c r="I550" s="34" t="str">
        <x:v>capacityTb=1; interface=SATA; readSpeedMb=550; writeSpeedMb=468</x:v>
      </x:c>
      <x:c r="J550" s="34" t="str">
        <x:v>SATA, 1TB, SSD, ca-retail</x:v>
      </x:c>
      <x:c r="K550" s="34" t="str">
        <x:v>1TB SATA SSD from CA retailer; throughput is an interface-class estimate when omitted.</x:v>
      </x:c>
      <x:c r="L550" s="34" t="str">
        <x:v>https://www.canadacomputers.com/en/desktop-laptop-internal-ssds/166939/crucial-bx500-1tb-sata-ssd-ct1000bx500ssd1.html</x:v>
      </x:c>
      <x:c r="M550" s="35" t="str">
        <x:v>https://www.canadacomputers.com/en/desktop-laptop-internal-ssds/166939/crucial-bx500-1tb-sata-ssd-ct1000bx500ssd1.html</x:v>
      </x:c>
    </x:row>
    <x:row r="551">
      <x:c r="A551" s="33" t="str">
        <x:v>storage</x:v>
      </x:c>
      <x:c r="B551" s="34" t="str">
        <x:v>ca-canadacomputers-storage-teamgroup-mp44l-2tb-pcie-m-2-nvme-ssd</x:v>
      </x:c>
      <x:c r="C551" s="34" t="str">
        <x:v>TeamGroup MP44L 2TB PCIe M.2 NVMe SSD</x:v>
      </x:c>
      <x:c r="D551" s="34" t="str">
        <x:v>TEAMGROUP</x:v>
      </x:c>
      <x:c r="E551" s="82" t="n">
        <x:v>98.71</x:v>
      </x:c>
      <x:c r="F551" s="34" t="str">
        <x:v>USD</x:v>
      </x:c>
      <x:c r="G551" s="34" t="str">
        <x:v>retail</x:v>
      </x:c>
      <x:c r="H551" s="34" t="str">
        <x:v>2026-06-29</x:v>
      </x:c>
      <x:c r="I551" s="34" t="str">
        <x:v>capacityTb=2; interface=NVMe; readSpeedMb=3500; writeSpeedMb=2975</x:v>
      </x:c>
      <x:c r="J551" s="34" t="str">
        <x:v>NVMe, 2TB, SSD, ca-retail</x:v>
      </x:c>
      <x:c r="K551" s="34" t="str">
        <x:v>2TB NVMe SSD from CA retailer; throughput is an interface-class estimate when omitted.</x:v>
      </x:c>
      <x:c r="L551" s="34" t="str">
        <x:v>https://www.canadacomputers.com/en/desktop-laptop-internal-ssds/244381/teamgroup-mp44l-2tb-pcie-m-2-nvme-ssd-tm8fpk002t0c101.html</x:v>
      </x:c>
      <x:c r="M551" s="35" t="str">
        <x:v>https://www.canadacomputers.com/en/desktop-laptop-internal-ssds/244381/teamgroup-mp44l-2tb-pcie-m-2-nvme-ssd-tm8fpk002t0c101.html</x:v>
      </x:c>
    </x:row>
    <x:row r="552">
      <x:c r="A552" s="33" t="str">
        <x:v>storage</x:v>
      </x:c>
      <x:c r="B552" s="34" t="str">
        <x:v>ca-canadacomputers-storage-samsung-990-evo-plus-4tb-m-2-nvme-pcie-gen-4-0-x4-5-0-x2-solid-sta</x:v>
      </x:c>
      <x:c r="C552" s="34" t="str">
        <x:v>SAMSUNG 990 Evo Plus  4TB M.2 NVMe PCIe  Gen 4.0 x4 / 5.0 x2 Solid Sta</x:v>
      </x:c>
      <x:c r="D552" s="34" t="str">
        <x:v>SAMSUNG</x:v>
      </x:c>
      <x:c r="E552" s="82" t="n">
        <x:v>1008.3</x:v>
      </x:c>
      <x:c r="F552" s="34" t="str">
        <x:v>USD</x:v>
      </x:c>
      <x:c r="G552" s="34" t="str">
        <x:v>retail</x:v>
      </x:c>
      <x:c r="H552" s="34" t="str">
        <x:v>2026-06-29</x:v>
      </x:c>
      <x:c r="I552" s="34" t="str">
        <x:v>capacityTb=4; interface=NVMe; readSpeedMb=3500; writeSpeedMb=2975</x:v>
      </x:c>
      <x:c r="J552" s="34" t="str">
        <x:v>NVMe, 4TB, SSD, ca-retail</x:v>
      </x:c>
      <x:c r="K552" s="34" t="str">
        <x:v>4TB NVMe SSD from CA retailer; throughput is an interface-class estimate when omitted.</x:v>
      </x:c>
      <x:c r="L552" s="34" t="str">
        <x:v>https://www.canadacomputers.com/en/desktop-laptop-internal-ssds/265363/samsung-990-evo-plus-4tb-m-2-nvme-pcie-gen-4-0-x4-5-0-x2-solid-sta-mz-v9s4t0b-am.html</x:v>
      </x:c>
      <x:c r="M552" s="35" t="str">
        <x:v>https://www.canadacomputers.com/en/desktop-laptop-internal-ssds/265363/samsung-990-evo-plus-4tb-m-2-nvme-pcie-gen-4-0-x4-5-0-x2-solid-sta-mz-v9s4t0b-am.html</x:v>
      </x:c>
    </x:row>
    <x:row r="553">
      <x:c r="A553" s="33" t="str">
        <x:v>storage</x:v>
      </x:c>
      <x:c r="B553" s="34" t="str">
        <x:v>ca-canadacomputers-storage-wd-black-sn8100-4tb-pcie-gen5x4-nvme-m-2-2280-ssd</x:v>
      </x:c>
      <x:c r="C553" s="34" t="str">
        <x:v>WD Black SN8100 4TB PCIe Gen5x4 NVMe M.2 2280 SSD</x:v>
      </x:c>
      <x:c r="D553" s="34" t="str">
        <x:v>WESTERN DIGITAL</x:v>
      </x:c>
      <x:c r="E553" s="82" t="n">
        <x:v>775.61</x:v>
      </x:c>
      <x:c r="F553" s="34" t="str">
        <x:v>USD</x:v>
      </x:c>
      <x:c r="G553" s="34" t="str">
        <x:v>retail</x:v>
      </x:c>
      <x:c r="H553" s="34" t="str">
        <x:v>2026-06-29</x:v>
      </x:c>
      <x:c r="I553" s="34" t="str">
        <x:v>capacityTb=4; interface=NVMe; readSpeedMb=3500; writeSpeedMb=2975</x:v>
      </x:c>
      <x:c r="J553" s="34" t="str">
        <x:v>NVMe, 4TB, SSD, ca-retail, black</x:v>
      </x:c>
      <x:c r="K553" s="34" t="str">
        <x:v>4TB NVMe SSD from CA retailer; throughput is an interface-class estimate when omitted.</x:v>
      </x:c>
      <x:c r="L553" s="34" t="str">
        <x:v>https://www.canadacomputers.com/en/desktop-laptop-internal-ssds/273066/wd-black-sn8100-4tb-pcie-gen5x4-nvme-m-2-2280-ssd-wds400t1x0m.html</x:v>
      </x:c>
      <x:c r="M553" s="35" t="str">
        <x:v>https://www.canadacomputers.com/en/desktop-laptop-internal-ssds/273066/wd-black-sn8100-4tb-pcie-gen5x4-nvme-m-2-2280-ssd-wds400t1x0m.html</x:v>
      </x:c>
    </x:row>
    <x:row r="554">
      <x:c r="A554" s="33" t="str">
        <x:v>storage</x:v>
      </x:c>
      <x:c r="B554" s="34" t="str">
        <x:v>ca-canadacomputers-storage-kingston-fury-renegade-g5-4tb-pcie-5-0-nvme-m-2-ssd</x:v>
      </x:c>
      <x:c r="C554" s="34" t="str">
        <x:v>Kingston FURY Renegade G5  4TB PCIe 5.0 NVMe M.2 SSD</x:v>
      </x:c>
      <x:c r="D554" s="34" t="str">
        <x:v>Kingston</x:v>
      </x:c>
      <x:c r="E554" s="82" t="n">
        <x:v>1057.66</x:v>
      </x:c>
      <x:c r="F554" s="34" t="str">
        <x:v>USD</x:v>
      </x:c>
      <x:c r="G554" s="34" t="str">
        <x:v>retail</x:v>
      </x:c>
      <x:c r="H554" s="34" t="str">
        <x:v>2026-06-29</x:v>
      </x:c>
      <x:c r="I554" s="34" t="str">
        <x:v>capacityTb=4; interface=NVMe; readSpeedMb=12000; writeSpeedMb=10200</x:v>
      </x:c>
      <x:c r="J554" s="34" t="str">
        <x:v>NVMe, 4TB, SSD, ca-retail</x:v>
      </x:c>
      <x:c r="K554" s="34" t="str">
        <x:v>4TB NVMe SSD from CA retailer; throughput is an interface-class estimate when omitted.</x:v>
      </x:c>
      <x:c r="L554" s="34" t="str">
        <x:v>https://www.canadacomputers.com/en/desktop-laptop-internal-ssds/272336/kingston-fury-renegade-g5-4tb-pcie-5-0-nvme-m-2-ssd-sfyr2s-4t0.html</x:v>
      </x:c>
      <x:c r="M554" s="35" t="str">
        <x:v>https://www.canadacomputers.com/en/desktop-laptop-internal-ssds/272336/kingston-fury-renegade-g5-4tb-pcie-5-0-nvme-m-2-ssd-sfyr2s-4t0.html</x:v>
      </x:c>
    </x:row>
    <x:row r="555">
      <x:c r="A555" s="33" t="str">
        <x:v>cooler</x:v>
      </x:c>
      <x:c r="B555" s="34" t="str">
        <x:v>cooler-pa120</x:v>
      </x:c>
      <x:c r="C555" s="34" t="str">
        <x:v>Thermalright Peerless Assassin 120 SE</x:v>
      </x:c>
      <x:c r="D555" s="34" t="str">
        <x:v>Thermalright</x:v>
      </x:c>
      <x:c r="E555" s="82" t="n">
        <x:v>39</x:v>
      </x:c>
      <x:c r="F555" s="34" t="str">
        <x:v>USD</x:v>
      </x:c>
      <x:c r="G555" s="34" t="str">
        <x:v>reference</x:v>
      </x:c>
      <x:c r="H555" s="34" t="str">
        <x:v>baseline seed</x:v>
      </x:c>
      <x:c r="I555" s="34" t="str">
        <x:v>supportedSockets=AM5/LGA1700/LGA1851; tdpRatingWatts=220; heightMm=155; type=air</x:v>
      </x:c>
      <x:c r="J555" s="34" t="str">
        <x:v>air, 220W</x:v>
      </x:c>
      <x:c r="K555" s="34" t="str">
        <x:v>Air cooler rated for 220W.</x:v>
      </x:c>
      <x:c r="L555" s="34" t="str"/>
      <x:c r="M555" s="35" t="str"/>
    </x:row>
    <x:row r="556">
      <x:c r="A556" s="33" t="str">
        <x:v>cooler</x:v>
      </x:c>
      <x:c r="B556" s="34" t="str">
        <x:v>cooler-nhd15</x:v>
      </x:c>
      <x:c r="C556" s="34" t="str">
        <x:v>Noctua NH-D15 G2</x:v>
      </x:c>
      <x:c r="D556" s="34" t="str">
        <x:v>Noctua</x:v>
      </x:c>
      <x:c r="E556" s="82" t="n">
        <x:v>149</x:v>
      </x:c>
      <x:c r="F556" s="34" t="str">
        <x:v>USD</x:v>
      </x:c>
      <x:c r="G556" s="34" t="str">
        <x:v>reference</x:v>
      </x:c>
      <x:c r="H556" s="34" t="str">
        <x:v>baseline seed</x:v>
      </x:c>
      <x:c r="I556" s="34" t="str">
        <x:v>supportedSockets=AM5/LGA1700/LGA1851; tdpRatingWatts=280; heightMm=168; type=air</x:v>
      </x:c>
      <x:c r="J556" s="34" t="str">
        <x:v>air, 280W</x:v>
      </x:c>
      <x:c r="K556" s="34" t="str">
        <x:v>Air cooler rated for 280W.</x:v>
      </x:c>
      <x:c r="L556" s="34" t="str"/>
      <x:c r="M556" s="35" t="str"/>
    </x:row>
    <x:row r="557">
      <x:c r="A557" s="33" t="str">
        <x:v>cooler</x:v>
      </x:c>
      <x:c r="B557" s="34" t="str">
        <x:v>cooler-aio240</x:v>
      </x:c>
      <x:c r="C557" s="34" t="str">
        <x:v>Arctic Liquid Freezer III 240</x:v>
      </x:c>
      <x:c r="D557" s="34" t="str">
        <x:v>Arctic</x:v>
      </x:c>
      <x:c r="E557" s="82" t="n">
        <x:v>109</x:v>
      </x:c>
      <x:c r="F557" s="34" t="str">
        <x:v>USD</x:v>
      </x:c>
      <x:c r="G557" s="34" t="str">
        <x:v>reference</x:v>
      </x:c>
      <x:c r="H557" s="34" t="str">
        <x:v>baseline seed</x:v>
      </x:c>
      <x:c r="I557" s="34" t="str">
        <x:v>supportedSockets=AM5/LGA1700/LGA1851; tdpRatingWatts=260; type=aio</x:v>
      </x:c>
      <x:c r="J557" s="34" t="str">
        <x:v>aio, 260W</x:v>
      </x:c>
      <x:c r="K557" s="34" t="str">
        <x:v>Liquid cooler rated for 260W.</x:v>
      </x:c>
      <x:c r="L557" s="34" t="str"/>
      <x:c r="M557" s="35" t="str"/>
    </x:row>
    <x:row r="558">
      <x:c r="A558" s="33" t="str">
        <x:v>cooler</x:v>
      </x:c>
      <x:c r="B558" s="34" t="str">
        <x:v>cooler-aio360</x:v>
      </x:c>
      <x:c r="C558" s="34" t="str">
        <x:v>Arctic Liquid Freezer III 360</x:v>
      </x:c>
      <x:c r="D558" s="34" t="str">
        <x:v>Arctic</x:v>
      </x:c>
      <x:c r="E558" s="82" t="n">
        <x:v>139</x:v>
      </x:c>
      <x:c r="F558" s="34" t="str">
        <x:v>USD</x:v>
      </x:c>
      <x:c r="G558" s="34" t="str">
        <x:v>reference</x:v>
      </x:c>
      <x:c r="H558" s="34" t="str">
        <x:v>baseline seed</x:v>
      </x:c>
      <x:c r="I558" s="34" t="str">
        <x:v>supportedSockets=AM5/LGA1700/LGA1851; tdpRatingWatts=320; type=aio</x:v>
      </x:c>
      <x:c r="J558" s="34" t="str">
        <x:v>aio, 320W</x:v>
      </x:c>
      <x:c r="K558" s="34" t="str">
        <x:v>Liquid cooler rated for 320W.</x:v>
      </x:c>
      <x:c r="L558" s="34" t="str"/>
      <x:c r="M558" s="35" t="str"/>
    </x:row>
    <x:row r="559">
      <x:c r="A559" s="33" t="str">
        <x:v>cooler</x:v>
      </x:c>
      <x:c r="B559" s="34" t="str">
        <x:v>cooler-galahad-white</x:v>
      </x:c>
      <x:c r="C559" s="34" t="str">
        <x:v>Lian Li Galahad II Trinity 360 White</x:v>
      </x:c>
      <x:c r="D559" s="34" t="str">
        <x:v>Lian Li</x:v>
      </x:c>
      <x:c r="E559" s="82" t="n">
        <x:v>199</x:v>
      </x:c>
      <x:c r="F559" s="34" t="str">
        <x:v>USD</x:v>
      </x:c>
      <x:c r="G559" s="34" t="str">
        <x:v>reference</x:v>
      </x:c>
      <x:c r="H559" s="34" t="str">
        <x:v>baseline seed</x:v>
      </x:c>
      <x:c r="I559" s="34" t="str">
        <x:v>supportedSockets=AM5/LGA1700/LGA1851; tdpRatingWatts=320; type=aio</x:v>
      </x:c>
      <x:c r="J559" s="34" t="str">
        <x:v>aio, 320W, white, rgb</x:v>
      </x:c>
      <x:c r="K559" s="34" t="str">
        <x:v>Liquid cooler rated for 320W.</x:v>
      </x:c>
      <x:c r="L559" s="34" t="str"/>
      <x:c r="M559" s="35" t="str"/>
    </x:row>
    <x:row r="560">
      <x:c r="A560" s="33" t="str">
        <x:v>cooler</x:v>
      </x:c>
      <x:c r="B560" s="34" t="str">
        <x:v>cooler-ps120</x:v>
      </x:c>
      <x:c r="C560" s="34" t="str">
        <x:v>Thermalright Phantom Spirit 120 SE</x:v>
      </x:c>
      <x:c r="D560" s="34" t="str">
        <x:v>Thermalright</x:v>
      </x:c>
      <x:c r="E560" s="82" t="n">
        <x:v>45</x:v>
      </x:c>
      <x:c r="F560" s="34" t="str">
        <x:v>USD</x:v>
      </x:c>
      <x:c r="G560" s="34" t="str">
        <x:v>reference</x:v>
      </x:c>
      <x:c r="H560" s="34" t="str">
        <x:v>2026-06-28</x:v>
      </x:c>
      <x:c r="I560" s="34" t="str">
        <x:v>supportedSockets=AM5/LGA1700/LGA1851; tdpRatingWatts=240; heightMm=154; type=air</x:v>
      </x:c>
      <x:c r="J560" s="34" t="str">
        <x:v>air, 240W, quiet, value</x:v>
      </x:c>
      <x:c r="K560" s="34" t="str">
        <x:v>Air cooler rated for 240W.</x:v>
      </x:c>
      <x:c r="L560" s="34" t="str">
        <x:v>https://www.thermalright.com/product/phantom-spirit-120-se/</x:v>
      </x:c>
      <x:c r="M560" s="35" t="str">
        <x:v>https://www.thermalright.com/product/phantom-spirit-120-se/</x:v>
      </x:c>
    </x:row>
    <x:row r="561">
      <x:c r="A561" s="33" t="str">
        <x:v>cooler</x:v>
      </x:c>
      <x:c r="B561" s="34" t="str">
        <x:v>cooler-lf3-pro-360</x:v>
      </x:c>
      <x:c r="C561" s="34" t="str">
        <x:v>Arctic Liquid Freezer III Pro 360</x:v>
      </x:c>
      <x:c r="D561" s="34" t="str">
        <x:v>Arctic</x:v>
      </x:c>
      <x:c r="E561" s="82" t="n">
        <x:v>149</x:v>
      </x:c>
      <x:c r="F561" s="34" t="str">
        <x:v>USD</x:v>
      </x:c>
      <x:c r="G561" s="34" t="str">
        <x:v>reference</x:v>
      </x:c>
      <x:c r="H561" s="34" t="str">
        <x:v>2026-06-28</x:v>
      </x:c>
      <x:c r="I561" s="34" t="str">
        <x:v>supportedSockets=AM5/LGA1700/LGA1851; tdpRatingWatts=350; type=aio</x:v>
      </x:c>
      <x:c r="J561" s="34" t="str">
        <x:v>aio, 350W, quiet, high-power</x:v>
      </x:c>
      <x:c r="K561" s="34" t="str">
        <x:v>Liquid cooler rated for 350W.</x:v>
      </x:c>
      <x:c r="L561" s="34" t="str">
        <x:v>https://www.arctic.de/en/Liquid-Freezer-III-Pro-360/</x:v>
      </x:c>
      <x:c r="M561" s="35" t="str">
        <x:v>https://www.arctic.de/en/Liquid-Freezer-III-Pro-360/</x:v>
      </x:c>
    </x:row>
    <x:row r="562">
      <x:c r="A562" s="33" t="str">
        <x:v>cooler</x:v>
      </x:c>
      <x:c r="B562" s="34" t="str">
        <x:v>cooler-nautilus-white</x:v>
      </x:c>
      <x:c r="C562" s="34" t="str">
        <x:v>Corsair NAUTILUS 360 RS ARGB White</x:v>
      </x:c>
      <x:c r="D562" s="34" t="str">
        <x:v>Corsair</x:v>
      </x:c>
      <x:c r="E562" s="82" t="n">
        <x:v>159</x:v>
      </x:c>
      <x:c r="F562" s="34" t="str">
        <x:v>USD</x:v>
      </x:c>
      <x:c r="G562" s="34" t="str">
        <x:v>reference</x:v>
      </x:c>
      <x:c r="H562" s="34" t="str">
        <x:v>2026-06-28</x:v>
      </x:c>
      <x:c r="I562" s="34" t="str">
        <x:v>supportedSockets=AM5/LGA1700/LGA1851; tdpRatingWatts=330; type=aio</x:v>
      </x:c>
      <x:c r="J562" s="34" t="str">
        <x:v>aio, 330W, white, rgb</x:v>
      </x:c>
      <x:c r="K562" s="34" t="str">
        <x:v>Liquid cooler rated for 330W.</x:v>
      </x:c>
      <x:c r="L562" s="34" t="str">
        <x:v>https://www.corsair.com/us/en/p/cpu-coolers/cw-9060093-ww/nautilus-360-rs-argb-liquid-cpu-cooler-white-cw-9060093-ww</x:v>
      </x:c>
      <x:c r="M562" s="35" t="str">
        <x:v>https://www.corsair.com/us/en/p/cpu-coolers/cw-9060093-ww/nautilus-360-rs-argb-liquid-cpu-cooler-white-cw-9060093-ww</x:v>
      </x:c>
    </x:row>
    <x:row r="563">
      <x:c r="A563" s="33" t="str">
        <x:v>cooler</x:v>
      </x:c>
      <x:c r="B563" s="34" t="str">
        <x:v>hf-cpu-cooler-10116</x:v>
      </x:c>
      <x:c r="C563" s="34" t="str">
        <x:v>Cooler Master Hyper 212 EVO</x:v>
      </x:c>
      <x:c r="D563" s="34" t="str">
        <x:v>Cooler Master</x:v>
      </x:c>
      <x:c r="E563" s="82" t="n">
        <x:v>221.19</x:v>
      </x:c>
      <x:c r="F563" s="34" t="str">
        <x:v>USD</x:v>
      </x:c>
      <x:c r="G563" s="34" t="str">
        <x:v>reference</x:v>
      </x:c>
      <x:c r="H563" s="34" t="str">
        <x:v>2026-06-28</x:v>
      </x:c>
      <x:c r="I563" s="34" t="str">
        <x:v>supportedSockets=AM4/AM5/LGA1700/LGA1851; tdpRatingWatts=280; heightMm=155; type=air</x:v>
      </x:c>
      <x:c r="J563" s="34" t="str">
        <x:v>air, 280W, dataset</x:v>
      </x:c>
      <x:c r="K563" s="34" t="str">
        <x:v>Air CPU cooler; cooling capacity is a conservative derived ranking value.</x:v>
      </x:c>
      <x:c r="L563" s="34" t="str">
        <x:v>https://fr.pcpartpicker.com/product/hmtCmG/cooler-master-cpu-cooler-rr212e20pkr2</x:v>
      </x:c>
      <x:c r="M563" s="35" t="str">
        <x:v>https://fr.pcpartpicker.com/product/hmtCmG/cooler-master-cpu-cooler-rr212e20pkr2</x:v>
      </x:c>
    </x:row>
    <x:row r="564">
      <x:c r="A564" s="33" t="str">
        <x:v>cooler</x:v>
      </x:c>
      <x:c r="B564" s="34" t="str">
        <x:v>hf-cpu-cooler-261910</x:v>
      </x:c>
      <x:c r="C564" s="34" t="str">
        <x:v>Noctua NH-D15 chromax.black</x:v>
      </x:c>
      <x:c r="D564" s="34" t="str">
        <x:v>Noctua</x:v>
      </x:c>
      <x:c r="E564" s="82" t="n">
        <x:v>135.09</x:v>
      </x:c>
      <x:c r="F564" s="34" t="str">
        <x:v>USD</x:v>
      </x:c>
      <x:c r="G564" s="34" t="str">
        <x:v>reference</x:v>
      </x:c>
      <x:c r="H564" s="34" t="str">
        <x:v>2026-06-28</x:v>
      </x:c>
      <x:c r="I564" s="34" t="str">
        <x:v>supportedSockets=AM4/AM5/LGA1700/LGA1851; tdpRatingWatts=280; heightMm=155; type=air</x:v>
      </x:c>
      <x:c r="J564" s="34" t="str">
        <x:v>air, 280W, dataset</x:v>
      </x:c>
      <x:c r="K564" s="34" t="str">
        <x:v>Air CPU cooler; cooling capacity is a conservative derived ranking value.</x:v>
      </x:c>
      <x:c r="L564" s="34" t="str">
        <x:v>https://fr.pcpartpicker.com/product/84MTwP/noctua-nh-d15-chromaxblack-8252-cfm-cpu-cooler-nh-d15-chromaxblack</x:v>
      </x:c>
      <x:c r="M564" s="35" t="str">
        <x:v>https://fr.pcpartpicker.com/product/84MTwP/noctua-nh-d15-chromaxblack-8252-cfm-cpu-cooler-nh-d15-chromaxblack</x:v>
      </x:c>
    </x:row>
    <x:row r="565">
      <x:c r="A565" s="33" t="str">
        <x:v>cooler</x:v>
      </x:c>
      <x:c r="B565" s="34" t="str">
        <x:v>hf-cpu-cooler-196659</x:v>
      </x:c>
      <x:c r="C565" s="34" t="str">
        <x:v>Cooler Master Hyper 212 RGB Black Edition</x:v>
      </x:c>
      <x:c r="D565" s="34" t="str">
        <x:v>Cooler Master</x:v>
      </x:c>
      <x:c r="E565" s="82" t="n">
        <x:v>85.15</x:v>
      </x:c>
      <x:c r="F565" s="34" t="str">
        <x:v>USD</x:v>
      </x:c>
      <x:c r="G565" s="34" t="str">
        <x:v>reference</x:v>
      </x:c>
      <x:c r="H565" s="34" t="str">
        <x:v>2026-06-28</x:v>
      </x:c>
      <x:c r="I565" s="34" t="str">
        <x:v>supportedSockets=AM4/AM5/LGA1700/LGA1851; tdpRatingWatts=258; heightMm=155; type=air</x:v>
      </x:c>
      <x:c r="J565" s="34" t="str">
        <x:v>air, 258W, dataset</x:v>
      </x:c>
      <x:c r="K565" s="34" t="str">
        <x:v>Air CPU cooler; cooling capacity is a conservative derived ranking value.</x:v>
      </x:c>
      <x:c r="L565" s="34" t="str">
        <x:v>https://fr.pcpartpicker.com/product/hHDJ7P/cooler-master-hyper-212-rgb-black-edition-573-cfm-cpu-cooler-rr-212s-20pc-r1</x:v>
      </x:c>
      <x:c r="M565" s="35" t="str">
        <x:v>https://fr.pcpartpicker.com/product/hHDJ7P/cooler-master-hyper-212-rgb-black-edition-573-cfm-cpu-cooler-rr-212s-20pc-r1</x:v>
      </x:c>
    </x:row>
    <x:row r="566">
      <x:c r="A566" s="33" t="str">
        <x:v>cooler</x:v>
      </x:c>
      <x:c r="B566" s="34" t="str">
        <x:v>hf-cpu-cooler-196660</x:v>
      </x:c>
      <x:c r="C566" s="34" t="str">
        <x:v>Cooler Master Hyper 212 Black Edition</x:v>
      </x:c>
      <x:c r="D566" s="34" t="str">
        <x:v>Cooler Master</x:v>
      </x:c>
      <x:c r="E566" s="82" t="n">
        <x:v>37.85</x:v>
      </x:c>
      <x:c r="F566" s="34" t="str">
        <x:v>USD</x:v>
      </x:c>
      <x:c r="G566" s="34" t="str">
        <x:v>reference</x:v>
      </x:c>
      <x:c r="H566" s="34" t="str">
        <x:v>2026-06-28</x:v>
      </x:c>
      <x:c r="I566" s="34" t="str">
        <x:v>supportedSockets=AM4/AM5/LGA1700/LGA1851; tdpRatingWatts=187; heightMm=155; type=air</x:v>
      </x:c>
      <x:c r="J566" s="34" t="str">
        <x:v>air, 187W, dataset</x:v>
      </x:c>
      <x:c r="K566" s="34" t="str">
        <x:v>Air CPU cooler; cooling capacity is a conservative derived ranking value.</x:v>
      </x:c>
      <x:c r="L566" s="34" t="str">
        <x:v>https://fr.pcpartpicker.com/product/HyTPxr/cooler-master-hyper-212-black-edition-42-cfm-cpu-cooler-rr-212s-20pk-r1</x:v>
      </x:c>
      <x:c r="M566" s="35" t="str">
        <x:v>https://fr.pcpartpicker.com/product/HyTPxr/cooler-master-hyper-212-black-edition-42-cfm-cpu-cooler-rr-212s-20pk-r1</x:v>
      </x:c>
    </x:row>
    <x:row r="567">
      <x:c r="A567" s="33" t="str">
        <x:v>cooler</x:v>
      </x:c>
      <x:c r="B567" s="34" t="str">
        <x:v>hf-cpu-cooler-30543</x:v>
      </x:c>
      <x:c r="C567" s="34" t="str">
        <x:v>Noctua NH-D15</x:v>
      </x:c>
      <x:c r="D567" s="34" t="str">
        <x:v>Noctua</x:v>
      </x:c>
      <x:c r="E567" s="82" t="n">
        <x:v>125.3</x:v>
      </x:c>
      <x:c r="F567" s="34" t="str">
        <x:v>USD</x:v>
      </x:c>
      <x:c r="G567" s="34" t="str">
        <x:v>reference</x:v>
      </x:c>
      <x:c r="H567" s="34" t="str">
        <x:v>2026-06-28</x:v>
      </x:c>
      <x:c r="I567" s="34" t="str">
        <x:v>supportedSockets=AM4/AM5/LGA1700/LGA1851; tdpRatingWatts=280; heightMm=155; type=air</x:v>
      </x:c>
      <x:c r="J567" s="34" t="str">
        <x:v>air, 280W, dataset</x:v>
      </x:c>
      <x:c r="K567" s="34" t="str">
        <x:v>Air CPU cooler; cooling capacity is a conservative derived ranking value.</x:v>
      </x:c>
      <x:c r="L567" s="34" t="str">
        <x:v>https://fr.pcpartpicker.com/product/4vzv6h/noctua-nh-d15-825-cfm-cpu-cooler-nh-d15</x:v>
      </x:c>
      <x:c r="M567" s="35" t="str">
        <x:v>https://fr.pcpartpicker.com/product/4vzv6h/noctua-nh-d15-825-cfm-cpu-cooler-nh-d15</x:v>
      </x:c>
    </x:row>
    <x:row r="568">
      <x:c r="A568" s="33" t="str">
        <x:v>cooler</x:v>
      </x:c>
      <x:c r="B568" s="34" t="str">
        <x:v>hf-cpu-cooler-3775</x:v>
      </x:c>
      <x:c r="C568" s="34" t="str">
        <x:v>Cooler Master Hyper 212 Plus</x:v>
      </x:c>
      <x:c r="D568" s="34" t="str">
        <x:v>Cooler Master</x:v>
      </x:c>
      <x:c r="E568" s="82" t="n">
        <x:v>294.13</x:v>
      </x:c>
      <x:c r="F568" s="34" t="str">
        <x:v>USD</x:v>
      </x:c>
      <x:c r="G568" s="34" t="str">
        <x:v>reference</x:v>
      </x:c>
      <x:c r="H568" s="34" t="str">
        <x:v>2026-06-28</x:v>
      </x:c>
      <x:c r="I568" s="34" t="str">
        <x:v>supportedSockets=AM4/AM5/LGA1700/LGA1851; tdpRatingWatts=280; heightMm=155; type=air</x:v>
      </x:c>
      <x:c r="J568" s="34" t="str">
        <x:v>air, 280W, dataset</x:v>
      </x:c>
      <x:c r="K568" s="34" t="str">
        <x:v>Air CPU cooler; cooling capacity is a conservative derived ranking value.</x:v>
      </x:c>
      <x:c r="L568" s="34" t="str">
        <x:v>https://fr.pcpartpicker.com/product/gpw323/cooler-master-cpu-cooler-rrb10212pg1</x:v>
      </x:c>
      <x:c r="M568" s="35" t="str">
        <x:v>https://fr.pcpartpicker.com/product/gpw323/cooler-master-cpu-cooler-rrb10212pg1</x:v>
      </x:c>
    </x:row>
    <x:row r="569">
      <x:c r="A569" s="33" t="str">
        <x:v>cooler</x:v>
      </x:c>
      <x:c r="B569" s="34" t="str">
        <x:v>hf-cpu-cooler-262078</x:v>
      </x:c>
      <x:c r="C569" s="34" t="str">
        <x:v>Noctua NH-U12S chromax.black</x:v>
      </x:c>
      <x:c r="D569" s="34" t="str">
        <x:v>Noctua</x:v>
      </x:c>
      <x:c r="E569" s="82" t="n">
        <x:v>102.49</x:v>
      </x:c>
      <x:c r="F569" s="34" t="str">
        <x:v>USD</x:v>
      </x:c>
      <x:c r="G569" s="34" t="str">
        <x:v>reference</x:v>
      </x:c>
      <x:c r="H569" s="34" t="str">
        <x:v>2026-06-28</x:v>
      </x:c>
      <x:c r="I569" s="34" t="str">
        <x:v>supportedSockets=AM4/AM5/LGA1700/LGA1851; tdpRatingWatts=280; heightMm=155; type=air</x:v>
      </x:c>
      <x:c r="J569" s="34" t="str">
        <x:v>air, 280W, dataset</x:v>
      </x:c>
      <x:c r="K569" s="34" t="str">
        <x:v>Air CPU cooler; cooling capacity is a conservative derived ranking value.</x:v>
      </x:c>
      <x:c r="L569" s="34" t="str">
        <x:v>https://fr.pcpartpicker.com/product/dMVG3C/noctua-nh-u12s-chromaxblack-55-cfm-cpu-cooler-nh-u12s-chromaxblack</x:v>
      </x:c>
      <x:c r="M569" s="35" t="str">
        <x:v>https://fr.pcpartpicker.com/product/dMVG3C/noctua-nh-u12s-chromaxblack-55-cfm-cpu-cooler-nh-u12s-chromaxblack</x:v>
      </x:c>
    </x:row>
    <x:row r="570">
      <x:c r="A570" s="33" t="str">
        <x:v>cooler</x:v>
      </x:c>
      <x:c r="B570" s="34" t="str">
        <x:v>hf-cpu-cooler-275978</x:v>
      </x:c>
      <x:c r="C570" s="34" t="str">
        <x:v>Cooler Master MASTERLIQUID ML240L RGB V2</x:v>
      </x:c>
      <x:c r="D570" s="34" t="str">
        <x:v>Cooler Master</x:v>
      </x:c>
      <x:c r="E570" s="82" t="n">
        <x:v>100.9</x:v>
      </x:c>
      <x:c r="F570" s="34" t="str">
        <x:v>USD</x:v>
      </x:c>
      <x:c r="G570" s="34" t="str">
        <x:v>reference</x:v>
      </x:c>
      <x:c r="H570" s="34" t="str">
        <x:v>2026-06-28</x:v>
      </x:c>
      <x:c r="I570" s="34" t="str">
        <x:v>supportedSockets=AM4/AM5/LGA1700/LGA1851; tdpRatingWatts=216; type=aio</x:v>
      </x:c>
      <x:c r="J570" s="34" t="str">
        <x:v>aio, 216W, dataset</x:v>
      </x:c>
      <x:c r="K570" s="34" t="str">
        <x:v>Liquid CPU cooler; cooling capacity is a conservative derived ranking value.</x:v>
      </x:c>
      <x:c r="L570" s="34" t="str">
        <x:v>https://fr.pcpartpicker.com/product/fLFKHx/cooler-master-masterliquid-ml240l-rgb-v2-6559-cfm-liquid-cpu-cooler-mlw-d24m-a18pc-r2</x:v>
      </x:c>
      <x:c r="M570" s="35" t="str">
        <x:v>https://fr.pcpartpicker.com/product/fLFKHx/cooler-master-masterliquid-ml240l-rgb-v2-6559-cfm-liquid-cpu-cooler-mlw-d24m-a18pc-r2</x:v>
      </x:c>
    </x:row>
    <x:row r="571">
      <x:c r="A571" s="33" t="str">
        <x:v>cooler</x:v>
      </x:c>
      <x:c r="B571" s="34" t="str">
        <x:v>hf-cpu-cooler-279281</x:v>
      </x:c>
      <x:c r="C571" s="34" t="str">
        <x:v>NZXT Kraken X53</x:v>
      </x:c>
      <x:c r="D571" s="34" t="str">
        <x:v>NZXT</x:v>
      </x:c>
      <x:c r="E571" s="82" t="n">
        <x:v>185.44</x:v>
      </x:c>
      <x:c r="F571" s="34" t="str">
        <x:v>USD</x:v>
      </x:c>
      <x:c r="G571" s="34" t="str">
        <x:v>reference</x:v>
      </x:c>
      <x:c r="H571" s="34" t="str">
        <x:v>2026-06-28</x:v>
      </x:c>
      <x:c r="I571" s="34" t="str">
        <x:v>supportedSockets=AM4/AM5/LGA1700/LGA1851; tdpRatingWatts=216; type=aio</x:v>
      </x:c>
      <x:c r="J571" s="34" t="str">
        <x:v>aio, 216W, dataset</x:v>
      </x:c>
      <x:c r="K571" s="34" t="str">
        <x:v>Liquid CPU cooler; cooling capacity is a conservative derived ranking value.</x:v>
      </x:c>
      <x:c r="L571" s="34" t="str">
        <x:v>https://fr.pcpartpicker.com/product/PVfFf7/nzxt-kraken-x53-7311-cfm-liquid-cpu-cooler-rl-krx53-01</x:v>
      </x:c>
      <x:c r="M571" s="35" t="str">
        <x:v>https://fr.pcpartpicker.com/product/PVfFf7/nzxt-kraken-x53-7311-cfm-liquid-cpu-cooler-rl-krx53-01</x:v>
      </x:c>
    </x:row>
    <x:row r="572">
      <x:c r="A572" s="33" t="str">
        <x:v>cooler</x:v>
      </x:c>
      <x:c r="B572" s="34" t="str">
        <x:v>hf-cpu-cooler-19223</x:v>
      </x:c>
      <x:c r="C572" s="34" t="str">
        <x:v>Noctua NH-U12S</x:v>
      </x:c>
      <x:c r="D572" s="34" t="str">
        <x:v>Noctua</x:v>
      </x:c>
      <x:c r="E572" s="82" t="n">
        <x:v>116.18</x:v>
      </x:c>
      <x:c r="F572" s="34" t="str">
        <x:v>USD</x:v>
      </x:c>
      <x:c r="G572" s="34" t="str">
        <x:v>reference</x:v>
      </x:c>
      <x:c r="H572" s="34" t="str">
        <x:v>2026-06-28</x:v>
      </x:c>
      <x:c r="I572" s="34" t="str">
        <x:v>supportedSockets=AM4/AM5/LGA1700/LGA1851; tdpRatingWatts=280; heightMm=155; type=air</x:v>
      </x:c>
      <x:c r="J572" s="34" t="str">
        <x:v>air, 280W, dataset</x:v>
      </x:c>
      <x:c r="K572" s="34" t="str">
        <x:v>Air CPU cooler; cooling capacity is a conservative derived ranking value.</x:v>
      </x:c>
      <x:c r="L572" s="34" t="str">
        <x:v>https://fr.pcpartpicker.com/product/wjmLrH/noctua-nh-u12s-55-cfm-cpu-cooler-nh-u12s</x:v>
      </x:c>
      <x:c r="M572" s="35" t="str">
        <x:v>https://fr.pcpartpicker.com/product/wjmLrH/noctua-nh-u12s-55-cfm-cpu-cooler-nh-u12s</x:v>
      </x:c>
    </x:row>
    <x:row r="573">
      <x:c r="A573" s="33" t="str">
        <x:v>cooler</x:v>
      </x:c>
      <x:c r="B573" s="34" t="str">
        <x:v>hf-cpu-cooler-48108</x:v>
      </x:c>
      <x:c r="C573" s="34" t="str">
        <x:v>Noctua NH-D15S</x:v>
      </x:c>
      <x:c r="D573" s="34" t="str">
        <x:v>Noctua</x:v>
      </x:c>
      <x:c r="E573" s="82" t="n">
        <x:v>119.04</x:v>
      </x:c>
      <x:c r="F573" s="34" t="str">
        <x:v>USD</x:v>
      </x:c>
      <x:c r="G573" s="34" t="str">
        <x:v>reference</x:v>
      </x:c>
      <x:c r="H573" s="34" t="str">
        <x:v>2026-06-28</x:v>
      </x:c>
      <x:c r="I573" s="34" t="str">
        <x:v>supportedSockets=AM4/AM5/LGA1700/LGA1851; tdpRatingWatts=280; heightMm=155; type=air</x:v>
      </x:c>
      <x:c r="J573" s="34" t="str">
        <x:v>air, 280W, dataset</x:v>
      </x:c>
      <x:c r="K573" s="34" t="str">
        <x:v>Air CPU cooler; cooling capacity is a conservative derived ranking value.</x:v>
      </x:c>
      <x:c r="L573" s="34" t="str">
        <x:v>https://fr.pcpartpicker.com/product/xCL7YJ/noctua-nh-d15s-8252-cfm-cpu-cooler-nh-d15s</x:v>
      </x:c>
      <x:c r="M573" s="35" t="str">
        <x:v>https://fr.pcpartpicker.com/product/xCL7YJ/noctua-nh-d15s-8252-cfm-cpu-cooler-nh-d15s</x:v>
      </x:c>
    </x:row>
    <x:row r="574">
      <x:c r="A574" s="33" t="str">
        <x:v>cooler</x:v>
      </x:c>
      <x:c r="B574" s="34" t="str">
        <x:v>hf-cpu-cooler-14597</x:v>
      </x:c>
      <x:c r="C574" s="34" t="str">
        <x:v>Noctua NH-L9i</x:v>
      </x:c>
      <x:c r="D574" s="34" t="str">
        <x:v>Noctua</x:v>
      </x:c>
      <x:c r="E574" s="82" t="n">
        <x:v>56.89</x:v>
      </x:c>
      <x:c r="F574" s="34" t="str">
        <x:v>USD</x:v>
      </x:c>
      <x:c r="G574" s="34" t="str">
        <x:v>reference</x:v>
      </x:c>
      <x:c r="H574" s="34" t="str">
        <x:v>2026-06-28</x:v>
      </x:c>
      <x:c r="I574" s="34" t="str">
        <x:v>supportedSockets=AM4/AM5/LGA1700/LGA1851; tdpRatingWatts=215; heightMm=155; type=air</x:v>
      </x:c>
      <x:c r="J574" s="34" t="str">
        <x:v>air, 215W, dataset</x:v>
      </x:c>
      <x:c r="K574" s="34" t="str">
        <x:v>Air CPU cooler; cooling capacity is a conservative derived ranking value.</x:v>
      </x:c>
      <x:c r="L574" s="34" t="str">
        <x:v>https://fr.pcpartpicker.com/product/xxphP6/noctua-nh-l9i-3384-cfm-cpu-cooler-nh-l9i</x:v>
      </x:c>
      <x:c r="M574" s="35" t="str">
        <x:v>https://fr.pcpartpicker.com/product/xxphP6/noctua-nh-l9i-3384-cfm-cpu-cooler-nh-l9i</x:v>
      </x:c>
    </x:row>
    <x:row r="575">
      <x:c r="A575" s="33" t="str">
        <x:v>cooler</x:v>
      </x:c>
      <x:c r="B575" s="34" t="str">
        <x:v>hf-cpu-cooler-459706</x:v>
      </x:c>
      <x:c r="C575" s="34" t="str">
        <x:v>Thermalright Phantom Spirit 120 SE ARGB</x:v>
      </x:c>
      <x:c r="D575" s="34" t="str">
        <x:v>Thermalright</x:v>
      </x:c>
      <x:c r="E575" s="82" t="n">
        <x:v>37.04</x:v>
      </x:c>
      <x:c r="F575" s="34" t="str">
        <x:v>USD</x:v>
      </x:c>
      <x:c r="G575" s="34" t="str">
        <x:v>reference</x:v>
      </x:c>
      <x:c r="H575" s="34" t="str">
        <x:v>2026-06-28</x:v>
      </x:c>
      <x:c r="I575" s="34" t="str">
        <x:v>supportedSockets=AM4/AM5/LGA1700/LGA1851; tdpRatingWatts=186; heightMm=155; type=air</x:v>
      </x:c>
      <x:c r="J575" s="34" t="str">
        <x:v>air, 186W, dataset</x:v>
      </x:c>
      <x:c r="K575" s="34" t="str">
        <x:v>Air CPU cooler; cooling capacity is a conservative derived ranking value.</x:v>
      </x:c>
      <x:c r="L575" s="34" t="str">
        <x:v>https://fr.pcpartpicker.com/product/MzMMnQ/thermalright-phantom-spirit-120-se-argb-6617-cfm-cpu-cooler-ps120se-argb</x:v>
      </x:c>
      <x:c r="M575" s="35" t="str">
        <x:v>https://fr.pcpartpicker.com/product/MzMMnQ/thermalright-phantom-spirit-120-se-argb-6617-cfm-cpu-cooler-ps120se-argb</x:v>
      </x:c>
    </x:row>
    <x:row r="576">
      <x:c r="A576" s="33" t="str">
        <x:v>cooler</x:v>
      </x:c>
      <x:c r="B576" s="34" t="str">
        <x:v>hf-cpu-cooler-42366</x:v>
      </x:c>
      <x:c r="C576" s="34" t="str">
        <x:v>Noctua NH-U9S</x:v>
      </x:c>
      <x:c r="D576" s="34" t="str">
        <x:v>Noctua</x:v>
      </x:c>
      <x:c r="E576" s="82" t="n">
        <x:v>84.44</x:v>
      </x:c>
      <x:c r="F576" s="34" t="str">
        <x:v>USD</x:v>
      </x:c>
      <x:c r="G576" s="34" t="str">
        <x:v>reference</x:v>
      </x:c>
      <x:c r="H576" s="34" t="str">
        <x:v>2026-06-28</x:v>
      </x:c>
      <x:c r="I576" s="34" t="str">
        <x:v>supportedSockets=AM4/AM5/LGA1700/LGA1851; tdpRatingWatts=257; heightMm=155; type=air</x:v>
      </x:c>
      <x:c r="J576" s="34" t="str">
        <x:v>air, 257W, dataset</x:v>
      </x:c>
      <x:c r="K576" s="34" t="str">
        <x:v>Air CPU cooler; cooling capacity is a conservative derived ranking value.</x:v>
      </x:c>
      <x:c r="L576" s="34" t="str">
        <x:v>https://fr.pcpartpicker.com/product/FcfmP6/noctua-nh-u9s-4644-cfm-cpu-cooler-nh-u9s</x:v>
      </x:c>
      <x:c r="M576" s="35" t="str">
        <x:v>https://fr.pcpartpicker.com/product/FcfmP6/noctua-nh-u9s-4644-cfm-cpu-cooler-nh-u9s</x:v>
      </x:c>
    </x:row>
    <x:row r="577">
      <x:c r="A577" s="33" t="str">
        <x:v>cooler</x:v>
      </x:c>
      <x:c r="B577" s="34" t="str">
        <x:v>hf-cpu-cooler-413823</x:v>
      </x:c>
      <x:c r="C577" s="34" t="str">
        <x:v>Thermalright Peerless Assassin 120 SE ARGB</x:v>
      </x:c>
      <x:c r="D577" s="34" t="str">
        <x:v>Thermalright</x:v>
      </x:c>
      <x:c r="E577" s="82" t="n">
        <x:v>37.43</x:v>
      </x:c>
      <x:c r="F577" s="34" t="str">
        <x:v>USD</x:v>
      </x:c>
      <x:c r="G577" s="34" t="str">
        <x:v>reference</x:v>
      </x:c>
      <x:c r="H577" s="34" t="str">
        <x:v>2026-06-28</x:v>
      </x:c>
      <x:c r="I577" s="34" t="str">
        <x:v>supportedSockets=AM4/AM5/LGA1700/LGA1851; tdpRatingWatts=186; heightMm=155; type=air</x:v>
      </x:c>
      <x:c r="J577" s="34" t="str">
        <x:v>air, 186W, dataset</x:v>
      </x:c>
      <x:c r="K577" s="34" t="str">
        <x:v>Air CPU cooler; cooling capacity is a conservative derived ranking value.</x:v>
      </x:c>
      <x:c r="L577" s="34" t="str">
        <x:v>https://fr.pcpartpicker.com/product/zyNxFT/thermalright-peerless-assassin-120-se-argb-6617-cfm-cpu-cooler-pa-120-se-argb</x:v>
      </x:c>
      <x:c r="M577" s="35" t="str">
        <x:v>https://fr.pcpartpicker.com/product/zyNxFT/thermalright-peerless-assassin-120-se-argb-6617-cfm-cpu-cooler-pa-120-se-argb</x:v>
      </x:c>
    </x:row>
    <x:row r="578">
      <x:c r="A578" s="33" t="str">
        <x:v>cooler</x:v>
      </x:c>
      <x:c r="B578" s="34" t="str">
        <x:v>hf-cpu-cooler-333110</x:v>
      </x:c>
      <x:c r="C578" s="34" t="str">
        <x:v>Noctua NH-D15S chromax.black</x:v>
      </x:c>
      <x:c r="D578" s="34" t="str">
        <x:v>Noctua</x:v>
      </x:c>
      <x:c r="E578" s="82" t="n">
        <x:v>130.53</x:v>
      </x:c>
      <x:c r="F578" s="34" t="str">
        <x:v>USD</x:v>
      </x:c>
      <x:c r="G578" s="34" t="str">
        <x:v>reference</x:v>
      </x:c>
      <x:c r="H578" s="34" t="str">
        <x:v>2026-06-28</x:v>
      </x:c>
      <x:c r="I578" s="34" t="str">
        <x:v>supportedSockets=AM4/AM5/LGA1700/LGA1851; tdpRatingWatts=280; heightMm=155; type=air</x:v>
      </x:c>
      <x:c r="J578" s="34" t="str">
        <x:v>air, 280W, dataset</x:v>
      </x:c>
      <x:c r="K578" s="34" t="str">
        <x:v>Air CPU cooler; cooling capacity is a conservative derived ranking value.</x:v>
      </x:c>
      <x:c r="L578" s="34" t="str">
        <x:v>https://fr.pcpartpicker.com/product/R6kgXL/noctua-nh-d15s-chromaxblack-8251-cfm-cpu-cooler-nh-d15s-chromaxblack</x:v>
      </x:c>
      <x:c r="M578" s="35" t="str">
        <x:v>https://fr.pcpartpicker.com/product/R6kgXL/noctua-nh-d15s-chromaxblack-8251-cfm-cpu-cooler-nh-d15s-chromaxblack</x:v>
      </x:c>
    </x:row>
    <x:row r="579">
      <x:c r="A579" s="33" t="str">
        <x:v>cooler</x:v>
      </x:c>
      <x:c r="B579" s="34" t="str">
        <x:v>hf-cpu-cooler-19224</x:v>
      </x:c>
      <x:c r="C579" s="34" t="str">
        <x:v>Noctua NH-U14S</x:v>
      </x:c>
      <x:c r="D579" s="34" t="str">
        <x:v>Noctua</x:v>
      </x:c>
      <x:c r="E579" s="82" t="n">
        <x:v>107.45</x:v>
      </x:c>
      <x:c r="F579" s="34" t="str">
        <x:v>USD</x:v>
      </x:c>
      <x:c r="G579" s="34" t="str">
        <x:v>reference</x:v>
      </x:c>
      <x:c r="H579" s="34" t="str">
        <x:v>2026-06-28</x:v>
      </x:c>
      <x:c r="I579" s="34" t="str">
        <x:v>supportedSockets=AM4/AM5/LGA1700/LGA1851; tdpRatingWatts=280; heightMm=155; type=air</x:v>
      </x:c>
      <x:c r="J579" s="34" t="str">
        <x:v>air, 280W, dataset</x:v>
      </x:c>
      <x:c r="K579" s="34" t="str">
        <x:v>Air CPU cooler; cooling capacity is a conservative derived ranking value.</x:v>
      </x:c>
      <x:c r="L579" s="34" t="str">
        <x:v>https://fr.pcpartpicker.com/product/DMjG3C/noctua-nh-u14s-8252-cfm-cpu-cooler-nh-u14s</x:v>
      </x:c>
      <x:c r="M579" s="35" t="str">
        <x:v>https://fr.pcpartpicker.com/product/DMjG3C/noctua-nh-u14s-8252-cfm-cpu-cooler-nh-u14s</x:v>
      </x:c>
    </x:row>
    <x:row r="580">
      <x:c r="A580" s="33" t="str">
        <x:v>cooler</x:v>
      </x:c>
      <x:c r="B580" s="34" t="str">
        <x:v>hf-cpu-cooler-388984</x:v>
      </x:c>
      <x:c r="C580" s="34" t="str">
        <x:v>Noctua NH-U12A chromax.black</x:v>
      </x:c>
      <x:c r="D580" s="34" t="str">
        <x:v>Noctua</x:v>
      </x:c>
      <x:c r="E580" s="82" t="n">
        <x:v>153.43</x:v>
      </x:c>
      <x:c r="F580" s="34" t="str">
        <x:v>USD</x:v>
      </x:c>
      <x:c r="G580" s="34" t="str">
        <x:v>reference</x:v>
      </x:c>
      <x:c r="H580" s="34" t="str">
        <x:v>2026-06-28</x:v>
      </x:c>
      <x:c r="I580" s="34" t="str">
        <x:v>supportedSockets=AM4/AM5/LGA1700/LGA1851; tdpRatingWatts=280; heightMm=155; type=air</x:v>
      </x:c>
      <x:c r="J580" s="34" t="str">
        <x:v>air, 280W, dataset</x:v>
      </x:c>
      <x:c r="K580" s="34" t="str">
        <x:v>Air CPU cooler; cooling capacity is a conservative derived ranking value.</x:v>
      </x:c>
      <x:c r="L580" s="34" t="str">
        <x:v>https://fr.pcpartpicker.com/product/HCgFf7/noctua-nh-u12a-chromaxblack-6009-cfm-cpu-cooler-nh-u12a-chromaxblack</x:v>
      </x:c>
      <x:c r="M580" s="35" t="str">
        <x:v>https://fr.pcpartpicker.com/product/HCgFf7/noctua-nh-u12a-chromaxblack-6009-cfm-cpu-cooler-nh-u12a-chromaxblack</x:v>
      </x:c>
    </x:row>
    <x:row r="581">
      <x:c r="A581" s="33" t="str">
        <x:v>cooler</x:v>
      </x:c>
      <x:c r="B581" s="34" t="str">
        <x:v>hf-cpu-cooler-230479</x:v>
      </x:c>
      <x:c r="C581" s="34" t="str">
        <x:v>Noctua NH-U12A</x:v>
      </x:c>
      <x:c r="D581" s="34" t="str">
        <x:v>Noctua</x:v>
      </x:c>
      <x:c r="E581" s="82" t="n">
        <x:v>136.7</x:v>
      </x:c>
      <x:c r="F581" s="34" t="str">
        <x:v>USD</x:v>
      </x:c>
      <x:c r="G581" s="34" t="str">
        <x:v>reference</x:v>
      </x:c>
      <x:c r="H581" s="34" t="str">
        <x:v>2026-06-28</x:v>
      </x:c>
      <x:c r="I581" s="34" t="str">
        <x:v>supportedSockets=AM4/AM5/LGA1700/LGA1851; tdpRatingWatts=280; heightMm=155; type=air</x:v>
      </x:c>
      <x:c r="J581" s="34" t="str">
        <x:v>air, 280W, dataset</x:v>
      </x:c>
      <x:c r="K581" s="34" t="str">
        <x:v>Air CPU cooler; cooling capacity is a conservative derived ranking value.</x:v>
      </x:c>
      <x:c r="L581" s="34" t="str">
        <x:v>https://fr.pcpartpicker.com/product/ZLtQzy/noctua-nh-u12a-6009-cfm-cpu-cooler-nh-u12a</x:v>
      </x:c>
      <x:c r="M581" s="35" t="str">
        <x:v>https://fr.pcpartpicker.com/product/ZLtQzy/noctua-nh-u12a-6009-cfm-cpu-cooler-nh-u12a</x:v>
      </x:c>
    </x:row>
    <x:row r="582">
      <x:c r="A582" s="33" t="str">
        <x:v>cooler</x:v>
      </x:c>
      <x:c r="B582" s="34" t="str">
        <x:v>hf-cpu-cooler-151247</x:v>
      </x:c>
      <x:c r="C582" s="34" t="str">
        <x:v>Noctua NH-L9a-AM4</x:v>
      </x:c>
      <x:c r="D582" s="34" t="str">
        <x:v>Noctua</x:v>
      </x:c>
      <x:c r="E582" s="82" t="n">
        <x:v>56.89</x:v>
      </x:c>
      <x:c r="F582" s="34" t="str">
        <x:v>USD</x:v>
      </x:c>
      <x:c r="G582" s="34" t="str">
        <x:v>reference</x:v>
      </x:c>
      <x:c r="H582" s="34" t="str">
        <x:v>2026-06-28</x:v>
      </x:c>
      <x:c r="I582" s="34" t="str">
        <x:v>supportedSockets=AM4/AM5/LGA1700/LGA1851; tdpRatingWatts=215; heightMm=155; type=air</x:v>
      </x:c>
      <x:c r="J582" s="34" t="str">
        <x:v>air, 215W, dataset</x:v>
      </x:c>
      <x:c r="K582" s="34" t="str">
        <x:v>Air CPU cooler; cooling capacity is a conservative derived ranking value.</x:v>
      </x:c>
      <x:c r="L582" s="34" t="str">
        <x:v>https://fr.pcpartpicker.com/product/DZfhP6/noctua-nh-l9a-am4-3384-cfm-cpu-cooler-nh-l9a-am4</x:v>
      </x:c>
      <x:c r="M582" s="35" t="str">
        <x:v>https://fr.pcpartpicker.com/product/DZfhP6/noctua-nh-l9a-am4-3384-cfm-cpu-cooler-nh-l9a-am4</x:v>
      </x:c>
    </x:row>
    <x:row r="583">
      <x:c r="A583" s="33" t="str">
        <x:v>cooler</x:v>
      </x:c>
      <x:c r="B583" s="34" t="str">
        <x:v>hf-cpu-cooler-414625</x:v>
      </x:c>
      <x:c r="C583" s="34" t="str">
        <x:v>ID-COOLING SE-214-XT ARGB</x:v>
      </x:c>
      <x:c r="D583" s="34" t="str">
        <x:v>ID-COOLING</x:v>
      </x:c>
      <x:c r="E583" s="82" t="n">
        <x:v>34.09</x:v>
      </x:c>
      <x:c r="F583" s="34" t="str">
        <x:v>USD</x:v>
      </x:c>
      <x:c r="G583" s="34" t="str">
        <x:v>reference</x:v>
      </x:c>
      <x:c r="H583" s="34" t="str">
        <x:v>2026-06-28</x:v>
      </x:c>
      <x:c r="I583" s="34" t="str">
        <x:v>supportedSockets=AM4/AM5/LGA1700/LGA1851; tdpRatingWatts=181; heightMm=155; type=air</x:v>
      </x:c>
      <x:c r="J583" s="34" t="str">
        <x:v>air, 181W, dataset</x:v>
      </x:c>
      <x:c r="K583" s="34" t="str">
        <x:v>Air CPU cooler; cooling capacity is a conservative derived ranking value.</x:v>
      </x:c>
      <x:c r="L583" s="34" t="str">
        <x:v>https://fr.pcpartpicker.com/product/Zr8bt6/id-cooling-se-214-xt-argb-682-cfm-cpu-cooler-se-214-xt-argb</x:v>
      </x:c>
      <x:c r="M583" s="35" t="str">
        <x:v>https://fr.pcpartpicker.com/product/Zr8bt6/id-cooling-se-214-xt-argb-682-cfm-cpu-cooler-se-214-xt-argb</x:v>
      </x:c>
    </x:row>
    <x:row r="584">
      <x:c r="A584" s="33" t="str">
        <x:v>cooler</x:v>
      </x:c>
      <x:c r="B584" s="34" t="str">
        <x:v>hf-cpu-cooler-402718</x:v>
      </x:c>
      <x:c r="C584" s="34" t="str">
        <x:v>Deepcool AK620</x:v>
      </x:c>
      <x:c r="D584" s="34" t="str">
        <x:v>Deepcool</x:v>
      </x:c>
      <x:c r="E584" s="82" t="n">
        <x:v>79.81</x:v>
      </x:c>
      <x:c r="F584" s="34" t="str">
        <x:v>USD</x:v>
      </x:c>
      <x:c r="G584" s="34" t="str">
        <x:v>reference</x:v>
      </x:c>
      <x:c r="H584" s="34" t="str">
        <x:v>2026-06-28</x:v>
      </x:c>
      <x:c r="I584" s="34" t="str">
        <x:v>supportedSockets=AM4/AM5/LGA1700/LGA1851; tdpRatingWatts=250; heightMm=155; type=air</x:v>
      </x:c>
      <x:c r="J584" s="34" t="str">
        <x:v>air, 250W, dataset</x:v>
      </x:c>
      <x:c r="K584" s="34" t="str">
        <x:v>Air CPU cooler; cooling capacity is a conservative derived ranking value.</x:v>
      </x:c>
      <x:c r="L584" s="34" t="str">
        <x:v>https://fr.pcpartpicker.com/product/9T92FT/deepcool-ak620-6899-cfm-cpu-cooler-r-ak620-bknnmt-g</x:v>
      </x:c>
      <x:c r="M584" s="35" t="str">
        <x:v>https://fr.pcpartpicker.com/product/9T92FT/deepcool-ak620-6899-cfm-cpu-cooler-r-ak620-bknnmt-g</x:v>
      </x:c>
    </x:row>
    <x:row r="585">
      <x:c r="A585" s="33" t="str">
        <x:v>cooler</x:v>
      </x:c>
      <x:c r="B585" s="34" t="str">
        <x:v>hf-cpu-cooler-139366</x:v>
      </x:c>
      <x:c r="C585" s="34" t="str">
        <x:v>Noctua NH-L12S</x:v>
      </x:c>
      <x:c r="D585" s="34" t="str">
        <x:v>Noctua</x:v>
      </x:c>
      <x:c r="E585" s="82" t="n">
        <x:v>84.44</x:v>
      </x:c>
      <x:c r="F585" s="34" t="str">
        <x:v>USD</x:v>
      </x:c>
      <x:c r="G585" s="34" t="str">
        <x:v>reference</x:v>
      </x:c>
      <x:c r="H585" s="34" t="str">
        <x:v>2026-06-28</x:v>
      </x:c>
      <x:c r="I585" s="34" t="str">
        <x:v>supportedSockets=AM4/AM5/LGA1700/LGA1851; tdpRatingWatts=257; heightMm=155; type=air</x:v>
      </x:c>
      <x:c r="J585" s="34" t="str">
        <x:v>air, 257W, dataset</x:v>
      </x:c>
      <x:c r="K585" s="34" t="str">
        <x:v>Air CPU cooler; cooling capacity is a conservative derived ranking value.</x:v>
      </x:c>
      <x:c r="L585" s="34" t="str">
        <x:v>https://fr.pcpartpicker.com/product/hbnG3C/noctua-nh-l12s-5544-cfm-cpu-cooler-nh-l12s</x:v>
      </x:c>
      <x:c r="M585" s="35" t="str">
        <x:v>https://fr.pcpartpicker.com/product/hbnG3C/noctua-nh-l12s-5544-cfm-cpu-cooler-nh-l12s</x:v>
      </x:c>
    </x:row>
    <x:row r="586">
      <x:c r="A586" s="33" t="str">
        <x:v>cooler</x:v>
      </x:c>
      <x:c r="B586" s="34" t="str">
        <x:v>hf-cpu-cooler-496873</x:v>
      </x:c>
      <x:c r="C586" s="34" t="str">
        <x:v>Thermalright Phantom Spirit EVO</x:v>
      </x:c>
      <x:c r="D586" s="34" t="str">
        <x:v>Thermalright</x:v>
      </x:c>
      <x:c r="E586" s="82" t="n">
        <x:v>62.34</x:v>
      </x:c>
      <x:c r="F586" s="34" t="str">
        <x:v>USD</x:v>
      </x:c>
      <x:c r="G586" s="34" t="str">
        <x:v>reference</x:v>
      </x:c>
      <x:c r="H586" s="34" t="str">
        <x:v>2026-06-28</x:v>
      </x:c>
      <x:c r="I586" s="34" t="str">
        <x:v>supportedSockets=AM4/AM5/LGA1700/LGA1851; tdpRatingWatts=224; heightMm=155; type=air</x:v>
      </x:c>
      <x:c r="J586" s="34" t="str">
        <x:v>air, 224W, dataset</x:v>
      </x:c>
      <x:c r="K586" s="34" t="str">
        <x:v>Air CPU cooler; cooling capacity is a conservative derived ranking value.</x:v>
      </x:c>
      <x:c r="L586" s="34" t="str">
        <x:v>https://fr.pcpartpicker.com/product/BRMMnQ/thermalright-phantom-spirit-evo-69-cfm-cpu-cooler-phantom-spirit-120-evo</x:v>
      </x:c>
      <x:c r="M586" s="35" t="str">
        <x:v>https://fr.pcpartpicker.com/product/BRMMnQ/thermalright-phantom-spirit-evo-69-cfm-cpu-cooler-phantom-spirit-120-evo</x:v>
      </x:c>
    </x:row>
    <x:row r="587">
      <x:c r="A587" s="33" t="str">
        <x:v>cooler</x:v>
      </x:c>
      <x:c r="B587" s="34" t="str">
        <x:v>hf-cpu-cooler-493726</x:v>
      </x:c>
      <x:c r="C587" s="34" t="str">
        <x:v>Thermalright Aqua Elite V3</x:v>
      </x:c>
      <x:c r="D587" s="34" t="str">
        <x:v>Thermalright</x:v>
      </x:c>
      <x:c r="E587" s="82" t="n">
        <x:v>65.68</x:v>
      </x:c>
      <x:c r="F587" s="34" t="str">
        <x:v>USD</x:v>
      </x:c>
      <x:c r="G587" s="34" t="str">
        <x:v>reference</x:v>
      </x:c>
      <x:c r="H587" s="34" t="str">
        <x:v>2026-06-28</x:v>
      </x:c>
      <x:c r="I587" s="34" t="str">
        <x:v>supportedSockets=AM4/AM5/LGA1700/LGA1851; tdpRatingWatts=324; type=aio</x:v>
      </x:c>
      <x:c r="J587" s="34" t="str">
        <x:v>aio, 324W, dataset</x:v>
      </x:c>
      <x:c r="K587" s="34" t="str">
        <x:v>Liquid CPU cooler; cooling capacity is a conservative derived ranking value.</x:v>
      </x:c>
      <x:c r="L587" s="34" t="str">
        <x:v>https://fr.pcpartpicker.com/product/ZQBzK8/thermalright-aqua-elite-v3-6617-cfm-liquid-cpu-cooler-aqua-elite-360-black-v3</x:v>
      </x:c>
      <x:c r="M587" s="35" t="str">
        <x:v>https://fr.pcpartpicker.com/product/ZQBzK8/thermalright-aqua-elite-v3-6617-cfm-liquid-cpu-cooler-aqua-elite-360-black-v3</x:v>
      </x:c>
    </x:row>
    <x:row r="588">
      <x:c r="A588" s="33" t="str">
        <x:v>cooler</x:v>
      </x:c>
      <x:c r="B588" s="34" t="str">
        <x:v>hf-cpu-cooler-437123</x:v>
      </x:c>
      <x:c r="C588" s="34" t="str">
        <x:v>Deepcool AK620 ZERO DARK</x:v>
      </x:c>
      <x:c r="D588" s="34" t="str">
        <x:v>Deepcool</x:v>
      </x:c>
      <x:c r="E588" s="82" t="n">
        <x:v>77.98</x:v>
      </x:c>
      <x:c r="F588" s="34" t="str">
        <x:v>USD</x:v>
      </x:c>
      <x:c r="G588" s="34" t="str">
        <x:v>reference</x:v>
      </x:c>
      <x:c r="H588" s="34" t="str">
        <x:v>2026-06-28</x:v>
      </x:c>
      <x:c r="I588" s="34" t="str">
        <x:v>supportedSockets=AM4/AM5/LGA1700/LGA1851; tdpRatingWatts=247; heightMm=155; type=air</x:v>
      </x:c>
      <x:c r="J588" s="34" t="str">
        <x:v>air, 247W, dataset</x:v>
      </x:c>
      <x:c r="K588" s="34" t="str">
        <x:v>Air CPU cooler; cooling capacity is a conservative derived ranking value.</x:v>
      </x:c>
      <x:c r="L588" s="34" t="str">
        <x:v>https://fr.pcpartpicker.com/product/7J6p99/deepcool-ak620-zero-dark-6899-cfm-cpu-cooler-r-ak620-bknnmt-g-1</x:v>
      </x:c>
      <x:c r="M588" s="35" t="str">
        <x:v>https://fr.pcpartpicker.com/product/7J6p99/deepcool-ak620-zero-dark-6899-cfm-cpu-cooler-r-ak620-bknnmt-g-1</x:v>
      </x:c>
    </x:row>
    <x:row r="589">
      <x:c r="A589" s="33" t="str">
        <x:v>cooler</x:v>
      </x:c>
      <x:c r="B589" s="34" t="str">
        <x:v>hf-cpu-cooler-482772</x:v>
      </x:c>
      <x:c r="C589" s="34" t="str">
        <x:v>Thermalright Phantom Spirit 120</x:v>
      </x:c>
      <x:c r="D589" s="34" t="str">
        <x:v>Thermalright</x:v>
      </x:c>
      <x:c r="E589" s="82" t="n">
        <x:v>38.99</x:v>
      </x:c>
      <x:c r="F589" s="34" t="str">
        <x:v>USD</x:v>
      </x:c>
      <x:c r="G589" s="34" t="str">
        <x:v>reference</x:v>
      </x:c>
      <x:c r="H589" s="34" t="str">
        <x:v>2026-06-28</x:v>
      </x:c>
      <x:c r="I589" s="34" t="str">
        <x:v>supportedSockets=AM4/AM5/LGA1700/LGA1851; tdpRatingWatts=188; heightMm=155; type=air</x:v>
      </x:c>
      <x:c r="J589" s="34" t="str">
        <x:v>air, 188W, dataset</x:v>
      </x:c>
      <x:c r="K589" s="34" t="str">
        <x:v>Air CPU cooler; cooling capacity is a conservative derived ranking value.</x:v>
      </x:c>
      <x:c r="L589" s="34" t="str">
        <x:v>https://fr.pcpartpicker.com/product/zkWJ7P/thermalright-phantom-spirit-120-6617-cfm-cpu-cooler-ps120</x:v>
      </x:c>
      <x:c r="M589" s="35" t="str">
        <x:v>https://fr.pcpartpicker.com/product/zkWJ7P/thermalright-phantom-spirit-120-6617-cfm-cpu-cooler-ps120</x:v>
      </x:c>
    </x:row>
    <x:row r="590">
      <x:c r="A590" s="33" t="str">
        <x:v>cooler</x:v>
      </x:c>
      <x:c r="B590" s="34" t="str">
        <x:v>hf-cpu-cooler-42185</x:v>
      </x:c>
      <x:c r="C590" s="34" t="str">
        <x:v>Noctua NH-D9L</x:v>
      </x:c>
      <x:c r="D590" s="34" t="str">
        <x:v>Noctua</x:v>
      </x:c>
      <x:c r="E590" s="82" t="n">
        <x:v>68.29</x:v>
      </x:c>
      <x:c r="F590" s="34" t="str">
        <x:v>USD</x:v>
      </x:c>
      <x:c r="G590" s="34" t="str">
        <x:v>reference</x:v>
      </x:c>
      <x:c r="H590" s="34" t="str">
        <x:v>2026-06-28</x:v>
      </x:c>
      <x:c r="I590" s="34" t="str">
        <x:v>supportedSockets=AM4/AM5/LGA1700/LGA1851; tdpRatingWatts=232; heightMm=155; type=air</x:v>
      </x:c>
      <x:c r="J590" s="34" t="str">
        <x:v>air, 232W, dataset</x:v>
      </x:c>
      <x:c r="K590" s="34" t="str">
        <x:v>Air CPU cooler; cooling capacity is a conservative derived ranking value.</x:v>
      </x:c>
      <x:c r="L590" s="34" t="str">
        <x:v>https://fr.pcpartpicker.com/product/8pgPxr/noctua-nh-d9l-4644-cfm-cpu-cooler-nh-d9l</x:v>
      </x:c>
      <x:c r="M590" s="35" t="str">
        <x:v>https://fr.pcpartpicker.com/product/8pgPxr/noctua-nh-d9l-4644-cfm-cpu-cooler-nh-d9l</x:v>
      </x:c>
    </x:row>
    <x:row r="591">
      <x:c r="A591" s="33" t="str">
        <x:v>cooler</x:v>
      </x:c>
      <x:c r="B591" s="34" t="str">
        <x:v>hf-cpu-cooler-484027</x:v>
      </x:c>
      <x:c r="C591" s="34" t="str">
        <x:v>Thermalright Frozen Notte ARGB</x:v>
      </x:c>
      <x:c r="D591" s="34" t="str">
        <x:v>Thermalright</x:v>
      </x:c>
      <x:c r="E591" s="82" t="n">
        <x:v>51.01</x:v>
      </x:c>
      <x:c r="F591" s="34" t="str">
        <x:v>USD</x:v>
      </x:c>
      <x:c r="G591" s="34" t="str">
        <x:v>reference</x:v>
      </x:c>
      <x:c r="H591" s="34" t="str">
        <x:v>2026-06-28</x:v>
      </x:c>
      <x:c r="I591" s="34" t="str">
        <x:v>supportedSockets=AM4/AM5/LGA1700/LGA1851; tdpRatingWatts=324; type=aio</x:v>
      </x:c>
      <x:c r="J591" s="34" t="str">
        <x:v>aio, 324W, dataset</x:v>
      </x:c>
      <x:c r="K591" s="34" t="str">
        <x:v>Liquid CPU cooler; cooling capacity is a conservative derived ranking value.</x:v>
      </x:c>
      <x:c r="L591" s="34" t="str">
        <x:v>https://fr.pcpartpicker.com/product/RD7scf/thermalright-frozen-notte-argb-7237-cfm-liquid-cpu-cooler-frozen-notte-360-black-argb-d1</x:v>
      </x:c>
      <x:c r="M591" s="35" t="str">
        <x:v>https://fr.pcpartpicker.com/product/RD7scf/thermalright-frozen-notte-argb-7237-cfm-liquid-cpu-cooler-frozen-notte-360-black-argb-d1</x:v>
      </x:c>
    </x:row>
    <x:row r="592">
      <x:c r="A592" s="33" t="str">
        <x:v>cooler</x:v>
      </x:c>
      <x:c r="B592" s="34" t="str">
        <x:v>hf-cpu-cooler-414135</x:v>
      </x:c>
      <x:c r="C592" s="34" t="str">
        <x:v>Deepcool AK400</x:v>
      </x:c>
      <x:c r="D592" s="34" t="str">
        <x:v>Deepcool</x:v>
      </x:c>
      <x:c r="E592" s="82" t="n">
        <x:v>49.77</x:v>
      </x:c>
      <x:c r="F592" s="34" t="str">
        <x:v>USD</x:v>
      </x:c>
      <x:c r="G592" s="34" t="str">
        <x:v>reference</x:v>
      </x:c>
      <x:c r="H592" s="34" t="str">
        <x:v>2026-06-28</x:v>
      </x:c>
      <x:c r="I592" s="34" t="str">
        <x:v>supportedSockets=AM4/AM5/LGA1700/LGA1851; tdpRatingWatts=205; heightMm=155; type=air</x:v>
      </x:c>
      <x:c r="J592" s="34" t="str">
        <x:v>air, 205W, dataset</x:v>
      </x:c>
      <x:c r="K592" s="34" t="str">
        <x:v>Air CPU cooler; cooling capacity is a conservative derived ranking value.</x:v>
      </x:c>
      <x:c r="L592" s="34" t="str">
        <x:v>https://fr.pcpartpicker.com/product/QPkWGX/deepcool-ak400-6647-cfm-cpu-cooler-r-ak400-bknnmn-g-1</x:v>
      </x:c>
      <x:c r="M592" s="35" t="str">
        <x:v>https://fr.pcpartpicker.com/product/QPkWGX/deepcool-ak400-6647-cfm-cpu-cooler-r-ak400-bknnmn-g-1</x:v>
      </x:c>
    </x:row>
    <x:row r="593">
      <x:c r="A593" s="33" t="str">
        <x:v>cooler</x:v>
      </x:c>
      <x:c r="B593" s="34" t="str">
        <x:v>hf-cpu-cooler-578016</x:v>
      </x:c>
      <x:c r="C593" s="34" t="str">
        <x:v>ARCTIC Liquid Freezer III Pro A-RGB 360</x:v>
      </x:c>
      <x:c r="D593" s="34" t="str">
        <x:v>ARCTIC</x:v>
      </x:c>
      <x:c r="E593" s="82" t="n">
        <x:v>103.17</x:v>
      </x:c>
      <x:c r="F593" s="34" t="str">
        <x:v>USD</x:v>
      </x:c>
      <x:c r="G593" s="34" t="str">
        <x:v>reference</x:v>
      </x:c>
      <x:c r="H593" s="34" t="str">
        <x:v>2026-06-28</x:v>
      </x:c>
      <x:c r="I593" s="34" t="str">
        <x:v>supportedSockets=AM4/AM5/LGA1700/LGA1851; tdpRatingWatts=324; type=aio</x:v>
      </x:c>
      <x:c r="J593" s="34" t="str">
        <x:v>aio, 324W, dataset</x:v>
      </x:c>
      <x:c r="K593" s="34" t="str">
        <x:v>Liquid CPU cooler; cooling capacity is a conservative derived ranking value.</x:v>
      </x:c>
      <x:c r="L593" s="34" t="str">
        <x:v>https://fr.pcpartpicker.com/product/Xh9nTW/arctic-liquid-freezer-iii-pro-a-rgb-360-77-cfm-liquid-cpu-cooler-acfre00184a</x:v>
      </x:c>
      <x:c r="M593" s="35" t="str">
        <x:v>https://fr.pcpartpicker.com/product/Xh9nTW/arctic-liquid-freezer-iii-pro-a-rgb-360-77-cfm-liquid-cpu-cooler-acfre00184a</x:v>
      </x:c>
    </x:row>
    <x:row r="594">
      <x:c r="A594" s="33" t="str">
        <x:v>cooler</x:v>
      </x:c>
      <x:c r="B594" s="34" t="str">
        <x:v>hf-cpu-cooler-48109</x:v>
      </x:c>
      <x:c r="C594" s="34" t="str">
        <x:v>Noctua NH-C14S</x:v>
      </x:c>
      <x:c r="D594" s="34" t="str">
        <x:v>Noctua</x:v>
      </x:c>
      <x:c r="E594" s="82" t="n">
        <x:v>102.49</x:v>
      </x:c>
      <x:c r="F594" s="34" t="str">
        <x:v>USD</x:v>
      </x:c>
      <x:c r="G594" s="34" t="str">
        <x:v>reference</x:v>
      </x:c>
      <x:c r="H594" s="34" t="str">
        <x:v>2026-06-28</x:v>
      </x:c>
      <x:c r="I594" s="34" t="str">
        <x:v>supportedSockets=AM4/AM5/LGA1700/LGA1851; tdpRatingWatts=280; heightMm=155; type=air</x:v>
      </x:c>
      <x:c r="J594" s="34" t="str">
        <x:v>air, 280W, dataset</x:v>
      </x:c>
      <x:c r="K594" s="34" t="str">
        <x:v>Air CPU cooler; cooling capacity is a conservative derived ranking value.</x:v>
      </x:c>
      <x:c r="L594" s="34" t="str">
        <x:v>https://fr.pcpartpicker.com/product/kykwrH/noctua-nh-c14s-8252-cfm-cpu-cooler-nh-c14s</x:v>
      </x:c>
      <x:c r="M594" s="35" t="str">
        <x:v>https://fr.pcpartpicker.com/product/kykwrH/noctua-nh-c14s-8252-cfm-cpu-cooler-nh-c14s</x:v>
      </x:c>
    </x:row>
    <x:row r="595">
      <x:c r="A595" s="33" t="str">
        <x:v>cooler</x:v>
      </x:c>
      <x:c r="B595" s="34" t="str">
        <x:v>hf-cpu-cooler-10326</x:v>
      </x:c>
      <x:c r="C595" s="34" t="str">
        <x:v>Zalman CNPS5X Performa</x:v>
      </x:c>
      <x:c r="D595" s="34" t="str">
        <x:v>Zalman</x:v>
      </x:c>
      <x:c r="E595" s="82" t="n">
        <x:v>23.7</x:v>
      </x:c>
      <x:c r="F595" s="34" t="str">
        <x:v>USD</x:v>
      </x:c>
      <x:c r="G595" s="34" t="str">
        <x:v>reference</x:v>
      </x:c>
      <x:c r="H595" s="34" t="str">
        <x:v>2026-06-28</x:v>
      </x:c>
      <x:c r="I595" s="34" t="str">
        <x:v>supportedSockets=AM4/AM5/LGA1700/LGA1851; tdpRatingWatts=166; heightMm=155; type=air</x:v>
      </x:c>
      <x:c r="J595" s="34" t="str">
        <x:v>air, 166W, dataset</x:v>
      </x:c>
      <x:c r="K595" s="34" t="str">
        <x:v>Air CPU cooler; cooling capacity is a conservative derived ranking value.</x:v>
      </x:c>
      <x:c r="L595" s="34" t="str">
        <x:v>https://fr.pcpartpicker.com/product/6yMFf7/zalman-cpu-cooler-cnps5xperforma</x:v>
      </x:c>
      <x:c r="M595" s="35" t="str">
        <x:v>https://fr.pcpartpicker.com/product/6yMFf7/zalman-cpu-cooler-cnps5xperforma</x:v>
      </x:c>
    </x:row>
    <x:row r="596">
      <x:c r="A596" s="33" t="str">
        <x:v>cooler</x:v>
      </x:c>
      <x:c r="B596" s="34" t="str">
        <x:v>hf-cpu-cooler-481667</x:v>
      </x:c>
      <x:c r="C596" s="34" t="str">
        <x:v>Lian Li Galahad II Trinity SL-INF</x:v>
      </x:c>
      <x:c r="D596" s="34" t="str">
        <x:v>Lian Li</x:v>
      </x:c>
      <x:c r="E596" s="82" t="n">
        <x:v>225.74</x:v>
      </x:c>
      <x:c r="F596" s="34" t="str">
        <x:v>USD</x:v>
      </x:c>
      <x:c r="G596" s="34" t="str">
        <x:v>reference</x:v>
      </x:c>
      <x:c r="H596" s="34" t="str">
        <x:v>2026-06-28</x:v>
      </x:c>
      <x:c r="I596" s="34" t="str">
        <x:v>supportedSockets=AM4/AM5/LGA1700/LGA1851; tdpRatingWatts=324; type=aio</x:v>
      </x:c>
      <x:c r="J596" s="34" t="str">
        <x:v>aio, 324W, dataset</x:v>
      </x:c>
      <x:c r="K596" s="34" t="str">
        <x:v>Liquid CPU cooler; cooling capacity is a conservative derived ranking value.</x:v>
      </x:c>
      <x:c r="L596" s="34" t="str">
        <x:v>https://fr.pcpartpicker.com/product/hQfxFT/lian-li-galahad-ii-trinity-sl-inf-613-cfm-liquid-cpu-cooler-ga2t36inb</x:v>
      </x:c>
      <x:c r="M596" s="35" t="str">
        <x:v>https://fr.pcpartpicker.com/product/hQfxFT/lian-li-galahad-ii-trinity-sl-inf-613-cfm-liquid-cpu-cooler-ga2t36inb</x:v>
      </x:c>
    </x:row>
    <x:row r="597">
      <x:c r="A597" s="33" t="str">
        <x:v>cooler</x:v>
      </x:c>
      <x:c r="B597" s="34" t="str">
        <x:v>hf-cpu-cooler-247201</x:v>
      </x:c>
      <x:c r="C597" s="34" t="str">
        <x:v>be quiet! Dark Rock Slim</x:v>
      </x:c>
      <x:c r="D597" s="34" t="str">
        <x:v>be quiet!</x:v>
      </x:c>
      <x:c r="E597" s="82" t="n">
        <x:v>69.8</x:v>
      </x:c>
      <x:c r="F597" s="34" t="str">
        <x:v>USD</x:v>
      </x:c>
      <x:c r="G597" s="34" t="str">
        <x:v>reference</x:v>
      </x:c>
      <x:c r="H597" s="34" t="str">
        <x:v>2026-06-28</x:v>
      </x:c>
      <x:c r="I597" s="34" t="str">
        <x:v>supportedSockets=AM4/AM5/LGA1700/LGA1851; tdpRatingWatts=235; heightMm=155; type=air</x:v>
      </x:c>
      <x:c r="J597" s="34" t="str">
        <x:v>air, 235W, dataset</x:v>
      </x:c>
      <x:c r="K597" s="34" t="str">
        <x:v>Air CPU cooler; cooling capacity is a conservative derived ranking value.</x:v>
      </x:c>
      <x:c r="L597" s="34" t="str">
        <x:v>https://fr.pcpartpicker.com/product/krxbt6/be-quiet-dark-rock-slim-cpu-cooler-bk024</x:v>
      </x:c>
      <x:c r="M597" s="35" t="str">
        <x:v>https://fr.pcpartpicker.com/product/krxbt6/be-quiet-dark-rock-slim-cpu-cooler-bk024</x:v>
      </x:c>
    </x:row>
    <x:row r="598">
      <x:c r="A598" s="33" t="str">
        <x:v>cooler</x:v>
      </x:c>
      <x:c r="B598" s="34" t="str">
        <x:v>hf-cpu-cooler-386661</x:v>
      </x:c>
      <x:c r="C598" s="34" t="str">
        <x:v>Thermalright Peerless Assassin 120 Black</x:v>
      </x:c>
      <x:c r="D598" s="34" t="str">
        <x:v>Thermalright</x:v>
      </x:c>
      <x:c r="E598" s="82" t="n">
        <x:v>36.47</x:v>
      </x:c>
      <x:c r="F598" s="34" t="str">
        <x:v>USD</x:v>
      </x:c>
      <x:c r="G598" s="34" t="str">
        <x:v>reference</x:v>
      </x:c>
      <x:c r="H598" s="34" t="str">
        <x:v>2026-06-28</x:v>
      </x:c>
      <x:c r="I598" s="34" t="str">
        <x:v>supportedSockets=AM4/AM5/LGA1700/LGA1851; tdpRatingWatts=185; heightMm=155; type=air</x:v>
      </x:c>
      <x:c r="J598" s="34" t="str">
        <x:v>air, 185W, dataset</x:v>
      </x:c>
      <x:c r="K598" s="34" t="str">
        <x:v>Air CPU cooler; cooling capacity is a conservative derived ranking value.</x:v>
      </x:c>
      <x:c r="L598" s="34" t="str">
        <x:v>https://fr.pcpartpicker.com/product/YxVmP6/thermalright-peerless-assassin-120-black-6617-cfm-cpu-cooler-pa120-black</x:v>
      </x:c>
      <x:c r="M598" s="35" t="str">
        <x:v>https://fr.pcpartpicker.com/product/YxVmP6/thermalright-peerless-assassin-120-black-6617-cfm-cpu-cooler-pa120-black</x:v>
      </x:c>
    </x:row>
    <x:row r="599">
      <x:c r="A599" s="33" t="str">
        <x:v>cooler</x:v>
      </x:c>
      <x:c r="B599" s="34" t="str">
        <x:v>hf-cpu-cooler-224008</x:v>
      </x:c>
      <x:c r="C599" s="34" t="str">
        <x:v>ARCTIC Freezer 34 eSports DUO</x:v>
      </x:c>
      <x:c r="D599" s="34" t="str">
        <x:v>ARCTIC</x:v>
      </x:c>
      <x:c r="E599" s="82" t="n">
        <x:v>112.37</x:v>
      </x:c>
      <x:c r="F599" s="34" t="str">
        <x:v>USD</x:v>
      </x:c>
      <x:c r="G599" s="34" t="str">
        <x:v>reference</x:v>
      </x:c>
      <x:c r="H599" s="34" t="str">
        <x:v>2026-06-28</x:v>
      </x:c>
      <x:c r="I599" s="34" t="str">
        <x:v>supportedSockets=AM4/AM5/LGA1700/LGA1851; tdpRatingWatts=280; heightMm=155; type=air</x:v>
      </x:c>
      <x:c r="J599" s="34" t="str">
        <x:v>air, 280W, dataset</x:v>
      </x:c>
      <x:c r="K599" s="34" t="str">
        <x:v>Air CPU cooler; cooling capacity is a conservative derived ranking value.</x:v>
      </x:c>
      <x:c r="L599" s="34" t="str">
        <x:v>https://fr.pcpartpicker.com/product/dmXnTW/arctic-freezer-34-esports-duo-cpu-cooler-acfre00060a</x:v>
      </x:c>
      <x:c r="M599" s="35" t="str">
        <x:v>https://fr.pcpartpicker.com/product/dmXnTW/arctic-freezer-34-esports-duo-cpu-cooler-acfre00060a</x:v>
      </x:c>
    </x:row>
    <x:row r="600">
      <x:c r="A600" s="33" t="str">
        <x:v>cooler</x:v>
      </x:c>
      <x:c r="B600" s="34" t="str">
        <x:v>hf-cpu-cooler-278064</x:v>
      </x:c>
      <x:c r="C600" s="34" t="str">
        <x:v>Noctua NH-L9a-AM4 chromax.black</x:v>
      </x:c>
      <x:c r="D600" s="34" t="str">
        <x:v>Noctua</x:v>
      </x:c>
      <x:c r="E600" s="82" t="n">
        <x:v>68.35</x:v>
      </x:c>
      <x:c r="F600" s="34" t="str">
        <x:v>USD</x:v>
      </x:c>
      <x:c r="G600" s="34" t="str">
        <x:v>reference</x:v>
      </x:c>
      <x:c r="H600" s="34" t="str">
        <x:v>2026-06-28</x:v>
      </x:c>
      <x:c r="I600" s="34" t="str">
        <x:v>supportedSockets=AM4/AM5/LGA1700/LGA1851; tdpRatingWatts=233; heightMm=155; type=air</x:v>
      </x:c>
      <x:c r="J600" s="34" t="str">
        <x:v>air, 233W, dataset</x:v>
      </x:c>
      <x:c r="K600" s="34" t="str">
        <x:v>Air CPU cooler; cooling capacity is a conservative derived ranking value.</x:v>
      </x:c>
      <x:c r="L600" s="34" t="str">
        <x:v>https://fr.pcpartpicker.com/product/HZXYcf/noctua-nh-l9a-am4-chromaxblack-338-cfm-cpu-cooler-nh-l9a-am4-chromaxblack</x:v>
      </x:c>
      <x:c r="M600" s="35" t="str">
        <x:v>https://fr.pcpartpicker.com/product/HZXYcf/noctua-nh-l9a-am4-chromaxblack-338-cfm-cpu-cooler-nh-l9a-am4-chromaxblack</x:v>
      </x:c>
    </x:row>
    <x:row r="601">
      <x:c r="A601" s="33" t="str">
        <x:v>cooler</x:v>
      </x:c>
      <x:c r="B601" s="34" t="str">
        <x:v>hf-cpu-cooler-439623</x:v>
      </x:c>
      <x:c r="C601" s="34" t="str">
        <x:v>Deepcool LT520</x:v>
      </x:c>
      <x:c r="D601" s="34" t="str">
        <x:v>Deepcool</x:v>
      </x:c>
      <x:c r="E601" s="82" t="n">
        <x:v>114.92</x:v>
      </x:c>
      <x:c r="F601" s="34" t="str">
        <x:v>USD</x:v>
      </x:c>
      <x:c r="G601" s="34" t="str">
        <x:v>reference</x:v>
      </x:c>
      <x:c r="H601" s="34" t="str">
        <x:v>2026-06-28</x:v>
      </x:c>
      <x:c r="I601" s="34" t="str">
        <x:v>supportedSockets=AM4/AM5/LGA1700/LGA1851; tdpRatingWatts=216; type=aio</x:v>
      </x:c>
      <x:c r="J601" s="34" t="str">
        <x:v>aio, 216W, dataset</x:v>
      </x:c>
      <x:c r="K601" s="34" t="str">
        <x:v>Liquid CPU cooler; cooling capacity is a conservative derived ranking value.</x:v>
      </x:c>
      <x:c r="L601" s="34" t="str">
        <x:v>https://fr.pcpartpicker.com/product/WhWzK8/deepcool-lt520-8585-cfm-liquid-cpu-cooler-r-lt520-bkamnf-g-1</x:v>
      </x:c>
      <x:c r="M601" s="35" t="str">
        <x:v>https://fr.pcpartpicker.com/product/WhWzK8/deepcool-lt520-8585-cfm-liquid-cpu-cooler-r-lt520-bkamnf-g-1</x:v>
      </x:c>
    </x:row>
    <x:row r="602">
      <x:c r="A602" s="33" t="str">
        <x:v>cooler</x:v>
      </x:c>
      <x:c r="B602" s="34" t="str">
        <x:v>hf-cpu-cooler-333111</x:v>
      </x:c>
      <x:c r="C602" s="34" t="str">
        <x:v>Noctua NH-U9S chromax.black</x:v>
      </x:c>
      <x:c r="D602" s="34" t="str">
        <x:v>Noctua</x:v>
      </x:c>
      <x:c r="E602" s="82" t="n">
        <x:v>104.66</x:v>
      </x:c>
      <x:c r="F602" s="34" t="str">
        <x:v>USD</x:v>
      </x:c>
      <x:c r="G602" s="34" t="str">
        <x:v>reference</x:v>
      </x:c>
      <x:c r="H602" s="34" t="str">
        <x:v>2026-06-28</x:v>
      </x:c>
      <x:c r="I602" s="34" t="str">
        <x:v>supportedSockets=AM4/AM5/LGA1700/LGA1851; tdpRatingWatts=280; heightMm=155; type=air</x:v>
      </x:c>
      <x:c r="J602" s="34" t="str">
        <x:v>air, 280W, dataset</x:v>
      </x:c>
      <x:c r="K602" s="34" t="str">
        <x:v>Air CPU cooler; cooling capacity is a conservative derived ranking value.</x:v>
      </x:c>
      <x:c r="L602" s="34" t="str">
        <x:v>https://fr.pcpartpicker.com/product/9pfFf7/noctua-nh-u9s-chromaxblack-464-cfm-cpu-cooler-nh-u9s-chromaxblack</x:v>
      </x:c>
      <x:c r="M602" s="35" t="str">
        <x:v>https://fr.pcpartpicker.com/product/9pfFf7/noctua-nh-u9s-chromaxblack-464-cfm-cpu-cooler-nh-u9s-chromaxblack</x:v>
      </x:c>
    </x:row>
    <x:row r="603">
      <x:c r="A603" s="33" t="str">
        <x:v>cooler</x:v>
      </x:c>
      <x:c r="B603" s="34" t="str">
        <x:v>hf-cpu-cooler-515727</x:v>
      </x:c>
      <x:c r="C603" s="34" t="str">
        <x:v>ARCTIC Freezer 36</x:v>
      </x:c>
      <x:c r="D603" s="34" t="str">
        <x:v>ARCTIC</x:v>
      </x:c>
      <x:c r="E603" s="82" t="n">
        <x:v>38.18</x:v>
      </x:c>
      <x:c r="F603" s="34" t="str">
        <x:v>USD</x:v>
      </x:c>
      <x:c r="G603" s="34" t="str">
        <x:v>reference</x:v>
      </x:c>
      <x:c r="H603" s="34" t="str">
        <x:v>2026-06-28</x:v>
      </x:c>
      <x:c r="I603" s="34" t="str">
        <x:v>supportedSockets=AM4/AM5/LGA1700/LGA1851; tdpRatingWatts=187; heightMm=155; type=air</x:v>
      </x:c>
      <x:c r="J603" s="34" t="str">
        <x:v>air, 187W, dataset</x:v>
      </x:c>
      <x:c r="K603" s="34" t="str">
        <x:v>Air CPU cooler; cooling capacity is a conservative derived ranking value.</x:v>
      </x:c>
      <x:c r="L603" s="34" t="str">
        <x:v>https://fr.pcpartpicker.com/product/N6bRsY/arctic-freezer-36-cpu-cooler-acfre00123a</x:v>
      </x:c>
      <x:c r="M603" s="35" t="str">
        <x:v>https://fr.pcpartpicker.com/product/N6bRsY/arctic-freezer-36-cpu-cooler-acfre00123a</x:v>
      </x:c>
    </x:row>
    <x:row r="604">
      <x:c r="A604" s="33" t="str">
        <x:v>cooler</x:v>
      </x:c>
      <x:c r="B604" s="34" t="str">
        <x:v>hf-cpu-cooler-478527</x:v>
      </x:c>
      <x:c r="C604" s="34" t="str">
        <x:v>AMD Wraith Prism</x:v>
      </x:c>
      <x:c r="D604" s="34" t="str">
        <x:v>AMD</x:v>
      </x:c>
      <x:c r="E604" s="82" t="n">
        <x:v>29.06</x:v>
      </x:c>
      <x:c r="F604" s="34" t="str">
        <x:v>USD</x:v>
      </x:c>
      <x:c r="G604" s="34" t="str">
        <x:v>reference</x:v>
      </x:c>
      <x:c r="H604" s="34" t="str">
        <x:v>2026-06-28</x:v>
      </x:c>
      <x:c r="I604" s="34" t="str">
        <x:v>supportedSockets=AM4/AM5/LGA1700/LGA1851; tdpRatingWatts=174; heightMm=155; type=air</x:v>
      </x:c>
      <x:c r="J604" s="34" t="str">
        <x:v>air, 174W, dataset</x:v>
      </x:c>
      <x:c r="K604" s="34" t="str">
        <x:v>Air CPU cooler; cooling capacity is a conservative derived ranking value.</x:v>
      </x:c>
      <x:c r="L604" s="34" t="str">
        <x:v>https://fr.pcpartpicker.com/product/3WfxFT/amd-wraith-prism-2800-cfm-cpu-cooler-199-999888</x:v>
      </x:c>
      <x:c r="M604" s="35" t="str">
        <x:v>https://fr.pcpartpicker.com/product/3WfxFT/amd-wraith-prism-2800-cfm-cpu-cooler-199-999888</x:v>
      </x:c>
    </x:row>
    <x:row r="605">
      <x:c r="A605" s="33" t="str">
        <x:v>cooler</x:v>
      </x:c>
      <x:c r="B605" s="34" t="str">
        <x:v>ca-newegg-cooler-thermalright-peerless-assassin-120-se-argb-cpu-air-cooler-6-heat-pipes</x:v>
      </x:c>
      <x:c r="C605" s="34" t="str">
        <x:v>Thermalright Peerless Assassin 120 SE ARGB CPU Air Cooler,6 Heat Pipes Aluminium Heatsink Cover, for Intel 1700/115X/1200, AMD AM4/AM5</x:v>
      </x:c>
      <x:c r="D605" s="34" t="str">
        <x:v>Thermalright</x:v>
      </x:c>
      <x:c r="E605" s="82" t="n">
        <x:v>48.65</x:v>
      </x:c>
      <x:c r="F605" s="34" t="str">
        <x:v>USD</x:v>
      </x:c>
      <x:c r="G605" s="34" t="str">
        <x:v>retail</x:v>
      </x:c>
      <x:c r="H605" s="34" t="str">
        <x:v>2026-06-29</x:v>
      </x:c>
      <x:c r="I605" s="34" t="str">
        <x:v>supportedSockets=AM4/AM5/LGA1700/LGA1200; tdpRatingWatts=203; heightMm=155; type=air</x:v>
      </x:c>
      <x:c r="J605" s="34" t="str">
        <x:v>air, 203W, ca-retail, rgb, airflow, quiet</x:v>
      </x:c>
      <x:c r="K605" s="34" t="str">
        <x:v>Air CPU cooler from CA retailer; cooling capacity conservatively derived.</x:v>
      </x:c>
      <x:c r="L605" s="34" t="str">
        <x:v>https://www.newegg.ca/p/9SIBVHYK8J3716</x:v>
      </x:c>
      <x:c r="M605" s="35" t="str">
        <x:v>https://www.newegg.ca/p/9SIBVHYK8J3716</x:v>
      </x:c>
    </x:row>
    <x:row r="606">
      <x:c r="A606" s="33" t="str">
        <x:v>cooler</x:v>
      </x:c>
      <x:c r="B606" s="34" t="str">
        <x:v>ca-newegg-cooler-thermalright-peerless-assassin-120-se-argb-v2-cpu-air-cooler-6-heat-pi</x:v>
      </x:c>
      <x:c r="C606" s="34" t="str">
        <x:v>Thermalright Peerless Assassin 120 SE ARGB V2 CPU Air Cooler - 6 Heat Pipes AGHP GEN 5.0 Technology | 1850RPM PWM 120mm Fans, for Intel 1851/1700/115X/1200, AMD AM4/AM5 Black</x:v>
      </x:c>
      <x:c r="D606" s="34" t="str">
        <x:v>Thermalright</x:v>
      </x:c>
      <x:c r="E606" s="82" t="n">
        <x:v>48.65</x:v>
      </x:c>
      <x:c r="F606" s="34" t="str">
        <x:v>USD</x:v>
      </x:c>
      <x:c r="G606" s="34" t="str">
        <x:v>retail</x:v>
      </x:c>
      <x:c r="H606" s="34" t="str">
        <x:v>2026-06-29</x:v>
      </x:c>
      <x:c r="I606" s="34" t="str">
        <x:v>supportedSockets=AM4/AM5/LGA1851/LGA1700/LGA1200; tdpRatingWatts=180; type=aio</x:v>
      </x:c>
      <x:c r="J606" s="34" t="str">
        <x:v>aio, 180W, ca-retail, black, rgb</x:v>
      </x:c>
      <x:c r="K606" s="34" t="str">
        <x:v>Liquid CPU cooler from CA retailer; cooling capacity conservatively derived.</x:v>
      </x:c>
      <x:c r="L606" s="34" t="str">
        <x:v>https://www.newegg.ca/p/9SIBVHYKJF9042</x:v>
      </x:c>
      <x:c r="M606" s="35" t="str">
        <x:v>https://www.newegg.ca/p/9SIBVHYKJF9042</x:v>
      </x:c>
    </x:row>
    <x:row r="607">
      <x:c r="A607" s="33" t="str">
        <x:v>cooler</x:v>
      </x:c>
      <x:c r="B607" s="34" t="str">
        <x:v>ca-newegg-cooler-arctic-cooling-liquid-freezer-iii-240-a-rgb-white-all-in-one-cpu-water</x:v>
      </x:c>
      <x:c r="C607" s="34" t="str">
        <x:v>ARCTIC COOLING Liquid Freezer III - 240 A-RGB (White): All-in-One CPU Water Cooler with 240mm radiator and 2x P12 PWM PST A-RGB fan, compatible Intel LGA1700, 1851 and AMD AM4, AM5 - White color</x:v>
      </x:c>
      <x:c r="D607" s="34" t="str">
        <x:v>ARCTIC COOLING</x:v>
      </x:c>
      <x:c r="E607" s="82" t="n">
        <x:v>148.19</x:v>
      </x:c>
      <x:c r="F607" s="34" t="str">
        <x:v>USD</x:v>
      </x:c>
      <x:c r="G607" s="34" t="str">
        <x:v>retail</x:v>
      </x:c>
      <x:c r="H607" s="34" t="str">
        <x:v>2026-06-29</x:v>
      </x:c>
      <x:c r="I607" s="34" t="str">
        <x:v>supportedSockets=LGA1700/AM4/AM5/LGA1700/LGA1851; tdpRatingWatts=216; type=aio</x:v>
      </x:c>
      <x:c r="J607" s="34" t="str">
        <x:v>aio, 216W, ca-retail, white, rgb</x:v>
      </x:c>
      <x:c r="K607" s="34" t="str">
        <x:v>Liquid CPU cooler from CA retailer; cooling capacity conservatively derived.</x:v>
      </x:c>
      <x:c r="L607" s="34" t="str">
        <x:v>https://www.newegg.ca/p/9SIA7BBKHC3134</x:v>
      </x:c>
      <x:c r="M607" s="35" t="str">
        <x:v>https://www.newegg.ca/p/9SIA7BBKHC3134</x:v>
      </x:c>
    </x:row>
    <x:row r="608">
      <x:c r="A608" s="33" t="str">
        <x:v>cooler</x:v>
      </x:c>
      <x:c r="B608" s="34" t="str">
        <x:v>ca-newegg-cooler-pccooler-cps-ds360-display-aio-cpu-liquid-cooler-360mm-radiator-315w-t</x:v>
      </x:c>
      <x:c r="C608" s="34" t="str">
        <x:v>PCCOOLER CPS DS360 Display AIO CPU Liquid Cooler, 360mm Radiator, 315W TDP, ARGB LEDs &amp; Customizable 2.4" IPS LCD Display, Ceramic Bearing, for Intel LGA 1851/1700/1200/115X &amp; AMD AM5/AM4, Black</x:v>
      </x:c>
      <x:c r="D608" s="34" t="str">
        <x:v>PCCOOLER</x:v>
      </x:c>
      <x:c r="E608" s="82" t="n">
        <x:v>71.07</x:v>
      </x:c>
      <x:c r="F608" s="34" t="str">
        <x:v>USD</x:v>
      </x:c>
      <x:c r="G608" s="34" t="str">
        <x:v>retail</x:v>
      </x:c>
      <x:c r="H608" s="34" t="str">
        <x:v>2026-06-29</x:v>
      </x:c>
      <x:c r="I608" s="34" t="str">
        <x:v>supportedSockets=LGA1851/AM5/AM4/LGA1700/LGA1200; tdpRatingWatts=324; type=aio</x:v>
      </x:c>
      <x:c r="J608" s="34" t="str">
        <x:v>aio, 324W, ca-retail, black, rgb, airflow, quiet</x:v>
      </x:c>
      <x:c r="K608" s="34" t="str">
        <x:v>Liquid CPU cooler from CA retailer; cooling capacity conservatively derived.</x:v>
      </x:c>
      <x:c r="L608" s="34" t="str">
        <x:v>https://www.newegg.ca/p/9SIBYC4KME7861</x:v>
      </x:c>
      <x:c r="M608" s="35" t="str">
        <x:v>https://www.newegg.ca/p/9SIBYC4KME7861</x:v>
      </x:c>
    </x:row>
    <x:row r="609">
      <x:c r="A609" s="33" t="str">
        <x:v>cooler</x:v>
      </x:c>
      <x:c r="B609" s="34" t="str">
        <x:v>ca-newegg-cooler-arctic-acfre00180a-liquid-freezer-iii-pro-360-aio-cpu-cooler-water-coo</x:v>
      </x:c>
      <x:c r="C609" s="34" t="str">
        <x:v>ARCTIC ACFRE00180A Liquid Freezer III Pro 360 AIO CPU Cooler, Water Cooling 38 mm Radiator, AMD AM5/AM4, Intel LGA1851/1700 (Black)</x:v>
      </x:c>
      <x:c r="D609" s="34" t="str">
        <x:v>ARCTIC</x:v>
      </x:c>
      <x:c r="E609" s="82" t="n">
        <x:v>119.86</x:v>
      </x:c>
      <x:c r="F609" s="34" t="str">
        <x:v>USD</x:v>
      </x:c>
      <x:c r="G609" s="34" t="str">
        <x:v>retail</x:v>
      </x:c>
      <x:c r="H609" s="34" t="str">
        <x:v>2026-06-29</x:v>
      </x:c>
      <x:c r="I609" s="34" t="str">
        <x:v>supportedSockets=AM5/AM4/LGA1851/LGA1700; tdpRatingWatts=216; type=aio</x:v>
      </x:c>
      <x:c r="J609" s="34" t="str">
        <x:v>aio, 216W, ca-retail, black, quiet</x:v>
      </x:c>
      <x:c r="K609" s="34" t="str">
        <x:v>Liquid CPU cooler from CA retailer; cooling capacity conservatively derived.</x:v>
      </x:c>
      <x:c r="L609" s="34" t="str">
        <x:v>https://www.newegg.ca/p/9SIA9H5KF33094</x:v>
      </x:c>
      <x:c r="M609" s="35" t="str">
        <x:v>https://www.newegg.ca/p/9SIA9H5KF33094</x:v>
      </x:c>
    </x:row>
    <x:row r="610">
      <x:c r="A610" s="33" t="str">
        <x:v>cooler</x:v>
      </x:c>
      <x:c r="B610" s="34" t="str">
        <x:v>ca-newegg-cooler-lian-li-galahad-ii-trinity-sl-inf-360-ga2t36inb-liquid-water-cooling</x:v>
      </x:c>
      <x:c r="C610" s="34" t="str">
        <x:v>LIAN LI Galahad II Trinity SL-INF 360 GA2T36INB Liquid / Water Cooling</x:v>
      </x:c>
      <x:c r="D610" s="34" t="str">
        <x:v>Lian Li</x:v>
      </x:c>
      <x:c r="E610" s="82" t="n">
        <x:v>132.55</x:v>
      </x:c>
      <x:c r="F610" s="34" t="str">
        <x:v>USD</x:v>
      </x:c>
      <x:c r="G610" s="34" t="str">
        <x:v>retail</x:v>
      </x:c>
      <x:c r="H610" s="34" t="str">
        <x:v>2026-06-29</x:v>
      </x:c>
      <x:c r="I610" s="34" t="str">
        <x:v>supportedSockets=AM4/AM5/LGA1700/LGA1851; tdpRatingWatts=216; type=aio</x:v>
      </x:c>
      <x:c r="J610" s="34" t="str">
        <x:v>aio, 216W, ca-retail</x:v>
      </x:c>
      <x:c r="K610" s="34" t="str">
        <x:v>Liquid CPU cooler from CA retailer; cooling capacity conservatively derived.</x:v>
      </x:c>
      <x:c r="L610" s="34" t="str">
        <x:v>https://www.newegg.ca/p/35-353-018</x:v>
      </x:c>
      <x:c r="M610" s="35" t="str">
        <x:v>https://www.newegg.ca/p/35-353-018</x:v>
      </x:c>
    </x:row>
    <x:row r="611">
      <x:c r="A611" s="33" t="str">
        <x:v>cooler</x:v>
      </x:c>
      <x:c r="B611" s="34" t="str">
        <x:v>ca-newegg-cooler-corsair-nautilus-360-rs-liquid-cpu-cooler-rs120-fans-fits-intel-lga-18</x:v>
      </x:c>
      <x:c r="C611" s="34" t="str">
        <x:v>CORSAIR NAUTILUS 360 RS Liquid CPU Cooler – RS120 Fans – Fits Intel® LGA 1851/1700, AMD®  AM5/AM4 – Simple Daisy-Chain - Direct Motherboard Connection</x:v>
      </x:c>
      <x:c r="D611" s="34" t="str">
        <x:v>Corsair</x:v>
      </x:c>
      <x:c r="E611" s="82" t="n">
        <x:v>91.66</x:v>
      </x:c>
      <x:c r="F611" s="34" t="str">
        <x:v>USD</x:v>
      </x:c>
      <x:c r="G611" s="34" t="str">
        <x:v>retail</x:v>
      </x:c>
      <x:c r="H611" s="34" t="str">
        <x:v>2026-06-29</x:v>
      </x:c>
      <x:c r="I611" s="34" t="str">
        <x:v>supportedSockets=LGA1851/AM5/AM4/LGA1700; tdpRatingWatts=216; type=aio</x:v>
      </x:c>
      <x:c r="J611" s="34" t="str">
        <x:v>aio, 216W, ca-retail, airflow, quiet</x:v>
      </x:c>
      <x:c r="K611" s="34" t="str">
        <x:v>Liquid CPU cooler from CA retailer; cooling capacity conservatively derived.</x:v>
      </x:c>
      <x:c r="L611" s="34" t="str">
        <x:v>https://www.newegg.ca/p/35-181-474</x:v>
      </x:c>
      <x:c r="M611" s="35" t="str">
        <x:v>https://www.newegg.ca/p/35-181-474</x:v>
      </x:c>
    </x:row>
    <x:row r="612">
      <x:c r="A612" s="33" t="str">
        <x:v>cooler</x:v>
      </x:c>
      <x:c r="B612" s="34" t="str">
        <x:v>ca-newegg-cooler-corsair-nautilus-360-rs-argb-liquid-cpu-cooler-rs120-argb-fans-fits-in</x:v>
      </x:c>
      <x:c r="C612" s="34" t="str">
        <x:v>CORSAIR NAUTILUS 360 RS ARGB Liquid CPU Cooler – RS120 ARGB Fans – Fits Intel® LGA 1851,  AMD® AM5/AM4 – Simple Daisy-Chain Connections - Direct Motherboard Connection</x:v>
      </x:c>
      <x:c r="D612" s="34" t="str">
        <x:v>Corsair</x:v>
      </x:c>
      <x:c r="E612" s="82" t="n">
        <x:v>102.23</x:v>
      </x:c>
      <x:c r="F612" s="34" t="str">
        <x:v>USD</x:v>
      </x:c>
      <x:c r="G612" s="34" t="str">
        <x:v>retail</x:v>
      </x:c>
      <x:c r="H612" s="34" t="str">
        <x:v>2026-06-29</x:v>
      </x:c>
      <x:c r="I612" s="34" t="str">
        <x:v>supportedSockets=LGA1851/AM5/AM4; tdpRatingWatts=216; type=aio</x:v>
      </x:c>
      <x:c r="J612" s="34" t="str">
        <x:v>aio, 216W, ca-retail, rgb, airflow, quiet</x:v>
      </x:c>
      <x:c r="K612" s="34" t="str">
        <x:v>Liquid CPU cooler from CA retailer; cooling capacity conservatively derived.</x:v>
      </x:c>
      <x:c r="L612" s="34" t="str">
        <x:v>https://www.newegg.ca/p/35-181-478</x:v>
      </x:c>
      <x:c r="M612" s="35" t="str">
        <x:v>https://www.newegg.ca/p/35-181-478</x:v>
      </x:c>
    </x:row>
    <x:row r="613">
      <x:c r="A613" s="33" t="str">
        <x:v>cooler</x:v>
      </x:c>
      <x:c r="B613" s="34" t="str">
        <x:v>ca-newegg-cooler-corsair-nautilus-360-rs-argb-liquid-cpu-cooler-white-rs120-argb-fans-f</x:v>
      </x:c>
      <x:c r="C613" s="34" t="str">
        <x:v>CORSAIR NAUTILUS 360 RS ARGB Liquid CPU Cooler – White – RS120 ARGB Fans – Fits Intel®  LGA 1851, AMD® AM5/AM4 – Simple Daisy-Chain Connections - Direct Motherboard  Connection</x:v>
      </x:c>
      <x:c r="D613" s="34" t="str">
        <x:v>Corsair</x:v>
      </x:c>
      <x:c r="E613" s="82" t="n">
        <x:v>87.43</x:v>
      </x:c>
      <x:c r="F613" s="34" t="str">
        <x:v>USD</x:v>
      </x:c>
      <x:c r="G613" s="34" t="str">
        <x:v>retail</x:v>
      </x:c>
      <x:c r="H613" s="34" t="str">
        <x:v>2026-06-29</x:v>
      </x:c>
      <x:c r="I613" s="34" t="str">
        <x:v>supportedSockets=LGA1851/AM5/AM4; tdpRatingWatts=216; type=aio</x:v>
      </x:c>
      <x:c r="J613" s="34" t="str">
        <x:v>aio, 216W, ca-retail, white, rgb, airflow, quiet</x:v>
      </x:c>
      <x:c r="K613" s="34" t="str">
        <x:v>Liquid CPU cooler from CA retailer; cooling capacity conservatively derived.</x:v>
      </x:c>
      <x:c r="L613" s="34" t="str">
        <x:v>https://www.newegg.ca/p/35-181-476</x:v>
      </x:c>
      <x:c r="M613" s="35" t="str">
        <x:v>https://www.newegg.ca/p/35-181-476R</x:v>
      </x:c>
    </x:row>
    <x:row r="614">
      <x:c r="A614" s="33" t="str">
        <x:v>cooler</x:v>
      </x:c>
      <x:c r="B614" s="34" t="str">
        <x:v>ca-newegg-cooler-corsair-nautilus-360-rs-lcd-liquid-cpu-cooler-2-1-ips-lcd-screen-rs120</x:v>
      </x:c>
      <x:c r="C614" s="34" t="str">
        <x:v>CORSAIR NAUTILUS 360 RS LCD Liquid CPU Cooler – 2.1" IPS LCD Screen  – RS120 Fans – 360mm Radiator – Fits Intel® LGA 1851/1700, AMD®  AM5/AM4 – Simple Daisy-Chain Connections</x:v>
      </x:c>
      <x:c r="D614" s="34" t="str">
        <x:v>Corsair</x:v>
      </x:c>
      <x:c r="E614" s="82" t="n">
        <x:v>126.91</x:v>
      </x:c>
      <x:c r="F614" s="34" t="str">
        <x:v>USD</x:v>
      </x:c>
      <x:c r="G614" s="34" t="str">
        <x:v>retail</x:v>
      </x:c>
      <x:c r="H614" s="34" t="str">
        <x:v>2026-06-29</x:v>
      </x:c>
      <x:c r="I614" s="34" t="str">
        <x:v>supportedSockets=LGA1851/AM5/AM4/LGA1700; tdpRatingWatts=324; type=aio</x:v>
      </x:c>
      <x:c r="J614" s="34" t="str">
        <x:v>aio, 324W, ca-retail, quiet</x:v>
      </x:c>
      <x:c r="K614" s="34" t="str">
        <x:v>Liquid CPU cooler from CA retailer; cooling capacity conservatively derived.</x:v>
      </x:c>
      <x:c r="L614" s="34" t="str">
        <x:v>https://www.newegg.ca/p/35-181-496</x:v>
      </x:c>
      <x:c r="M614" s="35" t="str">
        <x:v>https://www.newegg.ca/p/35-181-496</x:v>
      </x:c>
    </x:row>
    <x:row r="615">
      <x:c r="A615" s="33" t="str">
        <x:v>cooler</x:v>
      </x:c>
      <x:c r="B615" s="34" t="str">
        <x:v>ca-newegg-cooler-corsair-nautilus-240-rs-lcd-liquid-cpu-cooler-2-1-ips-lcd-screen-rs120</x:v>
      </x:c>
      <x:c r="C615" s="34" t="str">
        <x:v>CORSAIR NAUTILUS 240 RS LCD Liquid CPU Cooler – 2.1" IPS LCD Screen  – RS120 Fans – 240/360mm Radiator – Fits Intel® LGA 1851/1700,  AMD® AM5/AM4 – Simple Daisy-Chain Connections</x:v>
      </x:c>
      <x:c r="D615" s="34" t="str">
        <x:v>Corsair</x:v>
      </x:c>
      <x:c r="E615" s="82" t="n">
        <x:v>141.01</x:v>
      </x:c>
      <x:c r="F615" s="34" t="str">
        <x:v>USD</x:v>
      </x:c>
      <x:c r="G615" s="34" t="str">
        <x:v>retail</x:v>
      </x:c>
      <x:c r="H615" s="34" t="str">
        <x:v>2026-06-29</x:v>
      </x:c>
      <x:c r="I615" s="34" t="str">
        <x:v>supportedSockets=LGA1851/AM5/AM4/LGA1700; tdpRatingWatts=324; type=aio</x:v>
      </x:c>
      <x:c r="J615" s="34" t="str">
        <x:v>aio, 324W, ca-retail, quiet</x:v>
      </x:c>
      <x:c r="K615" s="34" t="str">
        <x:v>Liquid CPU cooler from CA retailer; cooling capacity conservatively derived.</x:v>
      </x:c>
      <x:c r="L615" s="34" t="str">
        <x:v>https://www.newegg.ca/p/35-181-493</x:v>
      </x:c>
      <x:c r="M615" s="35" t="str">
        <x:v>https://www.newegg.ca/p/35-181-493</x:v>
      </x:c>
    </x:row>
    <x:row r="616">
      <x:c r="A616" s="33" t="str">
        <x:v>cooler</x:v>
      </x:c>
      <x:c r="B616" s="34" t="str">
        <x:v>ca-newegg-cooler-nzxt-kraken-plus-280-mm-aio-liquid-cooler-with-1-54-lcd-static-pressur</x:v>
      </x:c>
      <x:c r="C616" s="34" t="str">
        <x:v>NZXT KRAKEN PLUS 280 MM AIO LIQUID COOLER WITH 1.54" LCD &amp; STATIC PRESSURE FANS</x:v>
      </x:c>
      <x:c r="D616" s="34" t="str">
        <x:v>NZXT</x:v>
      </x:c>
      <x:c r="E616" s="82" t="n">
        <x:v>169.21</x:v>
      </x:c>
      <x:c r="F616" s="34" t="str">
        <x:v>USD</x:v>
      </x:c>
      <x:c r="G616" s="34" t="str">
        <x:v>retail</x:v>
      </x:c>
      <x:c r="H616" s="34" t="str">
        <x:v>2026-06-29</x:v>
      </x:c>
      <x:c r="I616" s="34" t="str">
        <x:v>supportedSockets=LGA1851/AM5/AM4/LGA1700/LGA1200; tdpRatingWatts=252; type=aio</x:v>
      </x:c>
      <x:c r="J616" s="34" t="str">
        <x:v>aio, 252W, ca-retail, rgb, airflow, quiet</x:v>
      </x:c>
      <x:c r="K616" s="34" t="str">
        <x:v>Liquid CPU cooler from CA retailer; cooling capacity conservatively derived.</x:v>
      </x:c>
      <x:c r="L616" s="34" t="str">
        <x:v>https://www.newegg.ca/p/35-146-169</x:v>
      </x:c>
      <x:c r="M616" s="35" t="str">
        <x:v>https://www.newegg.ca/p/35-146-169</x:v>
      </x:c>
    </x:row>
    <x:row r="617">
      <x:c r="A617" s="33" t="str">
        <x:v>cooler</x:v>
      </x:c>
      <x:c r="B617" s="34" t="str">
        <x:v>ca-newegg-cooler-bequiet-pure-loop-3-280mm-black-cpu-liquid-cooler-for-heavily-overcloc</x:v>
      </x:c>
      <x:c r="C617" s="34" t="str">
        <x:v>bequiet! PURE LOOP 3 280mm Black CPU liquid cooler for heavily overclocked systems, 2x Pure Wings 3 PWM high-speed fans, Daisy chained PWM fans, PWM pump features 6-pole motor with 3 phases BW028</x:v>
      </x:c>
      <x:c r="D617" s="34" t="str">
        <x:v>be quiet!</x:v>
      </x:c>
      <x:c r="E617" s="82" t="n">
        <x:v>91.66</x:v>
      </x:c>
      <x:c r="F617" s="34" t="str">
        <x:v>USD</x:v>
      </x:c>
      <x:c r="G617" s="34" t="str">
        <x:v>retail</x:v>
      </x:c>
      <x:c r="H617" s="34" t="str">
        <x:v>2026-06-29</x:v>
      </x:c>
      <x:c r="I617" s="34" t="str">
        <x:v>supportedSockets=AM4/AM5/LGA1700/LGA1851; tdpRatingWatts=252; type=aio</x:v>
      </x:c>
      <x:c r="J617" s="34" t="str">
        <x:v>aio, 252W, ca-retail, black, quiet</x:v>
      </x:c>
      <x:c r="K617" s="34" t="str">
        <x:v>Liquid CPU cooler from CA retailer; cooling capacity conservatively derived.</x:v>
      </x:c>
      <x:c r="L617" s="34" t="str">
        <x:v>https://www.newegg.ca/p/35-269-038</x:v>
      </x:c>
      <x:c r="M617" s="35" t="str">
        <x:v>https://www.newegg.ca/p/35-269-038</x:v>
      </x:c>
    </x:row>
    <x:row r="618">
      <x:c r="A618" s="33" t="str">
        <x:v>cooler</x:v>
      </x:c>
      <x:c r="B618" s="34" t="str">
        <x:v>ca-newegg-cooler-pccooler-cps-dc360-pro-argb-display-aio-cpu-liquid-cooler-360mm-radiat</x:v>
      </x:c>
      <x:c r="C618" s="34" t="str">
        <x:v>PCCOOLER CPS DC360 Pro ARGB Display AIO CPU Liquid Cooler, 360mm Radiator, 310W TDP, Customizable 2.4" IPS LCD Display, Ceramic Bearing, for Intel LGA 1851/1700/1200/115X &amp; AMD AM5/AM4, Black</x:v>
      </x:c>
      <x:c r="D618" s="34" t="str">
        <x:v>PCCOOLER</x:v>
      </x:c>
      <x:c r="E618" s="82" t="n">
        <x:v>65.15</x:v>
      </x:c>
      <x:c r="F618" s="34" t="str">
        <x:v>USD</x:v>
      </x:c>
      <x:c r="G618" s="34" t="str">
        <x:v>retail</x:v>
      </x:c>
      <x:c r="H618" s="34" t="str">
        <x:v>2026-06-29</x:v>
      </x:c>
      <x:c r="I618" s="34" t="str">
        <x:v>supportedSockets=LGA1851/AM5/AM4/LGA1851/LGA1700/LGA1200; tdpRatingWatts=324; type=aio</x:v>
      </x:c>
      <x:c r="J618" s="34" t="str">
        <x:v>aio, 324W, ca-retail, black, rgb, airflow, quiet</x:v>
      </x:c>
      <x:c r="K618" s="34" t="str">
        <x:v>Liquid CPU cooler from CA retailer; cooling capacity conservatively derived.</x:v>
      </x:c>
      <x:c r="L618" s="34" t="str">
        <x:v>https://www.newegg.ca/p/9SIBYC4KEB5572</x:v>
      </x:c>
      <x:c r="M618" s="35" t="str">
        <x:v>https://www.newegg.ca/p/9SIBYC4KEB5572</x:v>
      </x:c>
    </x:row>
    <x:row r="619">
      <x:c r="A619" s="33" t="str">
        <x:v>cooler</x:v>
      </x:c>
      <x:c r="B619" s="34" t="str">
        <x:v>ca-newegg-cooler-msi-meg-core-liquid-s280-aio-liquid-cpu-cooler-2-4-ips-display-280mm-r</x:v>
      </x:c>
      <x:c r="C619" s="34" t="str">
        <x:v>MSI MEG Core Liquid S280 AIO Liquid CPU Cooler, 2.4" IPS Display 280mm Radiator, Duo 140mm Silent Gale P14 PWM Fans, Controlled by MSI Center Software, AM5 Compatible</x:v>
      </x:c>
      <x:c r="D619" s="34" t="str">
        <x:v>MSI</x:v>
      </x:c>
      <x:c r="E619" s="82" t="n">
        <x:v>286.24</x:v>
      </x:c>
      <x:c r="F619" s="34" t="str">
        <x:v>USD</x:v>
      </x:c>
      <x:c r="G619" s="34" t="str">
        <x:v>retail</x:v>
      </x:c>
      <x:c r="H619" s="34" t="str">
        <x:v>2026-06-29</x:v>
      </x:c>
      <x:c r="I619" s="34" t="str">
        <x:v>supportedSockets=AM5/LGA1700; tdpRatingWatts=252; type=aio</x:v>
      </x:c>
      <x:c r="J619" s="34" t="str">
        <x:v>aio, 252W, ca-retail, quiet</x:v>
      </x:c>
      <x:c r="K619" s="34" t="str">
        <x:v>Liquid CPU cooler from CA retailer; cooling capacity conservatively derived.</x:v>
      </x:c>
      <x:c r="L619" s="34" t="str">
        <x:v>https://www.newegg.ca/p/9SIADDZJMU9572</x:v>
      </x:c>
      <x:c r="M619" s="35" t="str">
        <x:v>https://www.newegg.ca/p/9SIADDZJMU9572</x:v>
      </x:c>
    </x:row>
    <x:row r="620">
      <x:c r="A620" s="33" t="str">
        <x:v>cooler</x:v>
      </x:c>
      <x:c r="B620" s="34" t="str">
        <x:v>ca-newegg-cooler-nzxt-kraken-x63-280mm-rl-krx63-01-aio-rgb-cpu-liquid-cooler-rotating-i</x:v>
      </x:c>
      <x:c r="C620" s="34" t="str">
        <x:v>NZXT Kraken X63 280mm - RL-KRX63-01 - AIO RGB CPU Liquid Cooler - Rotating Infinity Mirror Design - Improved Pump - Powered By CAM V4 - RGB Connector - Aer P 140mm Radiator Fans LGA 1700 Compatible</x:v>
      </x:c>
      <x:c r="D620" s="34" t="str">
        <x:v>NZXT</x:v>
      </x:c>
      <x:c r="E620" s="82" t="n">
        <x:v>197.4</x:v>
      </x:c>
      <x:c r="F620" s="34" t="str">
        <x:v>USD</x:v>
      </x:c>
      <x:c r="G620" s="34" t="str">
        <x:v>retail</x:v>
      </x:c>
      <x:c r="H620" s="34" t="str">
        <x:v>2026-06-29</x:v>
      </x:c>
      <x:c r="I620" s="34" t="str">
        <x:v>supportedSockets=LGA1700/LGA1151/AM4; tdpRatingWatts=252; type=aio</x:v>
      </x:c>
      <x:c r="J620" s="34" t="str">
        <x:v>aio, 252W, ca-retail, rgb, airflow, quiet</x:v>
      </x:c>
      <x:c r="K620" s="34" t="str">
        <x:v>Liquid CPU cooler from CA retailer; cooling capacity conservatively derived.</x:v>
      </x:c>
      <x:c r="L620" s="34" t="str">
        <x:v>https://www.newegg.ca/p/9SIADDZJK69757</x:v>
      </x:c>
      <x:c r="M620" s="35" t="str">
        <x:v>https://www.newegg.ca/p/9SIADDZJK69757</x:v>
      </x:c>
    </x:row>
    <x:row r="621">
      <x:c r="A621" s="33" t="str">
        <x:v>cooler</x:v>
      </x:c>
      <x:c r="B621" s="34" t="str">
        <x:v>ca-newegg-cooler-nzxt-kraken-x62-280mm-all-in-one-rgb-cpu-liquid-cooler-cam-powered-inf</x:v>
      </x:c>
      <x:c r="C621" s="34" t="str">
        <x:v>NZXT Kraken X62 280mm - All-In-One RGB CPU Liquid Cooler - CAM-Powered - Infinity Mirror Design - Performance Engineered Pump - Reinforced Extended Tubing - Aer P140mm Radiator Fan (2 Included)</x:v>
      </x:c>
      <x:c r="D621" s="34" t="str">
        <x:v>NZXT</x:v>
      </x:c>
      <x:c r="E621" s="82" t="n">
        <x:v>252.42</x:v>
      </x:c>
      <x:c r="F621" s="34" t="str">
        <x:v>USD</x:v>
      </x:c>
      <x:c r="G621" s="34" t="str">
        <x:v>retail</x:v>
      </x:c>
      <x:c r="H621" s="34" t="str">
        <x:v>2026-06-29</x:v>
      </x:c>
      <x:c r="I621" s="34" t="str">
        <x:v>supportedSockets=AM4/AM5/LGA1700/LGA1851; tdpRatingWatts=252; type=aio</x:v>
      </x:c>
      <x:c r="J621" s="34" t="str">
        <x:v>aio, 252W, ca-retail, rgb, quiet</x:v>
      </x:c>
      <x:c r="K621" s="34" t="str">
        <x:v>Liquid CPU cooler from CA retailer; cooling capacity conservatively derived.</x:v>
      </x:c>
      <x:c r="L621" s="34" t="str">
        <x:v>https://www.newegg.ca/p/9SIADDZB5S9263</x:v>
      </x:c>
      <x:c r="M621" s="35" t="str">
        <x:v>https://www.newegg.ca/p/9SIADDZB5S9263</x:v>
      </x:c>
    </x:row>
    <x:row r="622">
      <x:c r="A622" s="33" t="str">
        <x:v>cooler</x:v>
      </x:c>
      <x:c r="B622" s="34" t="str">
        <x:v>ca-newegg-cooler-nzxt-kraken-elite-rgb-280mm-rl-kr28e-b1-rgb-aio-cpu-liquid-cooler-cust</x:v>
      </x:c>
      <x:c r="C622" s="34" t="str">
        <x:v>NZXT Kraken Elite RGB 280mm - RL-KR28E-B1 - RGB AIO CPU Liquid Cooler - Customizable LCD Display - 2 x F140RGB Core Fans Radiator Fans Black LGA 1851 / AM5 Compatible</x:v>
      </x:c>
      <x:c r="D622" s="34" t="str">
        <x:v>NZXT</x:v>
      </x:c>
      <x:c r="E622" s="82" t="n">
        <x:v>373.1</x:v>
      </x:c>
      <x:c r="F622" s="34" t="str">
        <x:v>USD</x:v>
      </x:c>
      <x:c r="G622" s="34" t="str">
        <x:v>retail</x:v>
      </x:c>
      <x:c r="H622" s="34" t="str">
        <x:v>2026-06-29</x:v>
      </x:c>
      <x:c r="I622" s="34" t="str">
        <x:v>supportedSockets=LGA1851/AM5; tdpRatingWatts=252; type=aio</x:v>
      </x:c>
      <x:c r="J622" s="34" t="str">
        <x:v>aio, 252W, ca-retail, black, rgb, quiet</x:v>
      </x:c>
      <x:c r="K622" s="34" t="str">
        <x:v>Liquid CPU cooler from CA retailer; cooling capacity conservatively derived.</x:v>
      </x:c>
      <x:c r="L622" s="34" t="str">
        <x:v>https://www.newegg.ca/p/9SIADDZJT96708</x:v>
      </x:c>
      <x:c r="M622" s="35" t="str">
        <x:v>https://www.newegg.ca/p/9SIADDZJT96708</x:v>
      </x:c>
    </x:row>
    <x:row r="623">
      <x:c r="A623" s="33" t="str">
        <x:v>cooler</x:v>
      </x:c>
      <x:c r="B623" s="34" t="str">
        <x:v>ca-newegg-cooler-pccooler-cps-da360-pro-argb-digital-aio-cpu-liquid-cooler-360mm-radiat</x:v>
      </x:c>
      <x:c r="C623" s="34" t="str">
        <x:v>PCCOOLER CPS DA360 Pro ARGB Digital AIO CPU Liquid Cooler, 360mm Radiator, 300W TDP, 270° Rotatable Digital Display, Infinity Halo ARGB Effect, for Intel LGA 1851/1700/1200/115X &amp; AMD AM5/AM4, Black</x:v>
      </x:c>
      <x:c r="D623" s="34" t="str">
        <x:v>PCCOOLER</x:v>
      </x:c>
      <x:c r="E623" s="82" t="n">
        <x:v>59.93</x:v>
      </x:c>
      <x:c r="F623" s="34" t="str">
        <x:v>USD</x:v>
      </x:c>
      <x:c r="G623" s="34" t="str">
        <x:v>retail</x:v>
      </x:c>
      <x:c r="H623" s="34" t="str">
        <x:v>2026-06-29</x:v>
      </x:c>
      <x:c r="I623" s="34" t="str">
        <x:v>supportedSockets=LGA1851/AM5/AM4/LGA1700/LGA1200; tdpRatingWatts=324; type=aio</x:v>
      </x:c>
      <x:c r="J623" s="34" t="str">
        <x:v>aio, 324W, ca-retail, black, rgb, quiet</x:v>
      </x:c>
      <x:c r="K623" s="34" t="str">
        <x:v>Liquid CPU cooler from CA retailer; cooling capacity conservatively derived.</x:v>
      </x:c>
      <x:c r="L623" s="34" t="str">
        <x:v>https://www.newegg.ca/p/9SIBYC4KEB5575</x:v>
      </x:c>
      <x:c r="M623" s="35" t="str">
        <x:v>https://www.newegg.ca/p/9SIBYC4KEB5575</x:v>
      </x:c>
    </x:row>
    <x:row r="624">
      <x:c r="A624" s="33" t="str">
        <x:v>cooler</x:v>
      </x:c>
      <x:c r="B624" s="34" t="str">
        <x:v>ca-newegg-cooler-nzxt-kraken-elite-280mm-rl-kn28e-b1-aio-cpu-liquid-cooler-customizable</x:v>
      </x:c>
      <x:c r="C624" s="34" t="str">
        <x:v>NZXT Kraken Elite 280mm - RL-KN28E-B1 – AIO CPU Liquid Cooler - Customizable LCD Display - 2 x F140P Static Pressure Fan Radiator Fans LGA 1700 / AM5 Compatible</x:v>
      </x:c>
      <x:c r="D624" s="34" t="str">
        <x:v>NZXT</x:v>
      </x:c>
      <x:c r="E624" s="82" t="n">
        <x:v>327.37</x:v>
      </x:c>
      <x:c r="F624" s="34" t="str">
        <x:v>USD</x:v>
      </x:c>
      <x:c r="G624" s="34" t="str">
        <x:v>retail</x:v>
      </x:c>
      <x:c r="H624" s="34" t="str">
        <x:v>2026-06-29</x:v>
      </x:c>
      <x:c r="I624" s="34" t="str">
        <x:v>supportedSockets=LGA1700/AM5; tdpRatingWatts=252; type=aio</x:v>
      </x:c>
      <x:c r="J624" s="34" t="str">
        <x:v>aio, 252W, ca-retail, quiet</x:v>
      </x:c>
      <x:c r="K624" s="34" t="str">
        <x:v>Liquid CPU cooler from CA retailer; cooling capacity conservatively derived.</x:v>
      </x:c>
      <x:c r="L624" s="34" t="str">
        <x:v>https://www.newegg.ca/p/9SIADDZJT96706</x:v>
      </x:c>
      <x:c r="M624" s="35" t="str">
        <x:v>https://www.newegg.ca/p/9SIADDZJT96706</x:v>
      </x:c>
    </x:row>
    <x:row r="625">
      <x:c r="A625" s="33" t="str">
        <x:v>cooler</x:v>
      </x:c>
      <x:c r="B625" s="34" t="str">
        <x:v>ca-newegg-cooler-asus-rog-strix-lc-ii-280-rgb-aio-liquid-cpu-cooler-280mm-radiator-dual</x:v>
      </x:c>
      <x:c r="C625" s="34" t="str">
        <x:v>ASUS ROG STRIX LC II 280 RGB AIO Liquid CPU Cooler 280mm Radiator (Dual 140mm 4-pin PWM Fans) with Armoury Creat Controls ARGB</x:v>
      </x:c>
      <x:c r="D625" s="34" t="str">
        <x:v>ASUS</x:v>
      </x:c>
      <x:c r="E625" s="82" t="n">
        <x:v>248.9</x:v>
      </x:c>
      <x:c r="F625" s="34" t="str">
        <x:v>USD</x:v>
      </x:c>
      <x:c r="G625" s="34" t="str">
        <x:v>retail</x:v>
      </x:c>
      <x:c r="H625" s="34" t="str">
        <x:v>2026-06-29</x:v>
      </x:c>
      <x:c r="I625" s="34" t="str">
        <x:v>supportedSockets=AM4/AM5/LGA1700/LGA1851; tdpRatingWatts=284; type=aio</x:v>
      </x:c>
      <x:c r="J625" s="34" t="str">
        <x:v>aio, 284W, ca-retail, rgb</x:v>
      </x:c>
      <x:c r="K625" s="34" t="str">
        <x:v>Liquid CPU cooler from CA retailer; cooling capacity conservatively derived.</x:v>
      </x:c>
      <x:c r="L625" s="34" t="str">
        <x:v>https://www.newegg.ca/p/9SIADDZHY43444</x:v>
      </x:c>
      <x:c r="M625" s="35" t="str">
        <x:v>https://www.newegg.ca/p/9SIADDZHY43444</x:v>
      </x:c>
    </x:row>
    <x:row r="626">
      <x:c r="A626" s="33" t="str">
        <x:v>cooler</x:v>
      </x:c>
      <x:c r="B626" s="34" t="str">
        <x:v>ca-newegg-cooler-pccooler-cps-ds360-aio-cpu-liquid-cooler-360mm-radiator-310w-tdp-dual-</x:v>
      </x:c>
      <x:c r="C626" s="34" t="str">
        <x:v>PCCOOLER CPS DS360 AIO CPU Liquid Cooler, 360mm Radiator, 310W TDP, Dual Chamber Pump, ARGB LEDs &amp; Digital Display, Aluminum Pump Cover, for Intel LGA 1851/1700/1200/115X &amp; AMD AM5/AM4, Black</x:v>
      </x:c>
      <x:c r="D626" s="34" t="str">
        <x:v>PCCOOLER</x:v>
      </x:c>
      <x:c r="E626" s="82" t="n">
        <x:v>65.92</x:v>
      </x:c>
      <x:c r="F626" s="34" t="str">
        <x:v>USD</x:v>
      </x:c>
      <x:c r="G626" s="34" t="str">
        <x:v>retail</x:v>
      </x:c>
      <x:c r="H626" s="34" t="str">
        <x:v>2026-06-29</x:v>
      </x:c>
      <x:c r="I626" s="34" t="str">
        <x:v>supportedSockets=LGA1851/AM5/AM4/LGA1700/LGA1200; tdpRatingWatts=324; type=aio</x:v>
      </x:c>
      <x:c r="J626" s="34" t="str">
        <x:v>aio, 324W, ca-retail, black, rgb, quiet, panoramic</x:v>
      </x:c>
      <x:c r="K626" s="34" t="str">
        <x:v>Liquid CPU cooler from CA retailer; cooling capacity conservatively derived.</x:v>
      </x:c>
      <x:c r="L626" s="34" t="str">
        <x:v>https://www.newegg.ca/p/9SIBYC4KEB5570</x:v>
      </x:c>
      <x:c r="M626" s="35" t="str">
        <x:v>https://www.newegg.ca/p/9SIBYC4KEB5570</x:v>
      </x:c>
    </x:row>
    <x:row r="627">
      <x:c r="A627" s="33" t="str">
        <x:v>cooler</x:v>
      </x:c>
      <x:c r="B627" s="34" t="str">
        <x:v>ca-newegg-cooler-nzxt-kraken-x63-rgb-280mm-rl-krx63-rw-aio-rgb-cpu-liquid-cooler-rotati</x:v>
      </x:c>
      <x:c r="C627" s="34" t="str">
        <x:v>NZXT Kraken X63 RGB 280mm - RL-KRX63-RW - AIO RGB CPU Liquid Cooler - Rotating Infinity Mirror Design - Powered By CAM V4 - RGB Connector - 2 x Aer P 140mm Radiator Fans White LGA 1700 Compatible</x:v>
      </x:c>
      <x:c r="D627" s="34" t="str">
        <x:v>NZXT</x:v>
      </x:c>
      <x:c r="E627" s="82" t="n">
        <x:v>119.86</x:v>
      </x:c>
      <x:c r="F627" s="34" t="str">
        <x:v>USD</x:v>
      </x:c>
      <x:c r="G627" s="34" t="str">
        <x:v>retail</x:v>
      </x:c>
      <x:c r="H627" s="34" t="str">
        <x:v>2026-06-29</x:v>
      </x:c>
      <x:c r="I627" s="34" t="str">
        <x:v>supportedSockets=LGA1700; tdpRatingWatts=252; type=aio</x:v>
      </x:c>
      <x:c r="J627" s="34" t="str">
        <x:v>aio, 252W, ca-retail, white, rgb, airflow</x:v>
      </x:c>
      <x:c r="K627" s="34" t="str">
        <x:v>Liquid CPU cooler from CA retailer; cooling capacity conservatively derived.</x:v>
      </x:c>
      <x:c r="L627" s="34" t="str">
        <x:v>https://www.newegg.ca/p/9SIADDZKJT1413</x:v>
      </x:c>
      <x:c r="M627" s="35" t="str">
        <x:v>https://www.newegg.ca/p/9SIADDZKJT1413</x:v>
      </x:c>
    </x:row>
    <x:row r="628">
      <x:c r="A628" s="33" t="str">
        <x:v>cooler</x:v>
      </x:c>
      <x:c r="B628" s="34" t="str">
        <x:v>ca-newegg-cooler-asus-rog-ryuo-iii-240-argb-aio-liquid-cpu-cooler-240mm-radiator-asetek</x:v>
      </x:c>
      <x:c r="C628" s="34" t="str">
        <x:v>ASUS ROG RYUO III 240 ARGB AIO Liquid CPU Cooler 240mm Radiator, Asetek 8th gen pump solution, Anime Matrix LED Display and ROG AF 12S ARGB fan,Intel LGA 1851/1700/1200 &amp; AMD AM5/AM4 Compatible</x:v>
      </x:c>
      <x:c r="D628" s="34" t="str">
        <x:v>ASUS</x:v>
      </x:c>
      <x:c r="E628" s="82" t="n">
        <x:v>172.92</x:v>
      </x:c>
      <x:c r="F628" s="34" t="str">
        <x:v>USD</x:v>
      </x:c>
      <x:c r="G628" s="34" t="str">
        <x:v>retail</x:v>
      </x:c>
      <x:c r="H628" s="34" t="str">
        <x:v>2026-06-29</x:v>
      </x:c>
      <x:c r="I628" s="34" t="str">
        <x:v>supportedSockets=LGA1851/AM5/AM4/LGA1700/LGA1200; tdpRatingWatts=216; type=aio</x:v>
      </x:c>
      <x:c r="J628" s="34" t="str">
        <x:v>aio, 216W, ca-retail, rgb, airflow</x:v>
      </x:c>
      <x:c r="K628" s="34" t="str">
        <x:v>Liquid CPU cooler from CA retailer; cooling capacity conservatively derived.</x:v>
      </x:c>
      <x:c r="L628" s="34" t="str">
        <x:v>https://www.newegg.ca/p/9SIA7BBKHA6736</x:v>
      </x:c>
      <x:c r="M628" s="35" t="str">
        <x:v>https://www.newegg.ca/p/9SIA7BBKHA6736</x:v>
      </x:c>
    </x:row>
    <x:row r="629">
      <x:c r="A629" s="33" t="str">
        <x:v>cooler</x:v>
      </x:c>
      <x:c r="B629" s="34" t="str">
        <x:v>ca-newegg-cooler-thermaltake-floe-aio-riing-rgb-280-tt-premium-edition-pwm-tr4-lga2066-</x:v>
      </x:c>
      <x:c r="C629" s="34" t="str">
        <x:v>Thermaltake Floe AIO Riing RGB 280 TT Premium Edition PWM TR4 LGA2066 Ready Liquid Cooling System CL-W167-PL14SW-A LGA 1700 Compatible</x:v>
      </x:c>
      <x:c r="D629" s="34" t="str">
        <x:v>Thermaltake</x:v>
      </x:c>
      <x:c r="E629" s="82" t="n">
        <x:v>253.64</x:v>
      </x:c>
      <x:c r="F629" s="34" t="str">
        <x:v>USD</x:v>
      </x:c>
      <x:c r="G629" s="34" t="str">
        <x:v>retail</x:v>
      </x:c>
      <x:c r="H629" s="34" t="str">
        <x:v>2026-06-29</x:v>
      </x:c>
      <x:c r="I629" s="34" t="str">
        <x:v>supportedSockets=LGA1700; tdpRatingWatts=180; type=aio</x:v>
      </x:c>
      <x:c r="J629" s="34" t="str">
        <x:v>aio, 180W, ca-retail, rgb</x:v>
      </x:c>
      <x:c r="K629" s="34" t="str">
        <x:v>Liquid CPU cooler from CA retailer; cooling capacity conservatively derived.</x:v>
      </x:c>
      <x:c r="L629" s="34" t="str">
        <x:v>https://www.newegg.ca/p/9SIA7BBKH90333</x:v>
      </x:c>
      <x:c r="M629" s="35" t="str">
        <x:v>https://www.newegg.ca/p/9SIA7BBKH90333</x:v>
      </x:c>
    </x:row>
    <x:row r="630">
      <x:c r="A630" s="33" t="str">
        <x:v>cooler</x:v>
      </x:c>
      <x:c r="B630" s="34" t="str">
        <x:v>ca-newegg-cooler-nzxt-kraken-elite-rgb-420mm-white-aio-liquid-cooler-with-ips-lcd-rgb-c</x:v>
      </x:c>
      <x:c r="C630" s="34" t="str">
        <x:v>NZXT KRAKEN ELITE RGB 420MM WHITE AIO LIQUID COOLER WITH IPS LCD &amp; RGB CORE SINGLE-FRAME FAN</x:v>
      </x:c>
      <x:c r="D630" s="34" t="str">
        <x:v>NZXT</x:v>
      </x:c>
      <x:c r="E630" s="82" t="n">
        <x:v>274.99</x:v>
      </x:c>
      <x:c r="F630" s="34" t="str">
        <x:v>USD</x:v>
      </x:c>
      <x:c r="G630" s="34" t="str">
        <x:v>retail</x:v>
      </x:c>
      <x:c r="H630" s="34" t="str">
        <x:v>2026-06-29</x:v>
      </x:c>
      <x:c r="I630" s="34" t="str">
        <x:v>supportedSockets=LGA1851/AM5/AM4/LGA1700/LGA1200; tdpRatingWatts=378; type=aio</x:v>
      </x:c>
      <x:c r="J630" s="34" t="str">
        <x:v>aio, 378W, ca-retail, white, rgb, quiet</x:v>
      </x:c>
      <x:c r="K630" s="34" t="str">
        <x:v>Liquid CPU cooler from CA retailer; cooling capacity conservatively derived.</x:v>
      </x:c>
      <x:c r="L630" s="34" t="str">
        <x:v>https://www.newegg.ca/p/35-146-174</x:v>
      </x:c>
      <x:c r="M630" s="35" t="str">
        <x:v>https://www.newegg.ca/p/35-146-174</x:v>
      </x:c>
    </x:row>
    <x:row r="631">
      <x:c r="A631" s="33" t="str">
        <x:v>cooler</x:v>
      </x:c>
      <x:c r="B631" s="34" t="str">
        <x:v>ca-newegg-cooler-arctic-cooling-liquid-freezer-iii-420-a-rgb-black-all-in-one-cpu-water</x:v>
      </x:c>
      <x:c r="C631" s="34" t="str">
        <x:v>ARCTIC COOLING Liquid Freezer III - 420 A-RGB (Black): All-in-One CPU Water Cooler with 420mm radiator and 3x P14 PWM PST A-RGB fan, compatible Intel LGA1700, 1851 and AMD AM4, AM5 - Black color</x:v>
      </x:c>
      <x:c r="D631" s="34" t="str">
        <x:v>ARCTIC COOLING</x:v>
      </x:c>
      <x:c r="E631" s="82" t="n">
        <x:v>170.54</x:v>
      </x:c>
      <x:c r="F631" s="34" t="str">
        <x:v>USD</x:v>
      </x:c>
      <x:c r="G631" s="34" t="str">
        <x:v>retail</x:v>
      </x:c>
      <x:c r="H631" s="34" t="str">
        <x:v>2026-06-29</x:v>
      </x:c>
      <x:c r="I631" s="34" t="str">
        <x:v>supportedSockets=LGA1700/AM4/AM5/LGA1700/LGA1851; tdpRatingWatts=378; type=aio</x:v>
      </x:c>
      <x:c r="J631" s="34" t="str">
        <x:v>aio, 378W, ca-retail, black, rgb</x:v>
      </x:c>
      <x:c r="K631" s="34" t="str">
        <x:v>Liquid CPU cooler from CA retailer; cooling capacity conservatively derived.</x:v>
      </x:c>
      <x:c r="L631" s="34" t="str">
        <x:v>https://www.newegg.ca/p/9SIA7BBKET7573</x:v>
      </x:c>
      <x:c r="M631" s="35" t="str">
        <x:v>https://www.newegg.ca/p/9SIA7BBKET7573</x:v>
      </x:c>
    </x:row>
    <x:row r="632">
      <x:c r="A632" s="33" t="str">
        <x:v>cooler</x:v>
      </x:c>
      <x:c r="B632" s="34" t="str">
        <x:v>ca-newegg-cooler-thermaltake-th420-argb-sync-all-in-one-liquid-cooler-snow-edition-amd-</x:v>
      </x:c>
      <x:c r="C632" s="34" t="str">
        <x:v>Thermaltake TH420 ARGB Sync All-In-One Liquid Cooler Snow Edition, AMD(AM5/AM4) Intel(LGA 1700/1200), 420mm High Efficiency Radiator, CL-W369-PL14SW-A</x:v>
      </x:c>
      <x:c r="D632" s="34" t="str">
        <x:v>Thermaltake</x:v>
      </x:c>
      <x:c r="E632" s="82" t="n">
        <x:v>187.94</x:v>
      </x:c>
      <x:c r="F632" s="34" t="str">
        <x:v>USD</x:v>
      </x:c>
      <x:c r="G632" s="34" t="str">
        <x:v>retail</x:v>
      </x:c>
      <x:c r="H632" s="34" t="str">
        <x:v>2026-06-29</x:v>
      </x:c>
      <x:c r="I632" s="34" t="str">
        <x:v>supportedSockets=AM5/AM4/LGA1700/LGA1200; tdpRatingWatts=378; type=aio</x:v>
      </x:c>
      <x:c r="J632" s="34" t="str">
        <x:v>aio, 378W, ca-retail, white, rgb</x:v>
      </x:c>
      <x:c r="K632" s="34" t="str">
        <x:v>Liquid CPU cooler from CA retailer; cooling capacity conservatively derived.</x:v>
      </x:c>
      <x:c r="L632" s="34" t="str">
        <x:v>https://www.newegg.ca/p/9SIA7BBKHA7613</x:v>
      </x:c>
      <x:c r="M632" s="35" t="str">
        <x:v>https://www.newegg.ca/p/9SIA7BBKHA7613</x:v>
      </x:c>
    </x:row>
    <x:row r="633">
      <x:c r="A633" s="33" t="str">
        <x:v>cooler</x:v>
      </x:c>
      <x:c r="B633" s="34" t="str">
        <x:v>ca-newegg-cooler-asus-rog-ryuo-iv-slc-360-argb-white-edition-all-in-one-aio-liquid-cpu-</x:v>
      </x:c>
      <x:c r="C633" s="34" t="str">
        <x:v>ASUS ROG RYUO IV SLC 360 ARGB White Edition All-in-one AIO Liquid CPU Cooler, 200mm short water,3D visual effects, curved 6.67'' AMOLED screen and ROG AF 12C ARGB fan, AMD AM4/AM5 &amp; Intel LGA1851/1700</x:v>
      </x:c>
      <x:c r="D633" s="34" t="str">
        <x:v>ASUS</x:v>
      </x:c>
      <x:c r="E633" s="82" t="n">
        <x:v>796.76</x:v>
      </x:c>
      <x:c r="F633" s="34" t="str">
        <x:v>USD</x:v>
      </x:c>
      <x:c r="G633" s="34" t="str">
        <x:v>retail</x:v>
      </x:c>
      <x:c r="H633" s="34" t="str">
        <x:v>2026-06-29</x:v>
      </x:c>
      <x:c r="I633" s="34" t="str">
        <x:v>supportedSockets=AM4/AM5/LGA1851/LGA1700; tdpRatingWatts=378; type=aio</x:v>
      </x:c>
      <x:c r="J633" s="34" t="str">
        <x:v>aio, 378W, ca-retail, white, rgb</x:v>
      </x:c>
      <x:c r="K633" s="34" t="str">
        <x:v>Liquid CPU cooler from CA retailer; cooling capacity conservatively derived.</x:v>
      </x:c>
      <x:c r="L633" s="34" t="str">
        <x:v>https://www.newegg.ca/p/9SIC4RRKTH9368</x:v>
      </x:c>
      <x:c r="M633" s="35" t="str">
        <x:v>https://www.newegg.ca/p/9SIC4RRKTH9368</x:v>
      </x:c>
    </x:row>
    <x:row r="634">
      <x:c r="A634" s="33" t="str">
        <x:v>cooler</x:v>
      </x:c>
      <x:c r="B634" s="34" t="str">
        <x:v>ca-newegg-cooler-asus-rog-ryuo-iv-slc-360-argb-miku-edition-all-in-one-aio-liquid-cpu-c</x:v>
      </x:c>
      <x:c r="C634" s="34" t="str">
        <x:v>ASUS ROG Ryuo IV SLC 360 ARGB MIKU Edition All-in-one AIO Liquid CPU Cooler, 200mm short water,curved 6.67'' AMOLED screen, 3D visual effects, AMD AM4/AM5 &amp; Intel LGA1851/1700</x:v>
      </x:c>
      <x:c r="D634" s="34" t="str">
        <x:v>ASUS</x:v>
      </x:c>
      <x:c r="E634" s="82" t="n">
        <x:v>627.02</x:v>
      </x:c>
      <x:c r="F634" s="34" t="str">
        <x:v>USD</x:v>
      </x:c>
      <x:c r="G634" s="34" t="str">
        <x:v>retail</x:v>
      </x:c>
      <x:c r="H634" s="34" t="str">
        <x:v>2026-06-29</x:v>
      </x:c>
      <x:c r="I634" s="34" t="str">
        <x:v>supportedSockets=AM4/AM5/LGA1851/LGA1700; tdpRatingWatts=378; type=aio</x:v>
      </x:c>
      <x:c r="J634" s="34" t="str">
        <x:v>aio, 378W, ca-retail, rgb, airflow, quiet</x:v>
      </x:c>
      <x:c r="K634" s="34" t="str">
        <x:v>Liquid CPU cooler from CA retailer; cooling capacity conservatively derived.</x:v>
      </x:c>
      <x:c r="L634" s="34" t="str">
        <x:v>https://www.newegg.ca/p/9SIC4RVKRJ2958</x:v>
      </x:c>
      <x:c r="M634" s="35" t="str">
        <x:v>https://www.newegg.ca/p/9SIC4RVKRJ2958</x:v>
      </x:c>
    </x:row>
    <x:row r="635">
      <x:c r="A635" s="33" t="str">
        <x:v>cooler</x:v>
      </x:c>
      <x:c r="B635" s="34" t="str">
        <x:v>ca-canadacomputers-cooler-deepcool-r-ag400-bkanmc-g-2-cpu-air-cooler-black</x:v>
      </x:c>
      <x:c r="C635" s="34" t="str">
        <x:v>DeepCool R-AG400-BKANMC-G-2 CPU Air Cooler Black</x:v>
      </x:c>
      <x:c r="D635" s="34" t="str">
        <x:v>DeepCool</x:v>
      </x:c>
      <x:c r="E635" s="82" t="n">
        <x:v>24.67</x:v>
      </x:c>
      <x:c r="F635" s="34" t="str">
        <x:v>USD</x:v>
      </x:c>
      <x:c r="G635" s="34" t="str">
        <x:v>retail</x:v>
      </x:c>
      <x:c r="H635" s="34" t="str">
        <x:v>2026-06-29</x:v>
      </x:c>
      <x:c r="I635" s="34" t="str">
        <x:v>supportedSockets=AM4/AM5/LGA1700/LGA1851; tdpRatingWatts=167; heightMm=155; type=air</x:v>
      </x:c>
      <x:c r="J635" s="34" t="str">
        <x:v>air, 167W, ca-retail, black</x:v>
      </x:c>
      <x:c r="K635" s="34" t="str">
        <x:v>Air CPU cooler from CA retailer; cooling capacity conservatively derived.</x:v>
      </x:c>
      <x:c r="L635" s="34" t="str">
        <x:v>https://www.canadacomputers.com/en/cpu-air-coolers/229273/deepcool-r-ag400-bkanmc-g-2-cpu-air-cooler-black-r-ag400-bkanmc-g-2.html</x:v>
      </x:c>
      <x:c r="M635" s="35" t="str">
        <x:v>https://www.canadacomputers.com/en/cpu-air-coolers/229273/deepcool-r-ag400-bkanmc-g-2-cpu-air-cooler-black-r-ag400-bkanmc-g-2.html</x:v>
      </x:c>
    </x:row>
    <x:row r="636">
      <x:c r="A636" s="33" t="str">
        <x:v>cooler</x:v>
      </x:c>
      <x:c r="B636" s="34" t="str">
        <x:v>ca-canadacomputers-cooler-arctic-liquid-freezer-iii-pro-240-black-aio-cpu-water-cooler</x:v>
      </x:c>
      <x:c r="C636" s="34" t="str">
        <x:v>Arctic Liquid Freezer III Pro 240 Black AIO CPU Water Cooler</x:v>
      </x:c>
      <x:c r="D636" s="34" t="str">
        <x:v>ARCTIC COOLING</x:v>
      </x:c>
      <x:c r="E636" s="82" t="n">
        <x:v>105.76</x:v>
      </x:c>
      <x:c r="F636" s="34" t="str">
        <x:v>USD</x:v>
      </x:c>
      <x:c r="G636" s="34" t="str">
        <x:v>retail</x:v>
      </x:c>
      <x:c r="H636" s="34" t="str">
        <x:v>2026-06-29</x:v>
      </x:c>
      <x:c r="I636" s="34" t="str">
        <x:v>supportedSockets=AM4/AM5/LGA1700/LGA1851; tdpRatingWatts=216; type=aio</x:v>
      </x:c>
      <x:c r="J636" s="34" t="str">
        <x:v>aio, 216W, ca-retail, black</x:v>
      </x:c>
      <x:c r="K636" s="34" t="str">
        <x:v>Liquid CPU cooler from CA retailer; cooling capacity conservatively derived.</x:v>
      </x:c>
      <x:c r="L636" s="34" t="str">
        <x:v>https://www.canadacomputers.com/en/aio-cpu-liquid-coolers/279874/arctic-liquid-freezer-iii-pro-240-black-aio-cpu-water-cooler-acfre00178a.html</x:v>
      </x:c>
      <x:c r="M636" s="35" t="str">
        <x:v>https://www.canadacomputers.com/en/aio-cpu-liquid-coolers/279874/arctic-liquid-freezer-iii-pro-240-black-aio-cpu-water-cooler-acfre00178a.html</x:v>
      </x:c>
    </x:row>
    <x:row r="637">
      <x:c r="A637" s="33" t="str">
        <x:v>cooler</x:v>
      </x:c>
      <x:c r="B637" s="34" t="str">
        <x:v>ca-canadacomputers-cooler-arctic-liquid-freezer-iii-pro-240-a-rgb-aio-cpu-water-cooler-black</x:v>
      </x:c>
      <x:c r="C637" s="34" t="str">
        <x:v>Arctic Liquid Freezer III PRO 240 A-RGB AIO CPU Water Cooler Black</x:v>
      </x:c>
      <x:c r="D637" s="34" t="str">
        <x:v>ARCTIC COOLING</x:v>
      </x:c>
      <x:c r="E637" s="82" t="n">
        <x:v>119.86</x:v>
      </x:c>
      <x:c r="F637" s="34" t="str">
        <x:v>USD</x:v>
      </x:c>
      <x:c r="G637" s="34" t="str">
        <x:v>retail</x:v>
      </x:c>
      <x:c r="H637" s="34" t="str">
        <x:v>2026-06-29</x:v>
      </x:c>
      <x:c r="I637" s="34" t="str">
        <x:v>supportedSockets=AM4/AM5/LGA1700/LGA1851; tdpRatingWatts=216; type=aio</x:v>
      </x:c>
      <x:c r="J637" s="34" t="str">
        <x:v>aio, 216W, ca-retail, black, rgb</x:v>
      </x:c>
      <x:c r="K637" s="34" t="str">
        <x:v>Liquid CPU cooler from CA retailer; cooling capacity conservatively derived.</x:v>
      </x:c>
      <x:c r="L637" s="34" t="str">
        <x:v>https://www.canadacomputers.com/en/aio-cpu-liquid-coolers/279879/arctic-liquid-freezer-iii-pro-240-a-rgb-aio-cpu-water-cooler-black-acfre00182a.html</x:v>
      </x:c>
      <x:c r="M637" s="35" t="str">
        <x:v>https://www.canadacomputers.com/en/aio-cpu-liquid-coolers/279879/arctic-liquid-freezer-iii-pro-240-a-rgb-aio-cpu-water-cooler-black-acfre00182a.html</x:v>
      </x:c>
    </x:row>
    <x:row r="638">
      <x:c r="A638" s="33" t="str">
        <x:v>cooler</x:v>
      </x:c>
      <x:c r="B638" s="34" t="str">
        <x:v>ca-canadacomputers-cooler-arctic-liquid-freezer-iii-240-a-rgb-aio-cpu-water-cooler-white</x:v>
      </x:c>
      <x:c r="C638" s="34" t="str">
        <x:v>Arctic Liquid Freezer III 240 A-RGB AIO CPU Water Cooler, White</x:v>
      </x:c>
      <x:c r="D638" s="34" t="str">
        <x:v>ARCTIC COOLING</x:v>
      </x:c>
      <x:c r="E638" s="82" t="n">
        <x:v>123.39</x:v>
      </x:c>
      <x:c r="F638" s="34" t="str">
        <x:v>USD</x:v>
      </x:c>
      <x:c r="G638" s="34" t="str">
        <x:v>retail</x:v>
      </x:c>
      <x:c r="H638" s="34" t="str">
        <x:v>2026-06-29</x:v>
      </x:c>
      <x:c r="I638" s="34" t="str">
        <x:v>supportedSockets=AM4/AM5/LGA1700/LGA1851; tdpRatingWatts=216; type=aio</x:v>
      </x:c>
      <x:c r="J638" s="34" t="str">
        <x:v>aio, 216W, ca-retail, white, rgb</x:v>
      </x:c>
      <x:c r="K638" s="34" t="str">
        <x:v>Liquid CPU cooler from CA retailer; cooling capacity conservatively derived.</x:v>
      </x:c>
      <x:c r="L638" s="34" t="str">
        <x:v>https://www.canadacomputers.com/en/aio-cpu-liquid-coolers/252934/arctic-liquid-freezer-iii-240-a-rgb-aio-cpu-water-cooler-white-acfre00150a.html</x:v>
      </x:c>
      <x:c r="M638" s="35" t="str">
        <x:v>https://www.canadacomputers.com/en/aio-cpu-liquid-coolers/252934/arctic-liquid-freezer-iii-240-a-rgb-aio-cpu-water-cooler-white-acfre00150a.html</x:v>
      </x:c>
    </x:row>
    <x:row r="639">
      <x:c r="A639" s="33" t="str">
        <x:v>cooler</x:v>
      </x:c>
      <x:c r="B639" s="34" t="str">
        <x:v>ca-canadacomputers-cooler-arctic-liquid-freezer-iii-pro-360-black-aio-cpu-water-cooler</x:v>
      </x:c>
      <x:c r="C639" s="34" t="str">
        <x:v>Arctic Liquid Freezer III PRO 360 Black AIO CPU Water Cooler</x:v>
      </x:c>
      <x:c r="D639" s="34" t="str">
        <x:v>ARCTIC COOLING</x:v>
      </x:c>
      <x:c r="E639" s="82" t="n">
        <x:v>133.96</x:v>
      </x:c>
      <x:c r="F639" s="34" t="str">
        <x:v>USD</x:v>
      </x:c>
      <x:c r="G639" s="34" t="str">
        <x:v>retail</x:v>
      </x:c>
      <x:c r="H639" s="34" t="str">
        <x:v>2026-06-29</x:v>
      </x:c>
      <x:c r="I639" s="34" t="str">
        <x:v>supportedSockets=AM4/AM5/LGA1700/LGA1851; tdpRatingWatts=216; type=aio</x:v>
      </x:c>
      <x:c r="J639" s="34" t="str">
        <x:v>aio, 216W, ca-retail, black</x:v>
      </x:c>
      <x:c r="K639" s="34" t="str">
        <x:v>Liquid CPU cooler from CA retailer; cooling capacity conservatively derived.</x:v>
      </x:c>
      <x:c r="L639" s="34" t="str">
        <x:v>https://www.canadacomputers.com/en/aio-cpu-liquid-coolers/274971/arctic-liquid-freezer-iii-pro-360-black-aio-cpu-water-cooler-acfre00180a.html</x:v>
      </x:c>
      <x:c r="M639" s="35" t="str">
        <x:v>https://www.canadacomputers.com/en/aio-cpu-liquid-coolers/274971/arctic-liquid-freezer-iii-pro-360-black-aio-cpu-water-cooler-acfre00180a.html</x:v>
      </x:c>
    </x:row>
    <x:row r="640">
      <x:c r="A640" s="33" t="str">
        <x:v>cooler</x:v>
      </x:c>
      <x:c r="B640" s="34" t="str">
        <x:v>ca-canadacomputers-cooler-arctic-liquid-freezer-iii-pro-360-a-rgb-black-aio-cpu-water-cooler</x:v>
      </x:c>
      <x:c r="C640" s="34" t="str">
        <x:v>Arctic Liquid Freezer III PRO 360 A-RGB Black AIO CPU Water Cooler</x:v>
      </x:c>
      <x:c r="D640" s="34" t="str">
        <x:v>ARCTIC COOLING</x:v>
      </x:c>
      <x:c r="E640" s="82" t="n">
        <x:v>148.07</x:v>
      </x:c>
      <x:c r="F640" s="34" t="str">
        <x:v>USD</x:v>
      </x:c>
      <x:c r="G640" s="34" t="str">
        <x:v>retail</x:v>
      </x:c>
      <x:c r="H640" s="34" t="str">
        <x:v>2026-06-29</x:v>
      </x:c>
      <x:c r="I640" s="34" t="str">
        <x:v>supportedSockets=AM4/AM5/LGA1700/LGA1851; tdpRatingWatts=216; type=aio</x:v>
      </x:c>
      <x:c r="J640" s="34" t="str">
        <x:v>aio, 216W, ca-retail, black, rgb</x:v>
      </x:c>
      <x:c r="K640" s="34" t="str">
        <x:v>Liquid CPU cooler from CA retailer; cooling capacity conservatively derived.</x:v>
      </x:c>
      <x:c r="L640" s="34" t="str">
        <x:v>https://www.canadacomputers.com/en/aio-cpu-liquid-coolers/274967/arctic-liquid-freezer-iii-pro-360-a-rgb-black-aio-cpu-water-cooler-acfre00184a.html</x:v>
      </x:c>
      <x:c r="M640" s="35" t="str">
        <x:v>https://www.canadacomputers.com/en/aio-cpu-liquid-coolers/274967/arctic-liquid-freezer-iii-pro-360-a-rgb-black-aio-cpu-water-cooler-acfre00184a.html</x:v>
      </x:c>
    </x:row>
    <x:row r="641">
      <x:c r="A641" s="33" t="str">
        <x:v>cooler</x:v>
      </x:c>
      <x:c r="B641" s="34" t="str">
        <x:v>ca-canadacomputers-cooler-arctic-liquid-freezer-iii-pro-360-a-rgb-white-aio-cpu-water-cooler</x:v>
      </x:c>
      <x:c r="C641" s="34" t="str">
        <x:v>Arctic Liquid Freezer III PRO 360 A-RGB White AIO CPU Water Cooler</x:v>
      </x:c>
      <x:c r="D641" s="34" t="str">
        <x:v>ARCTIC COOLING</x:v>
      </x:c>
      <x:c r="E641" s="82" t="n">
        <x:v>155.12</x:v>
      </x:c>
      <x:c r="F641" s="34" t="str">
        <x:v>USD</x:v>
      </x:c>
      <x:c r="G641" s="34" t="str">
        <x:v>retail</x:v>
      </x:c>
      <x:c r="H641" s="34" t="str">
        <x:v>2026-06-29</x:v>
      </x:c>
      <x:c r="I641" s="34" t="str">
        <x:v>supportedSockets=AM4/AM5/LGA1700/LGA1851; tdpRatingWatts=216; type=aio</x:v>
      </x:c>
      <x:c r="J641" s="34" t="str">
        <x:v>aio, 216W, ca-retail, white, rgb</x:v>
      </x:c>
      <x:c r="K641" s="34" t="str">
        <x:v>Liquid CPU cooler from CA retailer; cooling capacity conservatively derived.</x:v>
      </x:c>
      <x:c r="L641" s="34" t="str">
        <x:v>https://www.canadacomputers.com/en/aio-cpu-liquid-coolers/274950/arctic-liquid-freezer-iii-pro-360-a-rgb-white-aio-cpu-water-cooler-acfre00188a.html</x:v>
      </x:c>
      <x:c r="M641" s="35" t="str">
        <x:v>https://www.canadacomputers.com/en/aio-cpu-liquid-coolers/274950/arctic-liquid-freezer-iii-pro-360-a-rgb-white-aio-cpu-water-cooler-acfre00188a.html</x:v>
      </x:c>
    </x:row>
    <x:row r="642">
      <x:c r="A642" s="33" t="str">
        <x:v>cooler</x:v>
      </x:c>
      <x:c r="B642" s="34" t="str">
        <x:v>ca-canadacomputers-cooler-arctic-liquid-freezer-iii-360-a-rgb-aio-cpu-water-cooler-white</x:v>
      </x:c>
      <x:c r="C642" s="34" t="str">
        <x:v>Arctic Liquid Freezer III 360 A-RGB AIO CPU Water Cooler, White</x:v>
      </x:c>
      <x:c r="D642" s="34" t="str">
        <x:v>ARCTIC COOLING</x:v>
      </x:c>
      <x:c r="E642" s="82" t="n">
        <x:v>148.07</x:v>
      </x:c>
      <x:c r="F642" s="34" t="str">
        <x:v>USD</x:v>
      </x:c>
      <x:c r="G642" s="34" t="str">
        <x:v>retail</x:v>
      </x:c>
      <x:c r="H642" s="34" t="str">
        <x:v>2026-06-29</x:v>
      </x:c>
      <x:c r="I642" s="34" t="str">
        <x:v>supportedSockets=AM4/AM5/LGA1700/LGA1851; tdpRatingWatts=216; type=aio</x:v>
      </x:c>
      <x:c r="J642" s="34" t="str">
        <x:v>aio, 216W, ca-retail, white, rgb</x:v>
      </x:c>
      <x:c r="K642" s="34" t="str">
        <x:v>Liquid CPU cooler from CA retailer; cooling capacity conservatively derived.</x:v>
      </x:c>
      <x:c r="L642" s="34" t="str">
        <x:v>https://www.canadacomputers.com/en/aio-cpu-liquid-coolers/252936/arctic-liquid-freezer-iii-360-a-rgb-aio-cpu-water-cooler-white-acfre00152a.html</x:v>
      </x:c>
      <x:c r="M642" s="35" t="str">
        <x:v>https://www.canadacomputers.com/en/aio-cpu-liquid-coolers/252936/arctic-liquid-freezer-iii-360-a-rgb-aio-cpu-water-cooler-white-acfre00152a.html</x:v>
      </x:c>
    </x:row>
    <x:row r="643">
      <x:c r="A643" s="33" t="str">
        <x:v>cooler</x:v>
      </x:c>
      <x:c r="B643" s="34" t="str">
        <x:v>ca-canadacomputers-cooler-lian-li-galahad-ii-trinity-sl-inf-360mm-aio-liquid-cpu-cooler-white</x:v>
      </x:c>
      <x:c r="C643" s="34" t="str">
        <x:v>LIAN LI Galahad II Trinity SL-INF 360mm AIO Liquid CPU Cooler - White</x:v>
      </x:c>
      <x:c r="D643" s="34" t="str">
        <x:v>LIAN LI</x:v>
      </x:c>
      <x:c r="E643" s="82" t="n">
        <x:v>179.8</x:v>
      </x:c>
      <x:c r="F643" s="34" t="str">
        <x:v>USD</x:v>
      </x:c>
      <x:c r="G643" s="34" t="str">
        <x:v>retail</x:v>
      </x:c>
      <x:c r="H643" s="34" t="str">
        <x:v>2026-06-29</x:v>
      </x:c>
      <x:c r="I643" s="34" t="str">
        <x:v>supportedSockets=AM4/AM5/LGA1700/LGA1851; tdpRatingWatts=324; type=aio</x:v>
      </x:c>
      <x:c r="J643" s="34" t="str">
        <x:v>aio, 324W, ca-retail, white</x:v>
      </x:c>
      <x:c r="K643" s="34" t="str">
        <x:v>Liquid CPU cooler from CA retailer; cooling capacity conservatively derived.</x:v>
      </x:c>
      <x:c r="L643" s="34" t="str">
        <x:v>https://www.canadacomputers.com/en/aio-cpu-liquid-coolers/244001/lian-li-galahad-ii-trinity-sl-inf-360mm-aio-liquid-cpu-cooler-white-ga2t36inw.html</x:v>
      </x:c>
      <x:c r="M643" s="35" t="str">
        <x:v>https://www.canadacomputers.com/en/aio-cpu-liquid-coolers/244001/lian-li-galahad-ii-trinity-sl-inf-360mm-aio-liquid-cpu-cooler-white-ga2t36inw.html</x:v>
      </x:c>
    </x:row>
    <x:row r="644">
      <x:c r="A644" s="33" t="str">
        <x:v>cooler</x:v>
      </x:c>
      <x:c r="B644" s="34" t="str">
        <x:v>ca-canadacomputers-cooler-lian-li-galahad-ii-trinity-360mm-aio-liquid-cpu-cooler-white</x:v>
      </x:c>
      <x:c r="C644" s="34" t="str">
        <x:v>LIAN LI Galahad II Trinity 360mm AIO Liquid CPU Cooler - White</x:v>
      </x:c>
      <x:c r="D644" s="34" t="str">
        <x:v>LIAN LI</x:v>
      </x:c>
      <x:c r="E644" s="82" t="n">
        <x:v>141.01</x:v>
      </x:c>
      <x:c r="F644" s="34" t="str">
        <x:v>USD</x:v>
      </x:c>
      <x:c r="G644" s="34" t="str">
        <x:v>retail</x:v>
      </x:c>
      <x:c r="H644" s="34" t="str">
        <x:v>2026-06-29</x:v>
      </x:c>
      <x:c r="I644" s="34" t="str">
        <x:v>supportedSockets=AM4/AM5/LGA1700/LGA1851; tdpRatingWatts=324; type=aio</x:v>
      </x:c>
      <x:c r="J644" s="34" t="str">
        <x:v>aio, 324W, ca-retail, white</x:v>
      </x:c>
      <x:c r="K644" s="34" t="str">
        <x:v>Liquid CPU cooler from CA retailer; cooling capacity conservatively derived.</x:v>
      </x:c>
      <x:c r="L644" s="34" t="str">
        <x:v>https://www.canadacomputers.com/en/aio-cpu-liquid-coolers/243999/lian-li-galahad-ii-trinity-360mm-aio-liquid-cpu-cooler-white-ga2t36w.html</x:v>
      </x:c>
      <x:c r="M644" s="35" t="str">
        <x:v>https://www.canadacomputers.com/en/aio-cpu-liquid-coolers/243999/lian-li-galahad-ii-trinity-360mm-aio-liquid-cpu-cooler-white-ga2t36w.html</x:v>
      </x:c>
    </x:row>
    <x:row r="645">
      <x:c r="A645" s="33" t="str">
        <x:v>psu</x:v>
      </x:c>
      <x:c r="B645" s="34" t="str">
        <x:v>psu-650</x:v>
      </x:c>
      <x:c r="C645" s="34" t="str">
        <x:v>Corsair RM650e</x:v>
      </x:c>
      <x:c r="D645" s="34" t="str">
        <x:v>Corsair</x:v>
      </x:c>
      <x:c r="E645" s="82" t="n">
        <x:v>99</x:v>
      </x:c>
      <x:c r="F645" s="34" t="str">
        <x:v>USD</x:v>
      </x:c>
      <x:c r="G645" s="34" t="str">
        <x:v>reference</x:v>
      </x:c>
      <x:c r="H645" s="34" t="str">
        <x:v>baseline seed</x:v>
      </x:c>
      <x:c r="I645" s="34" t="str">
        <x:v>wattage=650; efficiency=Gold; formFactor=ATX; modular=true</x:v>
      </x:c>
      <x:c r="J645" s="34" t="str">
        <x:v>650W, Gold, ATX</x:v>
      </x:c>
      <x:c r="K645" s="34" t="str">
        <x:v>650W fully modular Gold power supply.</x:v>
      </x:c>
      <x:c r="L645" s="34" t="str"/>
      <x:c r="M645" s="35" t="str"/>
    </x:row>
    <x:row r="646">
      <x:c r="A646" s="33" t="str">
        <x:v>psu</x:v>
      </x:c>
      <x:c r="B646" s="34" t="str">
        <x:v>psu-750</x:v>
      </x:c>
      <x:c r="C646" s="34" t="str">
        <x:v>Corsair RM750e</x:v>
      </x:c>
      <x:c r="D646" s="34" t="str">
        <x:v>Corsair</x:v>
      </x:c>
      <x:c r="E646" s="82" t="n">
        <x:v>119</x:v>
      </x:c>
      <x:c r="F646" s="34" t="str">
        <x:v>USD</x:v>
      </x:c>
      <x:c r="G646" s="34" t="str">
        <x:v>reference</x:v>
      </x:c>
      <x:c r="H646" s="34" t="str">
        <x:v>baseline seed</x:v>
      </x:c>
      <x:c r="I646" s="34" t="str">
        <x:v>wattage=750; efficiency=Gold; formFactor=ATX; modular=true</x:v>
      </x:c>
      <x:c r="J646" s="34" t="str">
        <x:v>750W, Gold, ATX</x:v>
      </x:c>
      <x:c r="K646" s="34" t="str">
        <x:v>750W fully modular Gold power supply.</x:v>
      </x:c>
      <x:c r="L646" s="34" t="str"/>
      <x:c r="M646" s="35" t="str"/>
    </x:row>
    <x:row r="647">
      <x:c r="A647" s="33" t="str">
        <x:v>psu</x:v>
      </x:c>
      <x:c r="B647" s="34" t="str">
        <x:v>psu-850</x:v>
      </x:c>
      <x:c r="C647" s="34" t="str">
        <x:v>Seasonic Focus GX-850</x:v>
      </x:c>
      <x:c r="D647" s="34" t="str">
        <x:v>Seasonic</x:v>
      </x:c>
      <x:c r="E647" s="82" t="n">
        <x:v>149</x:v>
      </x:c>
      <x:c r="F647" s="34" t="str">
        <x:v>USD</x:v>
      </x:c>
      <x:c r="G647" s="34" t="str">
        <x:v>reference</x:v>
      </x:c>
      <x:c r="H647" s="34" t="str">
        <x:v>baseline seed</x:v>
      </x:c>
      <x:c r="I647" s="34" t="str">
        <x:v>wattage=850; efficiency=Gold; formFactor=ATX; modular=true</x:v>
      </x:c>
      <x:c r="J647" s="34" t="str">
        <x:v>850W, Gold, ATX</x:v>
      </x:c>
      <x:c r="K647" s="34" t="str">
        <x:v>850W fully modular Gold power supply.</x:v>
      </x:c>
      <x:c r="L647" s="34" t="str"/>
      <x:c r="M647" s="35" t="str"/>
    </x:row>
    <x:row r="648">
      <x:c r="A648" s="33" t="str">
        <x:v>psu</x:v>
      </x:c>
      <x:c r="B648" s="34" t="str">
        <x:v>psu-1000</x:v>
      </x:c>
      <x:c r="C648" s="34" t="str">
        <x:v>Corsair RM1000x</x:v>
      </x:c>
      <x:c r="D648" s="34" t="str">
        <x:v>Corsair</x:v>
      </x:c>
      <x:c r="E648" s="82" t="n">
        <x:v>189</x:v>
      </x:c>
      <x:c r="F648" s="34" t="str">
        <x:v>USD</x:v>
      </x:c>
      <x:c r="G648" s="34" t="str">
        <x:v>reference</x:v>
      </x:c>
      <x:c r="H648" s="34" t="str">
        <x:v>baseline seed</x:v>
      </x:c>
      <x:c r="I648" s="34" t="str">
        <x:v>wattage=1000; efficiency=Gold; formFactor=ATX; modular=true</x:v>
      </x:c>
      <x:c r="J648" s="34" t="str">
        <x:v>1000W, Gold, ATX</x:v>
      </x:c>
      <x:c r="K648" s="34" t="str">
        <x:v>1000W fully modular Gold power supply.</x:v>
      </x:c>
      <x:c r="L648" s="34" t="str"/>
      <x:c r="M648" s="35" t="str"/>
    </x:row>
    <x:row r="649">
      <x:c r="A649" s="33" t="str">
        <x:v>psu</x:v>
      </x:c>
      <x:c r="B649" s="34" t="str">
        <x:v>psu-1000-white</x:v>
      </x:c>
      <x:c r="C649" s="34" t="str">
        <x:v>Corsair RM1000x SHIFT White</x:v>
      </x:c>
      <x:c r="D649" s="34" t="str">
        <x:v>Corsair</x:v>
      </x:c>
      <x:c r="E649" s="82" t="n">
        <x:v>229</x:v>
      </x:c>
      <x:c r="F649" s="34" t="str">
        <x:v>USD</x:v>
      </x:c>
      <x:c r="G649" s="34" t="str">
        <x:v>reference</x:v>
      </x:c>
      <x:c r="H649" s="34" t="str">
        <x:v>baseline seed</x:v>
      </x:c>
      <x:c r="I649" s="34" t="str">
        <x:v>wattage=1000; efficiency=Gold; formFactor=ATX; modular=true</x:v>
      </x:c>
      <x:c r="J649" s="34" t="str">
        <x:v>1000W, Gold, ATX, white</x:v>
      </x:c>
      <x:c r="K649" s="34" t="str">
        <x:v>1000W fully modular Gold power supply.</x:v>
      </x:c>
      <x:c r="L649" s="34" t="str"/>
      <x:c r="M649" s="35" t="str"/>
    </x:row>
    <x:row r="650">
      <x:c r="A650" s="33" t="str">
        <x:v>psu</x:v>
      </x:c>
      <x:c r="B650" s="34" t="str">
        <x:v>psu-1200-white</x:v>
      </x:c>
      <x:c r="C650" s="34" t="str">
        <x:v>Thermaltake Toughpower GF3 1200W Snow</x:v>
      </x:c>
      <x:c r="D650" s="34" t="str">
        <x:v>Thermaltake</x:v>
      </x:c>
      <x:c r="E650" s="82" t="n">
        <x:v>249</x:v>
      </x:c>
      <x:c r="F650" s="34" t="str">
        <x:v>USD</x:v>
      </x:c>
      <x:c r="G650" s="34" t="str">
        <x:v>reference</x:v>
      </x:c>
      <x:c r="H650" s="34" t="str">
        <x:v>baseline seed</x:v>
      </x:c>
      <x:c r="I650" s="34" t="str">
        <x:v>wattage=1200; efficiency=Gold; formFactor=ATX; modular=true</x:v>
      </x:c>
      <x:c r="J650" s="34" t="str">
        <x:v>1200W, Gold, ATX, white</x:v>
      </x:c>
      <x:c r="K650" s="34" t="str">
        <x:v>1200W fully modular Gold power supply.</x:v>
      </x:c>
      <x:c r="L650" s="34" t="str"/>
      <x:c r="M650" s="35" t="str"/>
    </x:row>
    <x:row r="651">
      <x:c r="A651" s="33" t="str">
        <x:v>psu</x:v>
      </x:c>
      <x:c r="B651" s="34" t="str">
        <x:v>psu-1200</x:v>
      </x:c>
      <x:c r="C651" s="34" t="str">
        <x:v>be quiet! Dark Power 13</x:v>
      </x:c>
      <x:c r="D651" s="34" t="str">
        <x:v>be</x:v>
      </x:c>
      <x:c r="E651" s="82" t="n">
        <x:v>279</x:v>
      </x:c>
      <x:c r="F651" s="34" t="str">
        <x:v>USD</x:v>
      </x:c>
      <x:c r="G651" s="34" t="str">
        <x:v>reference</x:v>
      </x:c>
      <x:c r="H651" s="34" t="str">
        <x:v>baseline seed</x:v>
      </x:c>
      <x:c r="I651" s="34" t="str">
        <x:v>wattage=1200; efficiency=Titanium; formFactor=ATX; modular=true</x:v>
      </x:c>
      <x:c r="J651" s="34" t="str">
        <x:v>1200W, Titanium, ATX</x:v>
      </x:c>
      <x:c r="K651" s="34" t="str">
        <x:v>1200W fully modular Titanium power supply.</x:v>
      </x:c>
      <x:c r="L651" s="34" t="str"/>
      <x:c r="M651" s="35" t="str"/>
    </x:row>
    <x:row r="652">
      <x:c r="A652" s="33" t="str">
        <x:v>psu</x:v>
      </x:c>
      <x:c r="B652" s="34" t="str">
        <x:v>psu-1600</x:v>
      </x:c>
      <x:c r="C652" s="34" t="str">
        <x:v>be quiet! Dark Power Pro 13 1600W</x:v>
      </x:c>
      <x:c r="D652" s="34" t="str">
        <x:v>be</x:v>
      </x:c>
      <x:c r="E652" s="82" t="n">
        <x:v>499</x:v>
      </x:c>
      <x:c r="F652" s="34" t="str">
        <x:v>USD</x:v>
      </x:c>
      <x:c r="G652" s="34" t="str">
        <x:v>reference</x:v>
      </x:c>
      <x:c r="H652" s="34" t="str">
        <x:v>baseline seed</x:v>
      </x:c>
      <x:c r="I652" s="34" t="str">
        <x:v>wattage=1600; efficiency=Titanium; formFactor=ATX; modular=true</x:v>
      </x:c>
      <x:c r="J652" s="34" t="str">
        <x:v>1600W, Titanium, ATX</x:v>
      </x:c>
      <x:c r="K652" s="34" t="str">
        <x:v>1600W fully modular Titanium power supply.</x:v>
      </x:c>
      <x:c r="L652" s="34" t="str"/>
      <x:c r="M652" s="35" t="str"/>
    </x:row>
    <x:row r="653">
      <x:c r="A653" s="33" t="str">
        <x:v>psu</x:v>
      </x:c>
      <x:c r="B653" s="34" t="str">
        <x:v>psu-sfx750</x:v>
      </x:c>
      <x:c r="C653" s="34" t="str">
        <x:v>Corsair SF750</x:v>
      </x:c>
      <x:c r="D653" s="34" t="str">
        <x:v>Corsair</x:v>
      </x:c>
      <x:c r="E653" s="82" t="n">
        <x:v>169</x:v>
      </x:c>
      <x:c r="F653" s="34" t="str">
        <x:v>USD</x:v>
      </x:c>
      <x:c r="G653" s="34" t="str">
        <x:v>reference</x:v>
      </x:c>
      <x:c r="H653" s="34" t="str">
        <x:v>baseline seed</x:v>
      </x:c>
      <x:c r="I653" s="34" t="str">
        <x:v>wattage=750; efficiency=Platinum; formFactor=SFX; modular=true</x:v>
      </x:c>
      <x:c r="J653" s="34" t="str">
        <x:v>750W, Platinum, SFX</x:v>
      </x:c>
      <x:c r="K653" s="34" t="str">
        <x:v>750W fully modular Platinum power supply.</x:v>
      </x:c>
      <x:c r="L653" s="34" t="str"/>
      <x:c r="M653" s="35" t="str"/>
    </x:row>
    <x:row r="654">
      <x:c r="A654" s="33" t="str">
        <x:v>psu</x:v>
      </x:c>
      <x:c r="B654" s="34" t="str">
        <x:v>psu-rm1200x-shift-white</x:v>
      </x:c>
      <x:c r="C654" s="34" t="str">
        <x:v>Corsair RM1200x SHIFT White ATX 3.1</x:v>
      </x:c>
      <x:c r="D654" s="34" t="str">
        <x:v>Corsair</x:v>
      </x:c>
      <x:c r="E654" s="82" t="n">
        <x:v>269</x:v>
      </x:c>
      <x:c r="F654" s="34" t="str">
        <x:v>USD</x:v>
      </x:c>
      <x:c r="G654" s="34" t="str">
        <x:v>retail</x:v>
      </x:c>
      <x:c r="H654" s="34" t="str">
        <x:v>2026-06-28</x:v>
      </x:c>
      <x:c r="I654" s="34" t="str">
        <x:v>wattage=1200; efficiency=Gold; formFactor=ATX; modular=true</x:v>
      </x:c>
      <x:c r="J654" s="34" t="str">
        <x:v>1200W, Gold, ATX, white, atx3.1, 12v-2x6</x:v>
      </x:c>
      <x:c r="K654" s="34" t="str">
        <x:v>1200W fully modular Gold power supply.</x:v>
      </x:c>
      <x:c r="L654" s="34" t="str">
        <x:v>https://www.corsair.com/us/en/p/psu/cp-9020276-na/rm1200x-shift-80-plus-gold-fully-modular-atx-power-supply-white-na-cp-9020276-na</x:v>
      </x:c>
      <x:c r="M654" s="35" t="str">
        <x:v>https://www.corsair.com/us/en/p/psu/cp-9020276-na/rm1200x-shift-80-plus-gold-fully-modular-atx-power-supply-white-na-cp-9020276-na</x:v>
      </x:c>
    </x:row>
    <x:row r="655">
      <x:c r="A655" s="33" t="str">
        <x:v>psu</x:v>
      </x:c>
      <x:c r="B655" s="34" t="str">
        <x:v>psu-vertex-px1200</x:v>
      </x:c>
      <x:c r="C655" s="34" t="str">
        <x:v>Seasonic Vertex PX-1200 ATX 3.1</x:v>
      </x:c>
      <x:c r="D655" s="34" t="str">
        <x:v>Seasonic</x:v>
      </x:c>
      <x:c r="E655" s="82" t="n">
        <x:v>329</x:v>
      </x:c>
      <x:c r="F655" s="34" t="str">
        <x:v>USD</x:v>
      </x:c>
      <x:c r="G655" s="34" t="str">
        <x:v>reference</x:v>
      </x:c>
      <x:c r="H655" s="34" t="str">
        <x:v>2026-06-28</x:v>
      </x:c>
      <x:c r="I655" s="34" t="str">
        <x:v>wattage=1200; efficiency=Platinum; formFactor=ATX; modular=true</x:v>
      </x:c>
      <x:c r="J655" s="34" t="str">
        <x:v>1200W, Platinum, ATX, atx3.1, 12v-2x6, quiet</x:v>
      </x:c>
      <x:c r="K655" s="34" t="str">
        <x:v>1200W fully modular Platinum power supply.</x:v>
      </x:c>
      <x:c r="L655" s="34" t="str">
        <x:v>https://seasonic.com/vertex-px/</x:v>
      </x:c>
      <x:c r="M655" s="35" t="str">
        <x:v>https://seasonic.com/vertex-px/</x:v>
      </x:c>
    </x:row>
    <x:row r="656">
      <x:c r="A656" s="33" t="str">
        <x:v>psu</x:v>
      </x:c>
      <x:c r="B656" s="34" t="str">
        <x:v>psu-sfx1000</x:v>
      </x:c>
      <x:c r="C656" s="34" t="str">
        <x:v>Corsair SF1000 Platinum</x:v>
      </x:c>
      <x:c r="D656" s="34" t="str">
        <x:v>Corsair</x:v>
      </x:c>
      <x:c r="E656" s="82" t="n">
        <x:v>239</x:v>
      </x:c>
      <x:c r="F656" s="34" t="str">
        <x:v>USD</x:v>
      </x:c>
      <x:c r="G656" s="34" t="str">
        <x:v>reference</x:v>
      </x:c>
      <x:c r="H656" s="34" t="str">
        <x:v>2026-06-28</x:v>
      </x:c>
      <x:c r="I656" s="34" t="str">
        <x:v>wattage=1000; efficiency=Platinum; formFactor=SFX; modular=true</x:v>
      </x:c>
      <x:c r="J656" s="34" t="str">
        <x:v>1000W, Platinum, SFX, sff, atx3.1, 12v-2x6</x:v>
      </x:c>
      <x:c r="K656" s="34" t="str">
        <x:v>1000W fully modular Platinum power supply.</x:v>
      </x:c>
      <x:c r="L656" s="34" t="str">
        <x:v>https://www.corsair.com/us/en/p/psu/cp-9020257-na/sf-series-sf1000-fully-modular-80-plus-platinum-sfx-power-supply-cp-9020257-na</x:v>
      </x:c>
      <x:c r="M656" s="35" t="str">
        <x:v>https://www.corsair.com/us/en/p/psu/cp-9020257-na/sf-series-sf1000-fully-modular-80-plus-platinum-sfx-power-supply-cp-9020257-na</x:v>
      </x:c>
    </x:row>
    <x:row r="657">
      <x:c r="A657" s="33" t="str">
        <x:v>psu</x:v>
      </x:c>
      <x:c r="B657" s="34" t="str">
        <x:v>hf-power-supply-15089</x:v>
      </x:c>
      <x:c r="C657" s="34" t="str">
        <x:v>Corsair CXM</x:v>
      </x:c>
      <x:c r="D657" s="34" t="str">
        <x:v>Corsair</x:v>
      </x:c>
      <x:c r="E657" s="82" t="n">
        <x:v>501.62</x:v>
      </x:c>
      <x:c r="F657" s="34" t="str">
        <x:v>USD</x:v>
      </x:c>
      <x:c r="G657" s="34" t="str">
        <x:v>reference</x:v>
      </x:c>
      <x:c r="H657" s="34" t="str">
        <x:v>2026-06-28</x:v>
      </x:c>
      <x:c r="I657" s="34" t="str">
        <x:v>wattage=750; efficiency=Bronze; formFactor=ATX; modular=true</x:v>
      </x:c>
      <x:c r="J657" s="34" t="str">
        <x:v>750W, Bronze, ATX, modular, dataset</x:v>
      </x:c>
      <x:c r="K657" s="34" t="str">
        <x:v>750W Bronze ATX power supply with modular cabling.</x:v>
      </x:c>
      <x:c r="L657" s="34" t="str">
        <x:v>https://fr.pcpartpicker.com/product/CVkD4D/corsair-cxm-750-w-80-bronze-certified-semi-modular-atx-power-supply-cx750m</x:v>
      </x:c>
      <x:c r="M657" s="35" t="str">
        <x:v>https://fr.pcpartpicker.com/product/CVkD4D/corsair-cxm-750-w-80-bronze-certified-semi-modular-atx-power-supply-cx750m</x:v>
      </x:c>
    </x:row>
    <x:row r="658">
      <x:c r="A658" s="33" t="str">
        <x:v>psu</x:v>
      </x:c>
      <x:c r="B658" s="34" t="str">
        <x:v>hf-power-supply-216101</x:v>
      </x:c>
      <x:c r="C658" s="34" t="str">
        <x:v>Corsair SF750 (2018)</x:v>
      </x:c>
      <x:c r="D658" s="34" t="str">
        <x:v>Corsair</x:v>
      </x:c>
      <x:c r="E658" s="82" t="n">
        <x:v>237.72</x:v>
      </x:c>
      <x:c r="F658" s="34" t="str">
        <x:v>USD</x:v>
      </x:c>
      <x:c r="G658" s="34" t="str">
        <x:v>reference</x:v>
      </x:c>
      <x:c r="H658" s="34" t="str">
        <x:v>2026-06-28</x:v>
      </x:c>
      <x:c r="I658" s="34" t="str">
        <x:v>wattage=750; efficiency=Platinum; formFactor=SFX; modular=true</x:v>
      </x:c>
      <x:c r="J658" s="34" t="str">
        <x:v>750W, Platinum, SFX, modular, dataset</x:v>
      </x:c>
      <x:c r="K658" s="34" t="str">
        <x:v>750W Platinum SFX power supply with modular cabling.</x:v>
      </x:c>
      <x:c r="L658" s="34" t="str">
        <x:v>https://fr.pcpartpicker.com/product/nJrmP6/corsair-sf750-2018-750-w-80-platinum-certified-fully-modular-sfx-power-supply-cp-9020186-na</x:v>
      </x:c>
      <x:c r="M658" s="35" t="str">
        <x:v>https://fr.pcpartpicker.com/product/nJrmP6/corsair-sf750-2018-750-w-80-platinum-certified-fully-modular-sfx-power-supply-cp-9020186-na</x:v>
      </x:c>
    </x:row>
    <x:row r="659">
      <x:c r="A659" s="33" t="str">
        <x:v>psu</x:v>
      </x:c>
      <x:c r="B659" s="34" t="str">
        <x:v>hf-power-supply-243352</x:v>
      </x:c>
      <x:c r="C659" s="34" t="str">
        <x:v>Corsair RM750 (2019)</x:v>
      </x:c>
      <x:c r="D659" s="34" t="str">
        <x:v>Corsair</x:v>
      </x:c>
      <x:c r="E659" s="82" t="n">
        <x:v>610.19</x:v>
      </x:c>
      <x:c r="F659" s="34" t="str">
        <x:v>USD</x:v>
      </x:c>
      <x:c r="G659" s="34" t="str">
        <x:v>reference</x:v>
      </x:c>
      <x:c r="H659" s="34" t="str">
        <x:v>2026-06-28</x:v>
      </x:c>
      <x:c r="I659" s="34" t="str">
        <x:v>wattage=750; efficiency=Gold; formFactor=ATX; modular=true</x:v>
      </x:c>
      <x:c r="J659" s="34" t="str">
        <x:v>750W, Gold, ATX, modular, dataset</x:v>
      </x:c>
      <x:c r="K659" s="34" t="str">
        <x:v>750W Gold ATX power supply with modular cabling.</x:v>
      </x:c>
      <x:c r="L659" s="34" t="str">
        <x:v>https://fr.pcpartpicker.com/product/6Y66Mp/corsair-rm750-2019-750-w-80-gold-certified-fully-modular-atx-power-supply-cp-9020195-na</x:v>
      </x:c>
      <x:c r="M659" s="35" t="str">
        <x:v>https://fr.pcpartpicker.com/product/6Y66Mp/corsair-rm750-2019-750-w-80-gold-certified-fully-modular-atx-power-supply-cp-9020195-na</x:v>
      </x:c>
    </x:row>
    <x:row r="660">
      <x:c r="A660" s="33" t="str">
        <x:v>psu</x:v>
      </x:c>
      <x:c r="B660" s="34" t="str">
        <x:v>hf-power-supply-169553</x:v>
      </x:c>
      <x:c r="C660" s="34" t="str">
        <x:v>Corsair RM850x (2018)</x:v>
      </x:c>
      <x:c r="D660" s="34" t="str">
        <x:v>Corsair</x:v>
      </x:c>
      <x:c r="E660" s="82" t="n">
        <x:v>289.3</x:v>
      </x:c>
      <x:c r="F660" s="34" t="str">
        <x:v>USD</x:v>
      </x:c>
      <x:c r="G660" s="34" t="str">
        <x:v>reference</x:v>
      </x:c>
      <x:c r="H660" s="34" t="str">
        <x:v>2026-06-28</x:v>
      </x:c>
      <x:c r="I660" s="34" t="str">
        <x:v>wattage=850; efficiency=Gold; formFactor=ATX; modular=true</x:v>
      </x:c>
      <x:c r="J660" s="34" t="str">
        <x:v>850W, Gold, ATX, modular, dataset</x:v>
      </x:c>
      <x:c r="K660" s="34" t="str">
        <x:v>850W Gold ATX power supply with modular cabling.</x:v>
      </x:c>
      <x:c r="L660" s="34" t="str">
        <x:v>https://fr.pcpartpicker.com/product/VgQG3C/corsair-rm850x-2018-850-w-80-gold-certified-fully-modular-atx-power-supply-cp-9020180-na</x:v>
      </x:c>
      <x:c r="M660" s="35" t="str">
        <x:v>https://fr.pcpartpicker.com/product/VgQG3C/corsair-rm850x-2018-850-w-80-gold-certified-fully-modular-atx-power-supply-cp-9020180-na</x:v>
      </x:c>
    </x:row>
    <x:row r="661">
      <x:c r="A661" s="33" t="str">
        <x:v>psu</x:v>
      </x:c>
      <x:c r="B661" s="34" t="str">
        <x:v>hf-power-supply-460827</x:v>
      </x:c>
      <x:c r="C661" s="34" t="str">
        <x:v>Corsair RM750e (2023)</x:v>
      </x:c>
      <x:c r="D661" s="34" t="str">
        <x:v>Corsair</x:v>
      </x:c>
      <x:c r="E661" s="82" t="n">
        <x:v>141.03</x:v>
      </x:c>
      <x:c r="F661" s="34" t="str">
        <x:v>USD</x:v>
      </x:c>
      <x:c r="G661" s="34" t="str">
        <x:v>reference</x:v>
      </x:c>
      <x:c r="H661" s="34" t="str">
        <x:v>2026-06-28</x:v>
      </x:c>
      <x:c r="I661" s="34" t="str">
        <x:v>wattage=750; efficiency=Gold; formFactor=ATX; modular=true</x:v>
      </x:c>
      <x:c r="J661" s="34" t="str">
        <x:v>750W, Gold, ATX, modular, dataset</x:v>
      </x:c>
      <x:c r="K661" s="34" t="str">
        <x:v>750W Gold ATX power supply with modular cabling.</x:v>
      </x:c>
      <x:c r="L661" s="34" t="str">
        <x:v>https://fr.pcpartpicker.com/product/YRJp99/corsair-rm750e-2023-750-w-80-gold-certified-fully-modular-atx-power-supply-cp-9020262-na</x:v>
      </x:c>
      <x:c r="M661" s="35" t="str">
        <x:v>https://fr.pcpartpicker.com/product/YRJp99/corsair-rm750e-2023-750-w-80-gold-certified-fully-modular-atx-power-supply-cp-9020262-na</x:v>
      </x:c>
    </x:row>
    <x:row r="662">
      <x:c r="A662" s="33" t="str">
        <x:v>psu</x:v>
      </x:c>
      <x:c r="B662" s="34" t="str">
        <x:v>hf-power-supply-169552</x:v>
      </x:c>
      <x:c r="C662" s="34" t="str">
        <x:v>Corsair RM750x (2018)</x:v>
      </x:c>
      <x:c r="D662" s="34" t="str">
        <x:v>Corsair</x:v>
      </x:c>
      <x:c r="E662" s="82" t="n">
        <x:v>550.11</x:v>
      </x:c>
      <x:c r="F662" s="34" t="str">
        <x:v>USD</x:v>
      </x:c>
      <x:c r="G662" s="34" t="str">
        <x:v>reference</x:v>
      </x:c>
      <x:c r="H662" s="34" t="str">
        <x:v>2026-06-28</x:v>
      </x:c>
      <x:c r="I662" s="34" t="str">
        <x:v>wattage=750; efficiency=Gold; formFactor=ATX; modular=true</x:v>
      </x:c>
      <x:c r="J662" s="34" t="str">
        <x:v>750W, Gold, ATX, modular, dataset</x:v>
      </x:c>
      <x:c r="K662" s="34" t="str">
        <x:v>750W Gold ATX power supply with modular cabling.</x:v>
      </x:c>
      <x:c r="L662" s="34" t="str">
        <x:v>https://fr.pcpartpicker.com/product/79tQzy/corsair-rm750x-2018-750-w-80-gold-certified-fully-modular-atx-power-supply-cp-9020179-na</x:v>
      </x:c>
      <x:c r="M662" s="35" t="str">
        <x:v>https://fr.pcpartpicker.com/product/79tQzy/corsair-rm750x-2018-750-w-80-gold-certified-fully-modular-atx-power-supply-cp-9020179-na</x:v>
      </x:c>
    </x:row>
    <x:row r="663">
      <x:c r="A663" s="33" t="str">
        <x:v>psu</x:v>
      </x:c>
      <x:c r="B663" s="34" t="str">
        <x:v>hf-power-supply-22177</x:v>
      </x:c>
      <x:c r="C663" s="34" t="str">
        <x:v>Corsair RM750</x:v>
      </x:c>
      <x:c r="D663" s="34" t="str">
        <x:v>Corsair</x:v>
      </x:c>
      <x:c r="E663" s="82" t="n">
        <x:v>708.48</x:v>
      </x:c>
      <x:c r="F663" s="34" t="str">
        <x:v>USD</x:v>
      </x:c>
      <x:c r="G663" s="34" t="str">
        <x:v>reference</x:v>
      </x:c>
      <x:c r="H663" s="34" t="str">
        <x:v>2026-06-28</x:v>
      </x:c>
      <x:c r="I663" s="34" t="str">
        <x:v>wattage=750; efficiency=Gold; formFactor=ATX; modular=true</x:v>
      </x:c>
      <x:c r="J663" s="34" t="str">
        <x:v>750W, Gold, ATX, modular, dataset</x:v>
      </x:c>
      <x:c r="K663" s="34" t="str">
        <x:v>750W Gold ATX power supply with modular cabling.</x:v>
      </x:c>
      <x:c r="L663" s="34" t="str">
        <x:v>https://fr.pcpartpicker.com/product/47mLrH/corsair-rm750-750-w-80-gold-certified-fully-modular-atx-power-supply-rm750</x:v>
      </x:c>
      <x:c r="M663" s="35" t="str">
        <x:v>https://fr.pcpartpicker.com/product/47mLrH/corsair-rm750-750-w-80-gold-certified-fully-modular-atx-power-supply-rm750</x:v>
      </x:c>
    </x:row>
    <x:row r="664">
      <x:c r="A664" s="33" t="str">
        <x:v>psu</x:v>
      </x:c>
      <x:c r="B664" s="34" t="str">
        <x:v>hf-power-supply-13726</x:v>
      </x:c>
      <x:c r="C664" s="34" t="str">
        <x:v>Corsair CX600</x:v>
      </x:c>
      <x:c r="D664" s="34" t="str">
        <x:v>Corsair</x:v>
      </x:c>
      <x:c r="E664" s="82" t="n">
        <x:v>725.5</x:v>
      </x:c>
      <x:c r="F664" s="34" t="str">
        <x:v>USD</x:v>
      </x:c>
      <x:c r="G664" s="34" t="str">
        <x:v>reference</x:v>
      </x:c>
      <x:c r="H664" s="34" t="str">
        <x:v>2026-06-28</x:v>
      </x:c>
      <x:c r="I664" s="34" t="str">
        <x:v>wattage=600; efficiency=Bronze; formFactor=ATX; modular=false</x:v>
      </x:c>
      <x:c r="J664" s="34" t="str">
        <x:v>600W, Bronze, ATX, non-modular, dataset</x:v>
      </x:c>
      <x:c r="K664" s="34" t="str">
        <x:v>600W Bronze ATX power supply.</x:v>
      </x:c>
      <x:c r="L664" s="34" t="str">
        <x:v>https://fr.pcpartpicker.com/product/Cfw323/corsair-cx600-600-w-80-bronze-certified-atx-power-supply-cx600</x:v>
      </x:c>
      <x:c r="M664" s="35" t="str">
        <x:v>https://fr.pcpartpicker.com/product/Cfw323/corsair-cx600-600-w-80-bronze-certified-atx-power-supply-cx600</x:v>
      </x:c>
    </x:row>
    <x:row r="665">
      <x:c r="A665" s="33" t="str">
        <x:v>psu</x:v>
      </x:c>
      <x:c r="B665" s="34" t="str">
        <x:v>hf-power-supply-363626</x:v>
      </x:c>
      <x:c r="C665" s="34" t="str">
        <x:v>Corsair RM1000x (2021)</x:v>
      </x:c>
      <x:c r="D665" s="34" t="str">
        <x:v>Corsair</x:v>
      </x:c>
      <x:c r="E665" s="82" t="n">
        <x:v>233.71</x:v>
      </x:c>
      <x:c r="F665" s="34" t="str">
        <x:v>USD</x:v>
      </x:c>
      <x:c r="G665" s="34" t="str">
        <x:v>reference</x:v>
      </x:c>
      <x:c r="H665" s="34" t="str">
        <x:v>2026-06-28</x:v>
      </x:c>
      <x:c r="I665" s="34" t="str">
        <x:v>wattage=1000; efficiency=Gold; formFactor=ATX; modular=true</x:v>
      </x:c>
      <x:c r="J665" s="34" t="str">
        <x:v>1000W, Gold, ATX, modular, dataset</x:v>
      </x:c>
      <x:c r="K665" s="34" t="str">
        <x:v>1000W Gold ATX power supply with modular cabling.</x:v>
      </x:c>
      <x:c r="L665" s="34" t="str">
        <x:v>https://fr.pcpartpicker.com/product/jRvdnQ/corsair-rm1000x-2021-1000-w-80-gold-certified-fully-modular-atx-power-supply-cp-9020201-na</x:v>
      </x:c>
      <x:c r="M665" s="35" t="str">
        <x:v>https://fr.pcpartpicker.com/product/jRvdnQ/corsair-rm1000x-2021-1000-w-80-gold-certified-fully-modular-atx-power-supply-cp-9020201-na</x:v>
      </x:c>
    </x:row>
    <x:row r="666">
      <x:c r="A666" s="33" t="str">
        <x:v>psu</x:v>
      </x:c>
      <x:c r="B666" s="34" t="str">
        <x:v>hf-power-supply-460828</x:v>
      </x:c>
      <x:c r="C666" s="34" t="str">
        <x:v>Corsair RM850e (2023)</x:v>
      </x:c>
      <x:c r="D666" s="34" t="str">
        <x:v>Corsair</x:v>
      </x:c>
      <x:c r="E666" s="82" t="n">
        <x:v>128.72</x:v>
      </x:c>
      <x:c r="F666" s="34" t="str">
        <x:v>USD</x:v>
      </x:c>
      <x:c r="G666" s="34" t="str">
        <x:v>reference</x:v>
      </x:c>
      <x:c r="H666" s="34" t="str">
        <x:v>2026-06-28</x:v>
      </x:c>
      <x:c r="I666" s="34" t="str">
        <x:v>wattage=850; efficiency=Gold; formFactor=ATX; modular=true</x:v>
      </x:c>
      <x:c r="J666" s="34" t="str">
        <x:v>850W, Gold, ATX, modular, dataset</x:v>
      </x:c>
      <x:c r="K666" s="34" t="str">
        <x:v>850W Gold ATX power supply with modular cabling.</x:v>
      </x:c>
      <x:c r="L666" s="34" t="str">
        <x:v>https://fr.pcpartpicker.com/product/4ZRwrH/corsair-rm850e-2023-850-w-80-gold-certified-fully-modular-atx-power-supply-cp-9020263-na</x:v>
      </x:c>
      <x:c r="M666" s="35" t="str">
        <x:v>https://fr.pcpartpicker.com/product/4ZRwrH/corsair-rm850e-2023-850-w-80-gold-certified-fully-modular-atx-power-supply-cp-9020263-na</x:v>
      </x:c>
    </x:row>
    <x:row r="667">
      <x:c r="A667" s="33" t="str">
        <x:v>psu</x:v>
      </x:c>
      <x:c r="B667" s="34" t="str">
        <x:v>hf-power-supply-480440</x:v>
      </x:c>
      <x:c r="C667" s="34" t="str">
        <x:v>MSI MAG A750GL PCIE5</x:v>
      </x:c>
      <x:c r="D667" s="34" t="str">
        <x:v>MSI</x:v>
      </x:c>
      <x:c r="E667" s="82" t="n">
        <x:v>119.7</x:v>
      </x:c>
      <x:c r="F667" s="34" t="str">
        <x:v>USD</x:v>
      </x:c>
      <x:c r="G667" s="34" t="str">
        <x:v>reference</x:v>
      </x:c>
      <x:c r="H667" s="34" t="str">
        <x:v>2026-06-28</x:v>
      </x:c>
      <x:c r="I667" s="34" t="str">
        <x:v>wattage=750; efficiency=Gold; formFactor=ATX; modular=true</x:v>
      </x:c>
      <x:c r="J667" s="34" t="str">
        <x:v>750W, Gold, ATX, modular, dataset</x:v>
      </x:c>
      <x:c r="K667" s="34" t="str">
        <x:v>750W Gold ATX power supply with modular cabling.</x:v>
      </x:c>
      <x:c r="L667" s="34" t="str">
        <x:v>https://fr.pcpartpicker.com/product/dbCZxr/msi-mag-a750gl-pcie5-750-w-80-gold-certified-fully-modular-atx-power-supply-mag-a750gl-pcie5</x:v>
      </x:c>
      <x:c r="M667" s="35" t="str">
        <x:v>https://fr.pcpartpicker.com/product/dbCZxr/msi-mag-a750gl-pcie5-750-w-80-gold-certified-fully-modular-atx-power-supply-mag-a750gl-pcie5</x:v>
      </x:c>
    </x:row>
    <x:row r="668">
      <x:c r="A668" s="33" t="str">
        <x:v>psu</x:v>
      </x:c>
      <x:c r="B668" s="34" t="str">
        <x:v>hf-power-supply-478401</x:v>
      </x:c>
      <x:c r="C668" s="34" t="str">
        <x:v>MSI MAG A850GL PCIE5</x:v>
      </x:c>
      <x:c r="D668" s="34" t="str">
        <x:v>MSI</x:v>
      </x:c>
      <x:c r="E668" s="82" t="n">
        <x:v>125.4</x:v>
      </x:c>
      <x:c r="F668" s="34" t="str">
        <x:v>USD</x:v>
      </x:c>
      <x:c r="G668" s="34" t="str">
        <x:v>reference</x:v>
      </x:c>
      <x:c r="H668" s="34" t="str">
        <x:v>2026-06-28</x:v>
      </x:c>
      <x:c r="I668" s="34" t="str">
        <x:v>wattage=850; efficiency=Gold; formFactor=ATX; modular=true</x:v>
      </x:c>
      <x:c r="J668" s="34" t="str">
        <x:v>850W, Gold, ATX, modular, dataset</x:v>
      </x:c>
      <x:c r="K668" s="34" t="str">
        <x:v>850W Gold ATX power supply with modular cabling.</x:v>
      </x:c>
      <x:c r="L668" s="34" t="str">
        <x:v>https://fr.pcpartpicker.com/product/zF4Zxr/msi-mag-a850gl-pcie5-850-w-80-gold-certified-fully-modular-atx-power-supply-mag-a850gl-pcie5</x:v>
      </x:c>
      <x:c r="M668" s="35" t="str">
        <x:v>https://fr.pcpartpicker.com/product/zF4Zxr/msi-mag-a850gl-pcie5-850-w-80-gold-certified-fully-modular-atx-power-supply-mag-a850gl-pcie5</x:v>
      </x:c>
    </x:row>
    <x:row r="669">
      <x:c r="A669" s="33" t="str">
        <x:v>psu</x:v>
      </x:c>
      <x:c r="B669" s="34" t="str">
        <x:v>hf-power-supply-389887</x:v>
      </x:c>
      <x:c r="C669" s="34" t="str">
        <x:v>Corsair RM850</x:v>
      </x:c>
      <x:c r="D669" s="34" t="str">
        <x:v>Corsair</x:v>
      </x:c>
      <x:c r="E669" s="82" t="n">
        <x:v>190.77</x:v>
      </x:c>
      <x:c r="F669" s="34" t="str">
        <x:v>USD</x:v>
      </x:c>
      <x:c r="G669" s="34" t="str">
        <x:v>reference</x:v>
      </x:c>
      <x:c r="H669" s="34" t="str">
        <x:v>2026-06-28</x:v>
      </x:c>
      <x:c r="I669" s="34" t="str">
        <x:v>wattage=850; efficiency=Gold; formFactor=ATX; modular=true</x:v>
      </x:c>
      <x:c r="J669" s="34" t="str">
        <x:v>850W, Gold, ATX, modular, dataset</x:v>
      </x:c>
      <x:c r="K669" s="34" t="str">
        <x:v>850W Gold ATX power supply with modular cabling.</x:v>
      </x:c>
      <x:c r="L669" s="34" t="str">
        <x:v>https://fr.pcpartpicker.com/product/9KGbt6/corsair-rm850-850-w-80-gold-certified-fully-modular-atx-power-supply-cp-9020232-na</x:v>
      </x:c>
      <x:c r="M669" s="35" t="str">
        <x:v>https://fr.pcpartpicker.com/product/9KGbt6/corsair-rm850-850-w-80-gold-certified-fully-modular-atx-power-supply-cp-9020232-na</x:v>
      </x:c>
    </x:row>
    <x:row r="670">
      <x:c r="A670" s="33" t="str">
        <x:v>psu</x:v>
      </x:c>
      <x:c r="B670" s="34" t="str">
        <x:v>hf-power-supply-460829</x:v>
      </x:c>
      <x:c r="C670" s="34" t="str">
        <x:v>Corsair RM1000e (2023)</x:v>
      </x:c>
      <x:c r="D670" s="34" t="str">
        <x:v>Corsair</x:v>
      </x:c>
      <x:c r="E670" s="82" t="n">
        <x:v>194.95</x:v>
      </x:c>
      <x:c r="F670" s="34" t="str">
        <x:v>USD</x:v>
      </x:c>
      <x:c r="G670" s="34" t="str">
        <x:v>reference</x:v>
      </x:c>
      <x:c r="H670" s="34" t="str">
        <x:v>2026-06-28</x:v>
      </x:c>
      <x:c r="I670" s="34" t="str">
        <x:v>wattage=1000; efficiency=Gold; formFactor=ATX; modular=true</x:v>
      </x:c>
      <x:c r="J670" s="34" t="str">
        <x:v>1000W, Gold, ATX, modular, dataset</x:v>
      </x:c>
      <x:c r="K670" s="34" t="str">
        <x:v>1000W Gold ATX power supply with modular cabling.</x:v>
      </x:c>
      <x:c r="L670" s="34" t="str">
        <x:v>https://fr.pcpartpicker.com/product/fxGhP6/corsair-rm1000e-2023-1000-w-80-gold-certified-fully-modular-atx-power-supply-cp-9020264-na</x:v>
      </x:c>
      <x:c r="M670" s="35" t="str">
        <x:v>https://fr.pcpartpicker.com/product/fxGhP6/corsair-rm1000e-2023-1000-w-80-gold-certified-fully-modular-atx-power-supply-cp-9020264-na</x:v>
      </x:c>
    </x:row>
    <x:row r="671">
      <x:c r="A671" s="33" t="str">
        <x:v>psu</x:v>
      </x:c>
      <x:c r="B671" s="34" t="str">
        <x:v>hf-power-supply-49184</x:v>
      </x:c>
      <x:c r="C671" s="34" t="str">
        <x:v>Corsair RM750x</x:v>
      </x:c>
      <x:c r="D671" s="34" t="str">
        <x:v>Corsair</x:v>
      </x:c>
      <x:c r="E671" s="82" t="n">
        <x:v>540.48</x:v>
      </x:c>
      <x:c r="F671" s="34" t="str">
        <x:v>USD</x:v>
      </x:c>
      <x:c r="G671" s="34" t="str">
        <x:v>reference</x:v>
      </x:c>
      <x:c r="H671" s="34" t="str">
        <x:v>2026-06-28</x:v>
      </x:c>
      <x:c r="I671" s="34" t="str">
        <x:v>wattage=750; efficiency=Gold; formFactor=ATX; modular=true</x:v>
      </x:c>
      <x:c r="J671" s="34" t="str">
        <x:v>750W, Gold, ATX, modular, dataset</x:v>
      </x:c>
      <x:c r="K671" s="34" t="str">
        <x:v>750W Gold ATX power supply with modular cabling.</x:v>
      </x:c>
      <x:c r="L671" s="34" t="str">
        <x:v>https://fr.pcpartpicker.com/product/9q38TW/corsair-rm750x-750-w-80-gold-certified-fully-modular-atx-power-supply-cp-9020092-na</x:v>
      </x:c>
      <x:c r="M671" s="35" t="str">
        <x:v>https://fr.pcpartpicker.com/product/9q38TW/corsair-rm750x-750-w-80-gold-certified-fully-modular-atx-power-supply-cp-9020092-na</x:v>
      </x:c>
    </x:row>
    <x:row r="672">
      <x:c r="A672" s="33" t="str">
        <x:v>psu</x:v>
      </x:c>
      <x:c r="B672" s="34" t="str">
        <x:v>hf-power-supply-50084</x:v>
      </x:c>
      <x:c r="C672" s="34" t="str">
        <x:v>EVGA 750 GQ</x:v>
      </x:c>
      <x:c r="D672" s="34" t="str">
        <x:v>EVGA</x:v>
      </x:c>
      <x:c r="E672" s="82" t="n">
        <x:v>304.59</x:v>
      </x:c>
      <x:c r="F672" s="34" t="str">
        <x:v>USD</x:v>
      </x:c>
      <x:c r="G672" s="34" t="str">
        <x:v>reference</x:v>
      </x:c>
      <x:c r="H672" s="34" t="str">
        <x:v>2026-06-28</x:v>
      </x:c>
      <x:c r="I672" s="34" t="str">
        <x:v>wattage=750; efficiency=Gold; formFactor=ATX; modular=true</x:v>
      </x:c>
      <x:c r="J672" s="34" t="str">
        <x:v>750W, Gold, ATX, modular, dataset</x:v>
      </x:c>
      <x:c r="K672" s="34" t="str">
        <x:v>750W Gold ATX power supply with modular cabling.</x:v>
      </x:c>
      <x:c r="L672" s="34" t="str">
        <x:v>https://fr.pcpartpicker.com/product/rt8H99/evga-750-gq-750-w-80-gold-certified-semi-modular-atx-power-supply-210-gq-0750</x:v>
      </x:c>
      <x:c r="M672" s="35" t="str">
        <x:v>https://fr.pcpartpicker.com/product/rt8H99/evga-750-gq-750-w-80-gold-certified-semi-modular-atx-power-supply-210-gq-0750</x:v>
      </x:c>
    </x:row>
    <x:row r="673">
      <x:c r="A673" s="33" t="str">
        <x:v>psu</x:v>
      </x:c>
      <x:c r="B673" s="34" t="str">
        <x:v>hf-power-supply-336444</x:v>
      </x:c>
      <x:c r="C673" s="34" t="str">
        <x:v>Cooler Master V850 SFX GOLD</x:v>
      </x:c>
      <x:c r="D673" s="34" t="str">
        <x:v>Cooler Master</x:v>
      </x:c>
      <x:c r="E673" s="82" t="n">
        <x:v>185.39</x:v>
      </x:c>
      <x:c r="F673" s="34" t="str">
        <x:v>USD</x:v>
      </x:c>
      <x:c r="G673" s="34" t="str">
        <x:v>reference</x:v>
      </x:c>
      <x:c r="H673" s="34" t="str">
        <x:v>2026-06-28</x:v>
      </x:c>
      <x:c r="I673" s="34" t="str">
        <x:v>wattage=850; efficiency=Gold; formFactor=SFX; modular=true</x:v>
      </x:c>
      <x:c r="J673" s="34" t="str">
        <x:v>850W, Gold, SFX, modular, dataset</x:v>
      </x:c>
      <x:c r="K673" s="34" t="str">
        <x:v>850W Gold SFX power supply with modular cabling.</x:v>
      </x:c>
      <x:c r="L673" s="34" t="str">
        <x:v>https://fr.pcpartpicker.com/product/Q36qqs/cooler-master-v850-sfx-gold-850-w-80-gold-certified-fully-modular-sfx-power-supply-mpy-8501-sfhagv-us</x:v>
      </x:c>
      <x:c r="M673" s="35" t="str">
        <x:v>https://fr.pcpartpicker.com/product/Q36qqs/cooler-master-v850-sfx-gold-850-w-80-gold-certified-fully-modular-sfx-power-supply-mpy-8501-sfhagv-us</x:v>
      </x:c>
    </x:row>
    <x:row r="674">
      <x:c r="A674" s="33" t="str">
        <x:v>psu</x:v>
      </x:c>
      <x:c r="B674" s="34" t="str">
        <x:v>hf-power-supply-415694</x:v>
      </x:c>
      <x:c r="C674" s="34" t="str">
        <x:v>MSI MAG A650BN</x:v>
      </x:c>
      <x:c r="D674" s="34" t="str">
        <x:v>MSI</x:v>
      </x:c>
      <x:c r="E674" s="82" t="n">
        <x:v>56.99</x:v>
      </x:c>
      <x:c r="F674" s="34" t="str">
        <x:v>USD</x:v>
      </x:c>
      <x:c r="G674" s="34" t="str">
        <x:v>reference</x:v>
      </x:c>
      <x:c r="H674" s="34" t="str">
        <x:v>2026-06-28</x:v>
      </x:c>
      <x:c r="I674" s="34" t="str">
        <x:v>wattage=650; efficiency=Bronze; formFactor=ATX; modular=false</x:v>
      </x:c>
      <x:c r="J674" s="34" t="str">
        <x:v>650W, Bronze, ATX, non-modular, dataset</x:v>
      </x:c>
      <x:c r="K674" s="34" t="str">
        <x:v>650W Bronze ATX power supply.</x:v>
      </x:c>
      <x:c r="L674" s="34" t="str">
        <x:v>https://fr.pcpartpicker.com/product/8LNxFT/msi-mag-a-bn-650-w-80-bronze-certified-atx-power-supply-mag-a650bn</x:v>
      </x:c>
      <x:c r="M674" s="35" t="str">
        <x:v>https://fr.pcpartpicker.com/product/8LNxFT/msi-mag-a-bn-650-w-80-bronze-certified-atx-power-supply-mag-a650bn</x:v>
      </x:c>
    </x:row>
    <x:row r="675">
      <x:c r="A675" s="33" t="str">
        <x:v>psu</x:v>
      </x:c>
      <x:c r="B675" s="34" t="str">
        <x:v>hf-power-supply-545068</x:v>
      </x:c>
      <x:c r="C675" s="34" t="str">
        <x:v>Corsair RM850x (2024)</x:v>
      </x:c>
      <x:c r="D675" s="34" t="str">
        <x:v>Corsair</x:v>
      </x:c>
      <x:c r="E675" s="82" t="n">
        <x:v>155.08</x:v>
      </x:c>
      <x:c r="F675" s="34" t="str">
        <x:v>USD</x:v>
      </x:c>
      <x:c r="G675" s="34" t="str">
        <x:v>reference</x:v>
      </x:c>
      <x:c r="H675" s="34" t="str">
        <x:v>2026-06-28</x:v>
      </x:c>
      <x:c r="I675" s="34" t="str">
        <x:v>wattage=850; efficiency=Bronze; formFactor=ATX; modular=true</x:v>
      </x:c>
      <x:c r="J675" s="34" t="str">
        <x:v>850W, Bronze, ATX, modular, dataset</x:v>
      </x:c>
      <x:c r="K675" s="34" t="str">
        <x:v>850W Bronze ATX power supply with modular cabling.</x:v>
      </x:c>
      <x:c r="L675" s="34" t="str">
        <x:v>https://fr.pcpartpicker.com/product/vY4Zxr/corsair-rm850x-2024-850-w-fully-modular-atx-power-supply-cp-9020270-na</x:v>
      </x:c>
      <x:c r="M675" s="35" t="str">
        <x:v>https://fr.pcpartpicker.com/product/vY4Zxr/corsair-rm850x-2024-850-w-fully-modular-atx-power-supply-cp-9020270-na</x:v>
      </x:c>
    </x:row>
    <x:row r="676">
      <x:c r="A676" s="33" t="str">
        <x:v>psu</x:v>
      </x:c>
      <x:c r="B676" s="34" t="str">
        <x:v>hf-power-supply-545069</x:v>
      </x:c>
      <x:c r="C676" s="34" t="str">
        <x:v>Corsair RM1000x (2024)</x:v>
      </x:c>
      <x:c r="D676" s="34" t="str">
        <x:v>Corsair</x:v>
      </x:c>
      <x:c r="E676" s="82" t="n">
        <x:v>202.71</x:v>
      </x:c>
      <x:c r="F676" s="34" t="str">
        <x:v>USD</x:v>
      </x:c>
      <x:c r="G676" s="34" t="str">
        <x:v>reference</x:v>
      </x:c>
      <x:c r="H676" s="34" t="str">
        <x:v>2026-06-28</x:v>
      </x:c>
      <x:c r="I676" s="34" t="str">
        <x:v>wattage=1000; efficiency=Bronze; formFactor=ATX; modular=true</x:v>
      </x:c>
      <x:c r="J676" s="34" t="str">
        <x:v>1000W, Bronze, ATX, modular, dataset</x:v>
      </x:c>
      <x:c r="K676" s="34" t="str">
        <x:v>1000W Bronze ATX power supply with modular cabling.</x:v>
      </x:c>
      <x:c r="L676" s="34" t="str">
        <x:v>https://fr.pcpartpicker.com/product/XZsV3C/corsair-rm1000x-2024-1000-w-fully-modular-atx-power-supply-cp-9020271-na</x:v>
      </x:c>
      <x:c r="M676" s="35" t="str">
        <x:v>https://fr.pcpartpicker.com/product/XZsV3C/corsair-rm1000x-2024-1000-w-fully-modular-atx-power-supply-cp-9020271-na</x:v>
      </x:c>
    </x:row>
    <x:row r="677">
      <x:c r="A677" s="33" t="str">
        <x:v>psu</x:v>
      </x:c>
      <x:c r="B677" s="34" t="str">
        <x:v>hf-power-supply-434741</x:v>
      </x:c>
      <x:c r="C677" s="34" t="str">
        <x:v>MSI A1000G PCIE5</x:v>
      </x:c>
      <x:c r="D677" s="34" t="str">
        <x:v>MSI</x:v>
      </x:c>
      <x:c r="E677" s="82" t="n">
        <x:v>136.8</x:v>
      </x:c>
      <x:c r="F677" s="34" t="str">
        <x:v>USD</x:v>
      </x:c>
      <x:c r="G677" s="34" t="str">
        <x:v>reference</x:v>
      </x:c>
      <x:c r="H677" s="34" t="str">
        <x:v>2026-06-28</x:v>
      </x:c>
      <x:c r="I677" s="34" t="str">
        <x:v>wattage=1000; efficiency=Gold; formFactor=ATX; modular=true</x:v>
      </x:c>
      <x:c r="J677" s="34" t="str">
        <x:v>1000W, Gold, ATX, modular, dataset</x:v>
      </x:c>
      <x:c r="K677" s="34" t="str">
        <x:v>1000W Gold ATX power supply with modular cabling.</x:v>
      </x:c>
      <x:c r="L677" s="34" t="str">
        <x:v>https://fr.pcpartpicker.com/product/ZDt9TW/msi-a1000g-pcie5-1000-w-80-gold-certified-fully-modular-atx-power-supply-mpg-a1000g-pcie-5</x:v>
      </x:c>
      <x:c r="M677" s="35" t="str">
        <x:v>https://fr.pcpartpicker.com/product/ZDt9TW/msi-a1000g-pcie5-1000-w-80-gold-certified-fully-modular-atx-power-supply-mpg-a1000g-pcie-5</x:v>
      </x:c>
    </x:row>
    <x:row r="678">
      <x:c r="A678" s="33" t="str">
        <x:v>psu</x:v>
      </x:c>
      <x:c r="B678" s="34" t="str">
        <x:v>hf-power-supply-414055</x:v>
      </x:c>
      <x:c r="C678" s="34" t="str">
        <x:v>Gigabyte UD750GM</x:v>
      </x:c>
      <x:c r="D678" s="34" t="str">
        <x:v>Gigabyte</x:v>
      </x:c>
      <x:c r="E678" s="82" t="n">
        <x:v>111.62</x:v>
      </x:c>
      <x:c r="F678" s="34" t="str">
        <x:v>USD</x:v>
      </x:c>
      <x:c r="G678" s="34" t="str">
        <x:v>reference</x:v>
      </x:c>
      <x:c r="H678" s="34" t="str">
        <x:v>2026-06-28</x:v>
      </x:c>
      <x:c r="I678" s="34" t="str">
        <x:v>wattage=750; efficiency=Gold; formFactor=ATX; modular=true</x:v>
      </x:c>
      <x:c r="J678" s="34" t="str">
        <x:v>750W, Gold, ATX, modular, dataset</x:v>
      </x:c>
      <x:c r="K678" s="34" t="str">
        <x:v>750W Gold ATX power supply with modular cabling.</x:v>
      </x:c>
      <x:c r="L678" s="34" t="str">
        <x:v>https://fr.pcpartpicker.com/product/W4Tp99/gigabyte-ud750gm-750-w-80-gold-certified-fully-modular-atx-power-supply-gp-ud750gm</x:v>
      </x:c>
      <x:c r="M678" s="35" t="str">
        <x:v>https://fr.pcpartpicker.com/product/W4Tp99/gigabyte-ud750gm-750-w-80-gold-certified-fully-modular-atx-power-supply-gp-ud750gm</x:v>
      </x:c>
    </x:row>
    <x:row r="679">
      <x:c r="A679" s="33" t="str">
        <x:v>psu</x:v>
      </x:c>
      <x:c r="B679" s="34" t="str">
        <x:v>hf-power-supply-111196</x:v>
      </x:c>
      <x:c r="C679" s="34" t="str">
        <x:v>Corsair HX1200 Platinum</x:v>
      </x:c>
      <x:c r="D679" s="34" t="str">
        <x:v>Corsair</x:v>
      </x:c>
      <x:c r="E679" s="82" t="n">
        <x:v>454.9</x:v>
      </x:c>
      <x:c r="F679" s="34" t="str">
        <x:v>USD</x:v>
      </x:c>
      <x:c r="G679" s="34" t="str">
        <x:v>reference</x:v>
      </x:c>
      <x:c r="H679" s="34" t="str">
        <x:v>2026-06-28</x:v>
      </x:c>
      <x:c r="I679" s="34" t="str">
        <x:v>wattage=1200; efficiency=Platinum; formFactor=ATX; modular=true</x:v>
      </x:c>
      <x:c r="J679" s="34" t="str">
        <x:v>1200W, Platinum, ATX, modular, dataset</x:v>
      </x:c>
      <x:c r="K679" s="34" t="str">
        <x:v>1200W Platinum ATX power supply with modular cabling.</x:v>
      </x:c>
      <x:c r="L679" s="34" t="str">
        <x:v>https://fr.pcpartpicker.com/product/f7L7YJ/corsair-hx1200-platinum-1200-w-80-platinum-certified-fully-modular-atx-power-supply-cp-9020140-na</x:v>
      </x:c>
      <x:c r="M679" s="35" t="str">
        <x:v>https://fr.pcpartpicker.com/product/f7L7YJ/corsair-hx1200-platinum-1200-w-80-platinum-certified-fully-modular-atx-power-supply-cp-9020140-na</x:v>
      </x:c>
    </x:row>
    <x:row r="680">
      <x:c r="A680" s="33" t="str">
        <x:v>psu</x:v>
      </x:c>
      <x:c r="B680" s="34" t="str">
        <x:v>hf-power-supply-19410</x:v>
      </x:c>
      <x:c r="C680" s="34" t="str">
        <x:v>EVGA SuperNOVA 1000 G2</x:v>
      </x:c>
      <x:c r="D680" s="34" t="str">
        <x:v>EVGA</x:v>
      </x:c>
      <x:c r="E680" s="82" t="n">
        <x:v>701.95</x:v>
      </x:c>
      <x:c r="F680" s="34" t="str">
        <x:v>USD</x:v>
      </x:c>
      <x:c r="G680" s="34" t="str">
        <x:v>reference</x:v>
      </x:c>
      <x:c r="H680" s="34" t="str">
        <x:v>2026-06-28</x:v>
      </x:c>
      <x:c r="I680" s="34" t="str">
        <x:v>wattage=1000; efficiency=Gold; formFactor=ATX; modular=true</x:v>
      </x:c>
      <x:c r="J680" s="34" t="str">
        <x:v>1000W, Gold, ATX, modular, dataset</x:v>
      </x:c>
      <x:c r="K680" s="34" t="str">
        <x:v>1000W Gold ATX power supply with modular cabling.</x:v>
      </x:c>
      <x:c r="L680" s="34" t="str">
        <x:v>https://fr.pcpartpicker.com/product/MKfp99/evga-supernova-1000-g2-1000-w-80-gold-certified-fully-modular-atx-power-supply-120-g2-1000-xr</x:v>
      </x:c>
      <x:c r="M680" s="35" t="str">
        <x:v>https://fr.pcpartpicker.com/product/MKfp99/evga-supernova-1000-g2-1000-w-80-gold-certified-fully-modular-atx-power-supply-120-g2-1000-xr</x:v>
      </x:c>
    </x:row>
    <x:row r="681">
      <x:c r="A681" s="33" t="str">
        <x:v>psu</x:v>
      </x:c>
      <x:c r="B681" s="34" t="str">
        <x:v>hf-power-supply-111220</x:v>
      </x:c>
      <x:c r="C681" s="34" t="str">
        <x:v>Corsair CX450 (2017)</x:v>
      </x:c>
      <x:c r="D681" s="34" t="str">
        <x:v>Corsair</x:v>
      </x:c>
      <x:c r="E681" s="82" t="n">
        <x:v>428.15</x:v>
      </x:c>
      <x:c r="F681" s="34" t="str">
        <x:v>USD</x:v>
      </x:c>
      <x:c r="G681" s="34" t="str">
        <x:v>reference</x:v>
      </x:c>
      <x:c r="H681" s="34" t="str">
        <x:v>2026-06-28</x:v>
      </x:c>
      <x:c r="I681" s="34" t="str">
        <x:v>wattage=450; efficiency=Bronze; formFactor=ATX; modular=false</x:v>
      </x:c>
      <x:c r="J681" s="34" t="str">
        <x:v>450W, Bronze, ATX, non-modular, dataset</x:v>
      </x:c>
      <x:c r="K681" s="34" t="str">
        <x:v>450W Bronze ATX power supply.</x:v>
      </x:c>
      <x:c r="L681" s="34" t="str">
        <x:v>https://fr.pcpartpicker.com/product/Q7L7YJ/corsair-cx450-2017-450-w-80-bronze-certified-atx-power-supply-cp-9020120-na</x:v>
      </x:c>
      <x:c r="M681" s="35" t="str">
        <x:v>https://fr.pcpartpicker.com/product/Q7L7YJ/corsair-cx450-2017-450-w-80-bronze-certified-atx-power-supply-cp-9020120-na</x:v>
      </x:c>
    </x:row>
    <x:row r="682">
      <x:c r="A682" s="33" t="str">
        <x:v>psu</x:v>
      </x:c>
      <x:c r="B682" s="34" t="str">
        <x:v>hf-power-supply-415693</x:v>
      </x:c>
      <x:c r="C682" s="34" t="str">
        <x:v>MSI MAG A550BN</x:v>
      </x:c>
      <x:c r="D682" s="34" t="str">
        <x:v>MSI</x:v>
      </x:c>
      <x:c r="E682" s="82" t="n">
        <x:v>56.43</x:v>
      </x:c>
      <x:c r="F682" s="34" t="str">
        <x:v>USD</x:v>
      </x:c>
      <x:c r="G682" s="34" t="str">
        <x:v>reference</x:v>
      </x:c>
      <x:c r="H682" s="34" t="str">
        <x:v>2026-06-28</x:v>
      </x:c>
      <x:c r="I682" s="34" t="str">
        <x:v>wattage=550; efficiency=Bronze; formFactor=ATX; modular=false</x:v>
      </x:c>
      <x:c r="J682" s="34" t="str">
        <x:v>550W, Bronze, ATX, non-modular, dataset</x:v>
      </x:c>
      <x:c r="K682" s="34" t="str">
        <x:v>550W Bronze ATX power supply.</x:v>
      </x:c>
      <x:c r="L682" s="34" t="str">
        <x:v>https://fr.pcpartpicker.com/product/mnVmP6/msi-mag-a550bn-550-w-80-bronze-certified-atx-power-supply-mag-a550bn</x:v>
      </x:c>
      <x:c r="M682" s="35" t="str">
        <x:v>https://fr.pcpartpicker.com/product/mnVmP6/msi-mag-a550bn-550-w-80-bronze-certified-atx-power-supply-mag-a550bn</x:v>
      </x:c>
    </x:row>
    <x:row r="683">
      <x:c r="A683" s="33" t="str">
        <x:v>psu</x:v>
      </x:c>
      <x:c r="B683" s="34" t="str">
        <x:v>hf-power-supply-273171</x:v>
      </x:c>
      <x:c r="C683" s="34" t="str">
        <x:v>Thermaltake Toughpower GF1 PE</x:v>
      </x:c>
      <x:c r="D683" s="34" t="str">
        <x:v>Thermaltake</x:v>
      </x:c>
      <x:c r="E683" s="82" t="n">
        <x:v>123.02</x:v>
      </x:c>
      <x:c r="F683" s="34" t="str">
        <x:v>USD</x:v>
      </x:c>
      <x:c r="G683" s="34" t="str">
        <x:v>reference</x:v>
      </x:c>
      <x:c r="H683" s="34" t="str">
        <x:v>2026-06-28</x:v>
      </x:c>
      <x:c r="I683" s="34" t="str">
        <x:v>wattage=850; efficiency=Gold; formFactor=ATX; modular=true</x:v>
      </x:c>
      <x:c r="J683" s="34" t="str">
        <x:v>850W, Gold, ATX, modular, dataset</x:v>
      </x:c>
      <x:c r="K683" s="34" t="str">
        <x:v>850W Gold ATX power supply with modular cabling.</x:v>
      </x:c>
      <x:c r="L683" s="34" t="str">
        <x:v>https://fr.pcpartpicker.com/product/P7pmP6/thermaltake-toughpower-gf1-pe-850-w-80-gold-certified-fully-modular-atx-power-supply-ps-tpd-0850fnfagu-1</x:v>
      </x:c>
      <x:c r="M683" s="35" t="str">
        <x:v>https://fr.pcpartpicker.com/product/P7pmP6/thermaltake-toughpower-gf1-pe-850-w-80-gold-certified-fully-modular-atx-power-supply-ps-tpd-0850fnfagu-1</x:v>
      </x:c>
    </x:row>
    <x:row r="684">
      <x:c r="A684" s="33" t="str">
        <x:v>psu</x:v>
      </x:c>
      <x:c r="B684" s="34" t="str">
        <x:v>hf-power-supply-532782</x:v>
      </x:c>
      <x:c r="C684" s="34" t="str">
        <x:v>Corsair SF750 (2024)</x:v>
      </x:c>
      <x:c r="D684" s="34" t="str">
        <x:v>Corsair</x:v>
      </x:c>
      <x:c r="E684" s="82" t="n">
        <x:v>182.4</x:v>
      </x:c>
      <x:c r="F684" s="34" t="str">
        <x:v>USD</x:v>
      </x:c>
      <x:c r="G684" s="34" t="str">
        <x:v>reference</x:v>
      </x:c>
      <x:c r="H684" s="34" t="str">
        <x:v>2026-06-28</x:v>
      </x:c>
      <x:c r="I684" s="34" t="str">
        <x:v>wattage=750; efficiency=Platinum; formFactor=SFX; modular=true</x:v>
      </x:c>
      <x:c r="J684" s="34" t="str">
        <x:v>750W, Platinum, SFX, modular, dataset</x:v>
      </x:c>
      <x:c r="K684" s="34" t="str">
        <x:v>750W Platinum SFX power supply with modular cabling.</x:v>
      </x:c>
      <x:c r="L684" s="34" t="str">
        <x:v>https://fr.pcpartpicker.com/product/TsTZxr/corsair-sf750-2024-750-w-80-platinum-certified-fully-modular-sfx-power-supply-cp-9020284</x:v>
      </x:c>
      <x:c r="M684" s="35" t="str">
        <x:v>https://fr.pcpartpicker.com/product/TsTZxr/corsair-sf750-2024-750-w-80-platinum-certified-fully-modular-sfx-power-supply-cp-9020284</x:v>
      </x:c>
    </x:row>
    <x:row r="685">
      <x:c r="A685" s="33" t="str">
        <x:v>psu</x:v>
      </x:c>
      <x:c r="B685" s="34" t="str">
        <x:v>hf-power-supply-532784</x:v>
      </x:c>
      <x:c r="C685" s="34" t="str">
        <x:v>Corsair SF1000 (2024)</x:v>
      </x:c>
      <x:c r="D685" s="34" t="str">
        <x:v>Corsair</x:v>
      </x:c>
      <x:c r="E685" s="82" t="n">
        <x:v>220.02</x:v>
      </x:c>
      <x:c r="F685" s="34" t="str">
        <x:v>USD</x:v>
      </x:c>
      <x:c r="G685" s="34" t="str">
        <x:v>reference</x:v>
      </x:c>
      <x:c r="H685" s="34" t="str">
        <x:v>2026-06-28</x:v>
      </x:c>
      <x:c r="I685" s="34" t="str">
        <x:v>wattage=1000; efficiency=Platinum; formFactor=SFX; modular=true</x:v>
      </x:c>
      <x:c r="J685" s="34" t="str">
        <x:v>1000W, Platinum, SFX, modular, dataset</x:v>
      </x:c>
      <x:c r="K685" s="34" t="str">
        <x:v>1000W Platinum SFX power supply with modular cabling.</x:v>
      </x:c>
      <x:c r="L685" s="34" t="str">
        <x:v>https://fr.pcpartpicker.com/product/Y4zXsY/corsair-sf1000-2024-1000-w-80-platinum-certified-fully-modular-sfx-power-supply-cp-9020257</x:v>
      </x:c>
      <x:c r="M685" s="35" t="str">
        <x:v>https://fr.pcpartpicker.com/product/Y4zXsY/corsair-sf1000-2024-1000-w-80-platinum-certified-fully-modular-sfx-power-supply-cp-9020257</x:v>
      </x:c>
    </x:row>
    <x:row r="686">
      <x:c r="A686" s="33" t="str">
        <x:v>psu</x:v>
      </x:c>
      <x:c r="B686" s="34" t="str">
        <x:v>hf-power-supply-47692</x:v>
      </x:c>
      <x:c r="C686" s="34" t="str">
        <x:v>EVGA SuperNOVA 750 P2</x:v>
      </x:c>
      <x:c r="D686" s="34" t="str">
        <x:v>EVGA</x:v>
      </x:c>
      <x:c r="E686" s="82" t="n">
        <x:v>871.01</x:v>
      </x:c>
      <x:c r="F686" s="34" t="str">
        <x:v>USD</x:v>
      </x:c>
      <x:c r="G686" s="34" t="str">
        <x:v>reference</x:v>
      </x:c>
      <x:c r="H686" s="34" t="str">
        <x:v>2026-06-28</x:v>
      </x:c>
      <x:c r="I686" s="34" t="str">
        <x:v>wattage=750; efficiency=Platinum; formFactor=ATX; modular=true</x:v>
      </x:c>
      <x:c r="J686" s="34" t="str">
        <x:v>750W, Platinum, ATX, modular, dataset</x:v>
      </x:c>
      <x:c r="K686" s="34" t="str">
        <x:v>750W Platinum ATX power supply with modular cabling.</x:v>
      </x:c>
      <x:c r="L686" s="34" t="str">
        <x:v>https://fr.pcpartpicker.com/product/jBZ2FT/evga-supernova-750-p2-750-w-80-platinum-certified-fully-modular-atx-power-supply-220-p2-0750-x1</x:v>
      </x:c>
      <x:c r="M686" s="35" t="str">
        <x:v>https://fr.pcpartpicker.com/product/jBZ2FT/evga-supernova-750-p2-750-w-80-platinum-certified-fully-modular-atx-power-supply-220-p2-0750-x1</x:v>
      </x:c>
    </x:row>
    <x:row r="687">
      <x:c r="A687" s="33" t="str">
        <x:v>psu</x:v>
      </x:c>
      <x:c r="B687" s="34" t="str">
        <x:v>hf-power-supply-49185</x:v>
      </x:c>
      <x:c r="C687" s="34" t="str">
        <x:v>Corsair RM850x</x:v>
      </x:c>
      <x:c r="D687" s="34" t="str">
        <x:v>Corsair</x:v>
      </x:c>
      <x:c r="E687" s="82" t="n">
        <x:v>460.32</x:v>
      </x:c>
      <x:c r="F687" s="34" t="str">
        <x:v>USD</x:v>
      </x:c>
      <x:c r="G687" s="34" t="str">
        <x:v>reference</x:v>
      </x:c>
      <x:c r="H687" s="34" t="str">
        <x:v>2026-06-28</x:v>
      </x:c>
      <x:c r="I687" s="34" t="str">
        <x:v>wattage=850; efficiency=Gold; formFactor=ATX; modular=true</x:v>
      </x:c>
      <x:c r="J687" s="34" t="str">
        <x:v>850W, Gold, ATX, modular, dataset</x:v>
      </x:c>
      <x:c r="K687" s="34" t="str">
        <x:v>850W Gold ATX power supply with modular cabling.</x:v>
      </x:c>
      <x:c r="L687" s="34" t="str">
        <x:v>https://fr.pcpartpicker.com/product/7Dx9TW/corsair-rm850x-850-w-80-gold-certified-fully-modular-atx-power-supply-cp-9020093-na</x:v>
      </x:c>
      <x:c r="M687" s="35" t="str">
        <x:v>https://fr.pcpartpicker.com/product/7Dx9TW/corsair-rm850x-850-w-80-gold-certified-fully-modular-atx-power-supply-cp-9020093-na</x:v>
      </x:c>
    </x:row>
    <x:row r="688">
      <x:c r="A688" s="33" t="str">
        <x:v>psu</x:v>
      </x:c>
      <x:c r="B688" s="34" t="str">
        <x:v>hf-power-supply-111221</x:v>
      </x:c>
      <x:c r="C688" s="34" t="str">
        <x:v>Corsair CX550 (2017)</x:v>
      </x:c>
      <x:c r="D688" s="34" t="str">
        <x:v>Corsair</x:v>
      </x:c>
      <x:c r="E688" s="82" t="n">
        <x:v>440.74</x:v>
      </x:c>
      <x:c r="F688" s="34" t="str">
        <x:v>USD</x:v>
      </x:c>
      <x:c r="G688" s="34" t="str">
        <x:v>reference</x:v>
      </x:c>
      <x:c r="H688" s="34" t="str">
        <x:v>2026-06-28</x:v>
      </x:c>
      <x:c r="I688" s="34" t="str">
        <x:v>wattage=550; efficiency=Bronze; formFactor=ATX; modular=false</x:v>
      </x:c>
      <x:c r="J688" s="34" t="str">
        <x:v>550W, Bronze, ATX, non-modular, dataset</x:v>
      </x:c>
      <x:c r="K688" s="34" t="str">
        <x:v>550W Bronze ATX power supply.</x:v>
      </x:c>
      <x:c r="L688" s="34" t="str">
        <x:v>https://fr.pcpartpicker.com/product/FdRFf7/corsair-cx550-2017-550-w-80-bronze-certified-atx-power-supply-cp-9020121-na</x:v>
      </x:c>
      <x:c r="M688" s="35" t="str">
        <x:v>https://fr.pcpartpicker.com/product/FdRFf7/corsair-cx550-2017-550-w-80-bronze-certified-atx-power-supply-cp-9020121-na</x:v>
      </x:c>
    </x:row>
    <x:row r="689">
      <x:c r="A689" s="33" t="str">
        <x:v>psu</x:v>
      </x:c>
      <x:c r="B689" s="34" t="str">
        <x:v>hf-power-supply-5020</x:v>
      </x:c>
      <x:c r="C689" s="34" t="str">
        <x:v>Corsair TX650 V2</x:v>
      </x:c>
      <x:c r="D689" s="34" t="str">
        <x:v>Corsair</x:v>
      </x:c>
      <x:c r="E689" s="82" t="n">
        <x:v>534.05</x:v>
      </x:c>
      <x:c r="F689" s="34" t="str">
        <x:v>USD</x:v>
      </x:c>
      <x:c r="G689" s="34" t="str">
        <x:v>reference</x:v>
      </x:c>
      <x:c r="H689" s="34" t="str">
        <x:v>2026-06-28</x:v>
      </x:c>
      <x:c r="I689" s="34" t="str">
        <x:v>wattage=650; efficiency=Bronze; formFactor=ATX; modular=false</x:v>
      </x:c>
      <x:c r="J689" s="34" t="str">
        <x:v>650W, Bronze, ATX, non-modular, dataset</x:v>
      </x:c>
      <x:c r="K689" s="34" t="str">
        <x:v>650W Bronze ATX power supply.</x:v>
      </x:c>
      <x:c r="L689" s="34" t="str">
        <x:v>https://fr.pcpartpicker.com/product/Z4fp99/corsair-tx650-v2-650-w-80-bronze-certified-atx-power-supply-cmpsu-650txv2</x:v>
      </x:c>
      <x:c r="M689" s="35" t="str">
        <x:v>https://fr.pcpartpicker.com/product/Z4fp99/corsair-tx650-v2-650-w-80-bronze-certified-atx-power-supply-cmpsu-650txv2</x:v>
      </x:c>
    </x:row>
    <x:row r="690">
      <x:c r="A690" s="33" t="str">
        <x:v>psu</x:v>
      </x:c>
      <x:c r="B690" s="34" t="str">
        <x:v>hf-power-supply-565915</x:v>
      </x:c>
      <x:c r="C690" s="34" t="str">
        <x:v>Corsair RM850e (2025)</x:v>
      </x:c>
      <x:c r="D690" s="34" t="str">
        <x:v>Corsair</x:v>
      </x:c>
      <x:c r="E690" s="82" t="n">
        <x:v>102.6</x:v>
      </x:c>
      <x:c r="F690" s="34" t="str">
        <x:v>USD</x:v>
      </x:c>
      <x:c r="G690" s="34" t="str">
        <x:v>reference</x:v>
      </x:c>
      <x:c r="H690" s="34" t="str">
        <x:v>2026-06-28</x:v>
      </x:c>
      <x:c r="I690" s="34" t="str">
        <x:v>wattage=850; efficiency=Bronze; formFactor=ATX; modular=true</x:v>
      </x:c>
      <x:c r="J690" s="34" t="str">
        <x:v>850W, Bronze, ATX, modular, dataset</x:v>
      </x:c>
      <x:c r="K690" s="34" t="str">
        <x:v>850W Bronze ATX power supply with modular cabling.</x:v>
      </x:c>
      <x:c r="L690" s="34" t="str">
        <x:v>https://fr.pcpartpicker.com/product/zBbypg/corsair-rm850e-2025-850-w-fully-modular-atx-power-supply-cp-9020296-na</x:v>
      </x:c>
      <x:c r="M690" s="35" t="str">
        <x:v>https://fr.pcpartpicker.com/product/zBbypg/corsair-rm850e-2025-850-w-fully-modular-atx-power-supply-cp-9020296-na</x:v>
      </x:c>
    </x:row>
    <x:row r="691">
      <x:c r="A691" s="33" t="str">
        <x:v>psu</x:v>
      </x:c>
      <x:c r="B691" s="34" t="str">
        <x:v>hf-power-supply-581347</x:v>
      </x:c>
      <x:c r="C691" s="34" t="str">
        <x:v>Montech CENTURY II</x:v>
      </x:c>
      <x:c r="D691" s="34" t="str">
        <x:v>Montech</x:v>
      </x:c>
      <x:c r="E691" s="82" t="n">
        <x:v>96.68</x:v>
      </x:c>
      <x:c r="F691" s="34" t="str">
        <x:v>USD</x:v>
      </x:c>
      <x:c r="G691" s="34" t="str">
        <x:v>reference</x:v>
      </x:c>
      <x:c r="H691" s="34" t="str">
        <x:v>2026-06-28</x:v>
      </x:c>
      <x:c r="I691" s="34" t="str">
        <x:v>wattage=850; efficiency=Gold; formFactor=ATX; modular=true</x:v>
      </x:c>
      <x:c r="J691" s="34" t="str">
        <x:v>850W, Gold, ATX, modular, dataset</x:v>
      </x:c>
      <x:c r="K691" s="34" t="str">
        <x:v>850W Gold ATX power supply with modular cabling.</x:v>
      </x:c>
      <x:c r="L691" s="34" t="str">
        <x:v>https://fr.pcpartpicker.com/product/sqbypg/montech-century-ii-850-w-80-gold-certified-fully-modular-atx-power-supply-century-ii-850w</x:v>
      </x:c>
      <x:c r="M691" s="35" t="str">
        <x:v>https://fr.pcpartpicker.com/product/sqbypg/montech-century-ii-850-w-80-gold-certified-fully-modular-atx-power-supply-century-ii-850w</x:v>
      </x:c>
    </x:row>
    <x:row r="692">
      <x:c r="A692" s="33" t="str">
        <x:v>psu</x:v>
      </x:c>
      <x:c r="B692" s="34" t="str">
        <x:v>hf-power-supply-434886</x:v>
      </x:c>
      <x:c r="C692" s="34" t="str">
        <x:v>MSI MPG A850G PCIE5</x:v>
      </x:c>
      <x:c r="D692" s="34" t="str">
        <x:v>MSI</x:v>
      </x:c>
      <x:c r="E692" s="82" t="n">
        <x:v>125.4</x:v>
      </x:c>
      <x:c r="F692" s="34" t="str">
        <x:v>USD</x:v>
      </x:c>
      <x:c r="G692" s="34" t="str">
        <x:v>reference</x:v>
      </x:c>
      <x:c r="H692" s="34" t="str">
        <x:v>2026-06-28</x:v>
      </x:c>
      <x:c r="I692" s="34" t="str">
        <x:v>wattage=850; efficiency=Gold; formFactor=ATX; modular=true</x:v>
      </x:c>
      <x:c r="J692" s="34" t="str">
        <x:v>850W, Gold, ATX, modular, dataset</x:v>
      </x:c>
      <x:c r="K692" s="34" t="str">
        <x:v>850W Gold ATX power supply with modular cabling.</x:v>
      </x:c>
      <x:c r="L692" s="34" t="str">
        <x:v>https://fr.pcpartpicker.com/product/nhC48d/msi-mpg-a850g-pcie5-850-w-80-gold-certified-fully-modular-atx-power-supply-mpg-a850g-pcie5</x:v>
      </x:c>
      <x:c r="M692" s="35" t="str">
        <x:v>https://fr.pcpartpicker.com/product/nhC48d/msi-mpg-a850g-pcie5-850-w-80-gold-certified-fully-modular-atx-power-supply-mpg-a850g-pcie5</x:v>
      </x:c>
    </x:row>
    <x:row r="693">
      <x:c r="A693" s="33" t="str">
        <x:v>psu</x:v>
      </x:c>
      <x:c r="B693" s="34" t="str">
        <x:v>hf-power-supply-532783</x:v>
      </x:c>
      <x:c r="C693" s="34" t="str">
        <x:v>Corsair SF850 (2024)</x:v>
      </x:c>
      <x:c r="D693" s="34" t="str">
        <x:v>Corsair</x:v>
      </x:c>
      <x:c r="E693" s="82" t="n">
        <x:v>181.53</x:v>
      </x:c>
      <x:c r="F693" s="34" t="str">
        <x:v>USD</x:v>
      </x:c>
      <x:c r="G693" s="34" t="str">
        <x:v>reference</x:v>
      </x:c>
      <x:c r="H693" s="34" t="str">
        <x:v>2026-06-28</x:v>
      </x:c>
      <x:c r="I693" s="34" t="str">
        <x:v>wattage=850; efficiency=Platinum; formFactor=SFX; modular=true</x:v>
      </x:c>
      <x:c r="J693" s="34" t="str">
        <x:v>850W, Platinum, SFX, modular, dataset</x:v>
      </x:c>
      <x:c r="K693" s="34" t="str">
        <x:v>850W Platinum SFX power supply with modular cabling.</x:v>
      </x:c>
      <x:c r="L693" s="34" t="str">
        <x:v>https://fr.pcpartpicker.com/product/ZsTZxr/corsair-sf850-2024-850-w-80-platinum-certified-fully-modular-sfx-power-supply-cp-9020256</x:v>
      </x:c>
      <x:c r="M693" s="35" t="str">
        <x:v>https://fr.pcpartpicker.com/product/ZsTZxr/corsair-sf850-2024-850-w-80-platinum-certified-fully-modular-sfx-power-supply-cp-9020256</x:v>
      </x:c>
    </x:row>
    <x:row r="694">
      <x:c r="A694" s="33" t="str">
        <x:v>psu</x:v>
      </x:c>
      <x:c r="B694" s="34" t="str">
        <x:v>hf-power-supply-319809</x:v>
      </x:c>
      <x:c r="C694" s="34" t="str">
        <x:v>Gigabyte P750GM</x:v>
      </x:c>
      <x:c r="D694" s="34" t="str">
        <x:v>Gigabyte</x:v>
      </x:c>
      <x:c r="E694" s="82" t="n">
        <x:v>93.48</x:v>
      </x:c>
      <x:c r="F694" s="34" t="str">
        <x:v>USD</x:v>
      </x:c>
      <x:c r="G694" s="34" t="str">
        <x:v>reference</x:v>
      </x:c>
      <x:c r="H694" s="34" t="str">
        <x:v>2026-06-28</x:v>
      </x:c>
      <x:c r="I694" s="34" t="str">
        <x:v>wattage=750; efficiency=Gold; formFactor=ATX; modular=true</x:v>
      </x:c>
      <x:c r="J694" s="34" t="str">
        <x:v>750W, Gold, ATX, modular, dataset</x:v>
      </x:c>
      <x:c r="K694" s="34" t="str">
        <x:v>750W Gold ATX power supply with modular cabling.</x:v>
      </x:c>
      <x:c r="L694" s="34" t="str">
        <x:v>https://fr.pcpartpicker.com/product/RhH8TW/gigabyte-750-w-80-gold-certified-fully-modular-atx-power-supply-gp-p750gm</x:v>
      </x:c>
      <x:c r="M694" s="35" t="str">
        <x:v>https://fr.pcpartpicker.com/product/RhH8TW/gigabyte-750-w-80-gold-certified-fully-modular-atx-power-supply-gp-p750gm</x:v>
      </x:c>
    </x:row>
    <x:row r="695">
      <x:c r="A695" s="33" t="str">
        <x:v>psu</x:v>
      </x:c>
      <x:c r="B695" s="34" t="str">
        <x:v>ca-newegg-psu-corsair-rme-series-rm850e-850-w-power-supply</x:v>
      </x:c>
      <x:c r="C695" s="34" t="str">
        <x:v>CORSAIR RMe Series RM850e 850 W Power Supply</x:v>
      </x:c>
      <x:c r="D695" s="34" t="str">
        <x:v>Corsair</x:v>
      </x:c>
      <x:c r="E695" s="82" t="n">
        <x:v>91.66</x:v>
      </x:c>
      <x:c r="F695" s="34" t="str">
        <x:v>USD</x:v>
      </x:c>
      <x:c r="G695" s="34" t="str">
        <x:v>retail</x:v>
      </x:c>
      <x:c r="H695" s="34" t="str">
        <x:v>2026-06-29</x:v>
      </x:c>
      <x:c r="I695" s="34" t="str">
        <x:v>wattage=850; efficiency=Bronze; formFactor=ATX; modular=true</x:v>
      </x:c>
      <x:c r="J695" s="34" t="str">
        <x:v>850W, Bronze, ATX, modular, ca-retail, quiet</x:v>
      </x:c>
      <x:c r="K695" s="34" t="str">
        <x:v>850W Bronze ATX power supply from CA retailer.</x:v>
      </x:c>
      <x:c r="L695" s="34" t="str">
        <x:v>https://www.newegg.ca/p/17-139-336</x:v>
      </x:c>
      <x:c r="M695" s="35" t="str">
        <x:v>https://www.newegg.ca/p/17-139-336</x:v>
      </x:c>
    </x:row>
    <x:row r="696">
      <x:c r="A696" s="33" t="str">
        <x:v>psu</x:v>
      </x:c>
      <x:c r="B696" s="34" t="str">
        <x:v>ca-newegg-psu-pccooler-cps-yn1000-fully-modular-power-supply-80-plus-gold-1000w-psu-</x:v>
      </x:c>
      <x:c r="C696" s="34" t="str">
        <x:v>PCCOOLER CPS YN1000 Fully Modular Power Supply, 80 PLUS Gold 1000W PSU, 12V-2x6 Cable, ATX 3.1 &amp; PCIe 5.1 Ready, 105°C Rated Japanese Capacitors, ECO Mode, 135mm FDB Fan, 10 Years Warranty</x:v>
      </x:c>
      <x:c r="D696" s="34" t="str">
        <x:v>PCCOOLER</x:v>
      </x:c>
      <x:c r="E696" s="82" t="n">
        <x:v>130.05</x:v>
      </x:c>
      <x:c r="F696" s="34" t="str">
        <x:v>USD</x:v>
      </x:c>
      <x:c r="G696" s="34" t="str">
        <x:v>retail</x:v>
      </x:c>
      <x:c r="H696" s="34" t="str">
        <x:v>2026-06-29</x:v>
      </x:c>
      <x:c r="I696" s="34" t="str">
        <x:v>wattage=1000; efficiency=Gold; formFactor=ATX; modular=true</x:v>
      </x:c>
      <x:c r="J696" s="34" t="str">
        <x:v>1000W, Gold, ATX, modular, ca-retail</x:v>
      </x:c>
      <x:c r="K696" s="34" t="str">
        <x:v>1000W Gold ATX power supply from CA retailer.</x:v>
      </x:c>
      <x:c r="L696" s="34" t="str">
        <x:v>https://www.newegg.ca/p/9SIBYC4KME7973</x:v>
      </x:c>
      <x:c r="M696" s="35" t="str">
        <x:v>https://www.newegg.ca/p/9SIBYC4KME7973</x:v>
      </x:c>
    </x:row>
    <x:row r="697">
      <x:c r="A697" s="33" t="str">
        <x:v>psu</x:v>
      </x:c>
      <x:c r="B697" s="34" t="str">
        <x:v>ca-newegg-psu-corsair-rmx-series-rm750x-cp-9020179-na-750-w-power-supply</x:v>
      </x:c>
      <x:c r="C697" s="34" t="str">
        <x:v>CORSAIR RMx Series RM750x CP-9020179-NA 750 W Power Supply</x:v>
      </x:c>
      <x:c r="D697" s="34" t="str">
        <x:v>Corsair</x:v>
      </x:c>
      <x:c r="E697" s="82" t="n">
        <x:v>184.92</x:v>
      </x:c>
      <x:c r="F697" s="34" t="str">
        <x:v>USD</x:v>
      </x:c>
      <x:c r="G697" s="34" t="str">
        <x:v>retail</x:v>
      </x:c>
      <x:c r="H697" s="34" t="str">
        <x:v>2026-06-29</x:v>
      </x:c>
      <x:c r="I697" s="34" t="str">
        <x:v>wattage=750; efficiency=Bronze; formFactor=ATX; modular=true</x:v>
      </x:c>
      <x:c r="J697" s="34" t="str">
        <x:v>750W, Bronze, ATX, modular, ca-retail, quiet</x:v>
      </x:c>
      <x:c r="K697" s="34" t="str">
        <x:v>750W Bronze ATX power supply from CA retailer.</x:v>
      </x:c>
      <x:c r="L697" s="34" t="str">
        <x:v>https://www.newegg.ca/p/9SIA7BB7K24477</x:v>
      </x:c>
      <x:c r="M697" s="35" t="str">
        <x:v>https://www.newegg.ca/p/9SIA7BB7K24477</x:v>
      </x:c>
    </x:row>
    <x:row r="698">
      <x:c r="A698" s="33" t="str">
        <x:v>psu</x:v>
      </x:c>
      <x:c r="B698" s="34" t="str">
        <x:v>ca-newegg-psu-pccooler-cps-kn1000-fully-modular-power-supply-80-plus-gold-1000w-psu-</x:v>
      </x:c>
      <x:c r="C698" s="34" t="str">
        <x:v>PCCOOLER CPS KN1000 Fully Modular Power Supply, 80 PLUS Gold 1000W PSU, Native 12V-2x6 Connector, ATX 3.1 &amp; PCIe 5.1 Ready, Dual CPU Power Cables, 105°C Rated Japanese Capacitors, P3-KN1000-G1F</x:v>
      </x:c>
      <x:c r="D698" s="34" t="str">
        <x:v>PCCOOLER</x:v>
      </x:c>
      <x:c r="E698" s="82" t="n">
        <x:v>83.9</x:v>
      </x:c>
      <x:c r="F698" s="34" t="str">
        <x:v>USD</x:v>
      </x:c>
      <x:c r="G698" s="34" t="str">
        <x:v>retail</x:v>
      </x:c>
      <x:c r="H698" s="34" t="str">
        <x:v>2026-06-29</x:v>
      </x:c>
      <x:c r="I698" s="34" t="str">
        <x:v>wattage=1000; efficiency=Gold; formFactor=ATX; modular=true</x:v>
      </x:c>
      <x:c r="J698" s="34" t="str">
        <x:v>1000W, Gold, ATX, modular, ca-retail</x:v>
      </x:c>
      <x:c r="K698" s="34" t="str">
        <x:v>1000W Gold ATX power supply from CA retailer.</x:v>
      </x:c>
      <x:c r="L698" s="34" t="str">
        <x:v>https://www.newegg.ca/p/9SIBYC4KME8024</x:v>
      </x:c>
      <x:c r="M698" s="35" t="str">
        <x:v>https://www.newegg.ca/p/9SIBYC4KME8024</x:v>
      </x:c>
    </x:row>
    <x:row r="699">
      <x:c r="A699" s="33" t="str">
        <x:v>psu</x:v>
      </x:c>
      <x:c r="B699" s="34" t="str">
        <x:v>ca-newegg-psu-pccooler-cps-kn750-fully-modular-power-supply-80-plus-gold-750w-psu-na</x:v>
      </x:c>
      <x:c r="C699" s="34" t="str">
        <x:v>PCCOOLER CPS KN750 Fully Modular Power Supply, 80 PLUS Gold 750W PSU, Native 12V-2x6 Connector, ATX 3.1 &amp; PCIe 5.1 Ready, Dual CPU Power Cables, 105°C Rated Japanese Capacitors, P3-KN750-G1F</x:v>
      </x:c>
      <x:c r="D699" s="34" t="str">
        <x:v>PCCOOLER</x:v>
      </x:c>
      <x:c r="E699" s="82" t="n">
        <x:v>62.78</x:v>
      </x:c>
      <x:c r="F699" s="34" t="str">
        <x:v>USD</x:v>
      </x:c>
      <x:c r="G699" s="34" t="str">
        <x:v>retail</x:v>
      </x:c>
      <x:c r="H699" s="34" t="str">
        <x:v>2026-06-29</x:v>
      </x:c>
      <x:c r="I699" s="34" t="str">
        <x:v>wattage=750; efficiency=Gold; formFactor=ATX; modular=true</x:v>
      </x:c>
      <x:c r="J699" s="34" t="str">
        <x:v>750W, Gold, ATX, modular, ca-retail</x:v>
      </x:c>
      <x:c r="K699" s="34" t="str">
        <x:v>750W Gold ATX power supply from CA retailer.</x:v>
      </x:c>
      <x:c r="L699" s="34" t="str">
        <x:v>https://www.newegg.ca/p/9SIBYC4KME8050</x:v>
      </x:c>
      <x:c r="M699" s="35" t="str">
        <x:v>https://www.newegg.ca/p/9SIBYC4KME8050</x:v>
      </x:c>
    </x:row>
    <x:row r="700">
      <x:c r="A700" s="33" t="str">
        <x:v>psu</x:v>
      </x:c>
      <x:c r="B700" s="34" t="str">
        <x:v>ca-newegg-psu-msi-mag-a1000gls-pcie5-fully-modular-compact-gaming-1000w-power-supply</x:v>
      </x:c>
      <x:c r="C700" s="34" t="str">
        <x:v>MSI MAG A1000GLS PCIE5, Fully Modular Compact Gaming 1000W Power Supply, 80+ Gold, ATX 3.1 &amp; PCIe 5.1 Ready, Dual-color 12V-2x6 cable, Low-Noise, Embossed Jacket Cables, 10 Year Warranty</x:v>
      </x:c>
      <x:c r="D700" s="34" t="str">
        <x:v>MSI</x:v>
      </x:c>
      <x:c r="E700" s="82" t="n">
        <x:v>157.94</x:v>
      </x:c>
      <x:c r="F700" s="34" t="str">
        <x:v>USD</x:v>
      </x:c>
      <x:c r="G700" s="34" t="str">
        <x:v>retail</x:v>
      </x:c>
      <x:c r="H700" s="34" t="str">
        <x:v>2026-06-29</x:v>
      </x:c>
      <x:c r="I700" s="34" t="str">
        <x:v>wattage=1000; efficiency=Gold; formFactor=ATX; modular=false</x:v>
      </x:c>
      <x:c r="J700" s="34" t="str">
        <x:v>1000W, Gold, ATX, non-modular, ca-retail, airflow, quiet</x:v>
      </x:c>
      <x:c r="K700" s="34" t="str">
        <x:v>1000W Gold ATX power supply from CA retailer.</x:v>
      </x:c>
      <x:c r="L700" s="34" t="str">
        <x:v>https://www.newegg.ca/p/17-701-032</x:v>
      </x:c>
      <x:c r="M700" s="35" t="str">
        <x:v>https://www.newegg.ca/p/17-701-032</x:v>
      </x:c>
    </x:row>
    <x:row r="701">
      <x:c r="A701" s="33" t="str">
        <x:v>psu</x:v>
      </x:c>
      <x:c r="B701" s="34" t="str">
        <x:v>ca-newegg-psu-super-flower-leadex-iii-ge-gold-atx-3-1-1000w-cybenetics-platinum-80-g</x:v>
      </x:c>
      <x:c r="C701" s="34" t="str">
        <x:v>Super Flower Leadex III GE Gold ATX 3.1 1000W, Cybenetics Platinum, 80+ Gold, 10 Years Warranty, ECO Semi-Fanless Mode, FDB Fan With Copper Shaft, Full Modular Power Supply, SF-1000F14GE, Black</x:v>
      </x:c>
      <x:c r="D701" s="34" t="str">
        <x:v>Super Flower</x:v>
      </x:c>
      <x:c r="E701" s="82" t="n">
        <x:v>155.12</x:v>
      </x:c>
      <x:c r="F701" s="34" t="str">
        <x:v>USD</x:v>
      </x:c>
      <x:c r="G701" s="34" t="str">
        <x:v>retail</x:v>
      </x:c>
      <x:c r="H701" s="34" t="str">
        <x:v>2026-06-29</x:v>
      </x:c>
      <x:c r="I701" s="34" t="str">
        <x:v>wattage=1000; efficiency=Platinum; formFactor=ATX; modular=true</x:v>
      </x:c>
      <x:c r="J701" s="34" t="str">
        <x:v>1000W, Platinum, ATX, modular, ca-retail, black</x:v>
      </x:c>
      <x:c r="K701" s="34" t="str">
        <x:v>1000W Platinum ATX power supply from CA retailer.</x:v>
      </x:c>
      <x:c r="L701" s="34" t="str">
        <x:v>https://www.newegg.ca/p/9SIAU16KCU2204</x:v>
      </x:c>
      <x:c r="M701" s="35" t="str">
        <x:v>https://www.newegg.ca/p/9SIAU16KCU2204</x:v>
      </x:c>
    </x:row>
    <x:row r="702">
      <x:c r="A702" s="33" t="str">
        <x:v>psu</x:v>
      </x:c>
      <x:c r="B702" s="34" t="str">
        <x:v>ca-newegg-psu-corsair-rme-series-rm1000e-1000-w-power-supply</x:v>
      </x:c>
      <x:c r="C702" s="34" t="str">
        <x:v>CORSAIR RMe Series RM1000e 1000 W Power Supply</x:v>
      </x:c>
      <x:c r="D702" s="34" t="str">
        <x:v>Corsair</x:v>
      </x:c>
      <x:c r="E702" s="82" t="n">
        <x:v>119.86</x:v>
      </x:c>
      <x:c r="F702" s="34" t="str">
        <x:v>USD</x:v>
      </x:c>
      <x:c r="G702" s="34" t="str">
        <x:v>retail</x:v>
      </x:c>
      <x:c r="H702" s="34" t="str">
        <x:v>2026-06-29</x:v>
      </x:c>
      <x:c r="I702" s="34" t="str">
        <x:v>wattage=1000; efficiency=Bronze; formFactor=ATX; modular=true</x:v>
      </x:c>
      <x:c r="J702" s="34" t="str">
        <x:v>1000W, Bronze, ATX, modular, ca-retail, quiet</x:v>
      </x:c>
      <x:c r="K702" s="34" t="str">
        <x:v>1000W Bronze ATX power supply from CA retailer.</x:v>
      </x:c>
      <x:c r="L702" s="34" t="str">
        <x:v>https://www.newegg.ca/p/17-139-337</x:v>
      </x:c>
      <x:c r="M702" s="35" t="str">
        <x:v>https://www.newegg.ca/p/17-139-337</x:v>
      </x:c>
    </x:row>
    <x:row r="703">
      <x:c r="A703" s="33" t="str">
        <x:v>psu</x:v>
      </x:c>
      <x:c r="B703" s="34" t="str">
        <x:v>ca-newegg-psu-montech-century-ii-1050w-high-end-atx-gaming-power-supply-80-plus-gold</x:v>
      </x:c>
      <x:c r="C703" s="34" t="str">
        <x:v>MONTECH CENTURY II - 1050W High-End ATX Gaming Power Supply - 80 Plus Gold &amp; Cybenetics Platinum</x:v>
      </x:c>
      <x:c r="D703" s="34" t="str">
        <x:v>Montech</x:v>
      </x:c>
      <x:c r="E703" s="82" t="n">
        <x:v>88.13</x:v>
      </x:c>
      <x:c r="F703" s="34" t="str">
        <x:v>USD</x:v>
      </x:c>
      <x:c r="G703" s="34" t="str">
        <x:v>retail</x:v>
      </x:c>
      <x:c r="H703" s="34" t="str">
        <x:v>2026-06-29</x:v>
      </x:c>
      <x:c r="I703" s="34" t="str">
        <x:v>wattage=1050; efficiency=Platinum; formFactor=ATX; modular=true</x:v>
      </x:c>
      <x:c r="J703" s="34" t="str">
        <x:v>1050W, Platinum, ATX, modular, ca-retail, quiet</x:v>
      </x:c>
      <x:c r="K703" s="34" t="str">
        <x:v>1050W Platinum ATX power supply from CA retailer.</x:v>
      </x:c>
      <x:c r="L703" s="34" t="str">
        <x:v>https://www.newegg.ca/p/17-959-009</x:v>
      </x:c>
      <x:c r="M703" s="35" t="str">
        <x:v>https://www.newegg.ca/p/17-959-009</x:v>
      </x:c>
    </x:row>
    <x:row r="704">
      <x:c r="A704" s="33" t="str">
        <x:v>psu</x:v>
      </x:c>
      <x:c r="B704" s="34" t="str">
        <x:v>ca-newegg-psu-sama-g1000w-atx-3-1-power-supply-1000w-cybenetics-gold-standards-pcie-</x:v>
      </x:c>
      <x:c r="C704" s="34" t="str">
        <x:v>SAMA G1000W ATX 3.1 Power Supply, 1000W, Cybenetics Gold Standards, PCIe 5.1 Ready, Full Modular, Japanese Capacitors, FDB Fan, Black Version</x:v>
      </x:c>
      <x:c r="D704" s="34" t="str">
        <x:v>SAMA</x:v>
      </x:c>
      <x:c r="E704" s="82" t="n">
        <x:v>81.08</x:v>
      </x:c>
      <x:c r="F704" s="34" t="str">
        <x:v>USD</x:v>
      </x:c>
      <x:c r="G704" s="34" t="str">
        <x:v>retail</x:v>
      </x:c>
      <x:c r="H704" s="34" t="str">
        <x:v>2026-06-29</x:v>
      </x:c>
      <x:c r="I704" s="34" t="str">
        <x:v>wattage=1000; efficiency=Gold; formFactor=ATX; modular=true</x:v>
      </x:c>
      <x:c r="J704" s="34" t="str">
        <x:v>1000W, Gold, ATX, modular, ca-retail, black, quiet</x:v>
      </x:c>
      <x:c r="K704" s="34" t="str">
        <x:v>1000W Gold ATX power supply from CA retailer.</x:v>
      </x:c>
      <x:c r="L704" s="34" t="str">
        <x:v>https://www.newegg.ca/p/9SIB41PKG91417</x:v>
      </x:c>
      <x:c r="M704" s="35" t="str">
        <x:v>https://www.newegg.ca/p/9SIB41PKG91417</x:v>
      </x:c>
    </x:row>
    <x:row r="705">
      <x:c r="A705" s="33" t="str">
        <x:v>psu</x:v>
      </x:c>
      <x:c r="B705" s="34" t="str">
        <x:v>ca-newegg-psu-super-flower-leadex-vii-xg-1000w-80-gold-cybenetics-platinum-full-modu</x:v>
      </x:c>
      <x:c r="C705" s="34" t="str">
        <x:v>Super Flower Leadex VII XG 1000W 80+ Gold, Cybenetics Platinum, Full Modular, ATX 3.1 &amp; PCIe 5.1, W/12VHPWR Cable (2x8pin - 16pin native cables) , Power Supply, FDB Fan, SF-1000F14XG, Black version</x:v>
      </x:c>
      <x:c r="D705" s="34" t="str">
        <x:v>Super Flower</x:v>
      </x:c>
      <x:c r="E705" s="82" t="n">
        <x:v>112.81</x:v>
      </x:c>
      <x:c r="F705" s="34" t="str">
        <x:v>USD</x:v>
      </x:c>
      <x:c r="G705" s="34" t="str">
        <x:v>retail</x:v>
      </x:c>
      <x:c r="H705" s="34" t="str">
        <x:v>2026-06-29</x:v>
      </x:c>
      <x:c r="I705" s="34" t="str">
        <x:v>wattage=1000; efficiency=Platinum; formFactor=ATX; modular=true</x:v>
      </x:c>
      <x:c r="J705" s="34" t="str">
        <x:v>1000W, Platinum, ATX, modular, ca-retail, black</x:v>
      </x:c>
      <x:c r="K705" s="34" t="str">
        <x:v>1000W Platinum ATX power supply from CA retailer.</x:v>
      </x:c>
      <x:c r="L705" s="34" t="str">
        <x:v>https://www.newegg.ca/p/9SIAU16K1A4578</x:v>
      </x:c>
      <x:c r="M705" s="35" t="str">
        <x:v>https://www.newegg.ca/p/9SIAU16K1A4578</x:v>
      </x:c>
    </x:row>
    <x:row r="706">
      <x:c r="A706" s="33" t="str">
        <x:v>psu</x:v>
      </x:c>
      <x:c r="B706" s="34" t="str">
        <x:v>ca-newegg-psu-sama-g1000w-atx-3-1-power-supply-1000w-cybenetics-gold-standards-pcie--1</x:v>
      </x:c>
      <x:c r="C706" s="34" t="str">
        <x:v>SAMA G1000W ATX 3.1 Power Supply, 1000W, Cybenetics Gold Standards, PCIe 5.1 Ready, Full Modular, Japanese Capacitors, FDB Fan, White Version</x:v>
      </x:c>
      <x:c r="D706" s="34" t="str">
        <x:v>SAMA</x:v>
      </x:c>
      <x:c r="E706" s="82" t="n">
        <x:v>81.08</x:v>
      </x:c>
      <x:c r="F706" s="34" t="str">
        <x:v>USD</x:v>
      </x:c>
      <x:c r="G706" s="34" t="str">
        <x:v>retail</x:v>
      </x:c>
      <x:c r="H706" s="34" t="str">
        <x:v>2026-06-29</x:v>
      </x:c>
      <x:c r="I706" s="34" t="str">
        <x:v>wattage=1000; efficiency=Gold; formFactor=ATX; modular=true</x:v>
      </x:c>
      <x:c r="J706" s="34" t="str">
        <x:v>1000W, Gold, ATX, modular, ca-retail, white, quiet</x:v>
      </x:c>
      <x:c r="K706" s="34" t="str">
        <x:v>1000W Gold ATX power supply from CA retailer.</x:v>
      </x:c>
      <x:c r="L706" s="34" t="str">
        <x:v>https://www.newegg.ca/p/9SIB41PKG91421</x:v>
      </x:c>
      <x:c r="M706" s="35" t="str">
        <x:v>https://www.newegg.ca/p/9SIB41PKG91421</x:v>
      </x:c>
    </x:row>
    <x:row r="707">
      <x:c r="A707" s="33" t="str">
        <x:v>psu</x:v>
      </x:c>
      <x:c r="B707" s="34" t="str">
        <x:v>ca-newegg-psu-super-flower-leadex-vii-xg-1000w-80-gold-white-cybenetics-platinum-ful</x:v>
      </x:c>
      <x:c r="C707" s="34" t="str">
        <x:v>Super Flower Leadex VII XG 1000W 80+ Gold White, Cybenetics Platinum, Full Modular, ATX 3.1 &amp; PCIe 5.1,12VHPWR Cable (2x8pin-16pin native cables) , Power Supply, FDB Fan, SF-1000F14XG, White version</x:v>
      </x:c>
      <x:c r="D707" s="34" t="str">
        <x:v>Super Flower</x:v>
      </x:c>
      <x:c r="E707" s="82" t="n">
        <x:v>112.81</x:v>
      </x:c>
      <x:c r="F707" s="34" t="str">
        <x:v>USD</x:v>
      </x:c>
      <x:c r="G707" s="34" t="str">
        <x:v>retail</x:v>
      </x:c>
      <x:c r="H707" s="34" t="str">
        <x:v>2026-06-29</x:v>
      </x:c>
      <x:c r="I707" s="34" t="str">
        <x:v>wattage=1000; efficiency=Platinum; formFactor=ATX; modular=true</x:v>
      </x:c>
      <x:c r="J707" s="34" t="str">
        <x:v>1000W, Platinum, ATX, modular, ca-retail, white</x:v>
      </x:c>
      <x:c r="K707" s="34" t="str">
        <x:v>1000W Platinum ATX power supply from CA retailer.</x:v>
      </x:c>
      <x:c r="L707" s="34" t="str">
        <x:v>https://www.newegg.ca/p/9SIAU16KCU2198</x:v>
      </x:c>
      <x:c r="M707" s="35" t="str">
        <x:v>https://www.newegg.ca/p/9SIAU16KCU2198</x:v>
      </x:c>
    </x:row>
    <x:row r="708">
      <x:c r="A708" s="33" t="str">
        <x:v>psu</x:v>
      </x:c>
      <x:c r="B708" s="34" t="str">
        <x:v>ca-newegg-psu-lian-li-edge-serie-1000w-full-modular-power-supply-fan-usb-hub-include</x:v>
      </x:c>
      <x:c r="C708" s="34" t="str">
        <x:v>Lian Li Edge Serie - 1000W Full Modular Power Supply (Fan USB Hub Included) - Gold - ATX 3.1 - PCIE 5.1 Support - 12V-2x6 Connector - L-Shape Design for Dual Chamber Case - White (EG1000G.WH)</x:v>
      </x:c>
      <x:c r="D708" s="34" t="str">
        <x:v>Lian Li</x:v>
      </x:c>
      <x:c r="E708" s="82" t="n">
        <x:v>139.6</x:v>
      </x:c>
      <x:c r="F708" s="34" t="str">
        <x:v>USD</x:v>
      </x:c>
      <x:c r="G708" s="34" t="str">
        <x:v>retail</x:v>
      </x:c>
      <x:c r="H708" s="34" t="str">
        <x:v>2026-06-29</x:v>
      </x:c>
      <x:c r="I708" s="34" t="str">
        <x:v>wattage=1000; efficiency=Gold; formFactor=ATX; modular=true</x:v>
      </x:c>
      <x:c r="J708" s="34" t="str">
        <x:v>1000W, Gold, ATX, modular, ca-retail, white, rgb, airflow, panoramic</x:v>
      </x:c>
      <x:c r="K708" s="34" t="str">
        <x:v>1000W Gold ATX power supply from CA retailer.</x:v>
      </x:c>
      <x:c r="L708" s="34" t="str">
        <x:v>https://www.newegg.ca/p/1HU-01PP-00016</x:v>
      </x:c>
      <x:c r="M708" s="35" t="str">
        <x:v>https://www.newegg.ca/p/1HU-01PP-00016</x:v>
      </x:c>
    </x:row>
    <x:row r="709">
      <x:c r="A709" s="33" t="str">
        <x:v>psu</x:v>
      </x:c>
      <x:c r="B709" s="34" t="str">
        <x:v>ca-newegg-psu-msi-mag-a1000gl-pcie5-white-fully-modular-compact-gaming-1000w-power-s</x:v>
      </x:c>
      <x:c r="C709" s="34" t="str">
        <x:v>MSI MAG A1000GL PCIE5 WHITE, Fully Modular Compact Gaming 1000W Power Supply, 80+ Gold, ATX 3.1 &amp; PCIe 5.1 Ready, Native Dual-color 12V-2x6 cable, 10 Year Warranty</x:v>
      </x:c>
      <x:c r="D709" s="34" t="str">
        <x:v>MSI</x:v>
      </x:c>
      <x:c r="E709" s="82" t="n">
        <x:v>169.22</x:v>
      </x:c>
      <x:c r="F709" s="34" t="str">
        <x:v>USD</x:v>
      </x:c>
      <x:c r="G709" s="34" t="str">
        <x:v>retail</x:v>
      </x:c>
      <x:c r="H709" s="34" t="str">
        <x:v>2026-06-29</x:v>
      </x:c>
      <x:c r="I709" s="34" t="str">
        <x:v>wattage=1000; efficiency=Gold; formFactor=ATX; modular=true</x:v>
      </x:c>
      <x:c r="J709" s="34" t="str">
        <x:v>1000W, Gold, ATX, modular, ca-retail, white</x:v>
      </x:c>
      <x:c r="K709" s="34" t="str">
        <x:v>1000W Gold ATX power supply from CA retailer.</x:v>
      </x:c>
      <x:c r="L709" s="34" t="str">
        <x:v>https://www.newegg.ca/p/17-701-039</x:v>
      </x:c>
      <x:c r="M709" s="35" t="str">
        <x:v>https://www.newegg.ca/p/17-701-039</x:v>
      </x:c>
    </x:row>
    <x:row r="710">
      <x:c r="A710" s="33" t="str">
        <x:v>psu</x:v>
      </x:c>
      <x:c r="B710" s="34" t="str">
        <x:v>ca-newegg-psu-pccooler-cps-ys1000-fully-modular-power-supply-80-plus-gold-1000w-psu-</x:v>
      </x:c>
      <x:c r="C710" s="34" t="str">
        <x:v>PCCOOLER CPS YS1000 Fully Modular Power Supply, 80 PLUS Gold 1000W PSU, 12V-2x6 Cable, ATX 3.1 &amp; PCIe 5.1 Ready, 105°C Rated Japanese Capacitors, ECO Mode, 135mm FDB Fan, 12 Years Warranty</x:v>
      </x:c>
      <x:c r="D710" s="34" t="str">
        <x:v>PCCOOLER</x:v>
      </x:c>
      <x:c r="E710" s="82" t="n">
        <x:v>143.84</x:v>
      </x:c>
      <x:c r="F710" s="34" t="str">
        <x:v>USD</x:v>
      </x:c>
      <x:c r="G710" s="34" t="str">
        <x:v>retail</x:v>
      </x:c>
      <x:c r="H710" s="34" t="str">
        <x:v>2026-06-29</x:v>
      </x:c>
      <x:c r="I710" s="34" t="str">
        <x:v>wattage=1000; efficiency=Gold; formFactor=ATX; modular=true</x:v>
      </x:c>
      <x:c r="J710" s="34" t="str">
        <x:v>1000W, Gold, ATX, modular, ca-retail</x:v>
      </x:c>
      <x:c r="K710" s="34" t="str">
        <x:v>1000W Gold ATX power supply from CA retailer.</x:v>
      </x:c>
      <x:c r="L710" s="34" t="str">
        <x:v>https://www.newegg.ca/p/9SIBYC4KME7923</x:v>
      </x:c>
      <x:c r="M710" s="35" t="str">
        <x:v>https://www.newegg.ca/p/9SIBYC4KME7923</x:v>
      </x:c>
    </x:row>
    <x:row r="711">
      <x:c r="A711" s="33" t="str">
        <x:v>psu</x:v>
      </x:c>
      <x:c r="B711" s="34" t="str">
        <x:v>ca-newegg-psu-asrock-sl-1000p-1000w-power-supply</x:v>
      </x:c>
      <x:c r="C711" s="34" t="str">
        <x:v>ASRock SL-1000P 1000W Power Supply</x:v>
      </x:c>
      <x:c r="D711" s="34" t="str">
        <x:v>ASRock</x:v>
      </x:c>
      <x:c r="E711" s="82" t="n">
        <x:v>169.21</x:v>
      </x:c>
      <x:c r="F711" s="34" t="str">
        <x:v>USD</x:v>
      </x:c>
      <x:c r="G711" s="34" t="str">
        <x:v>retail</x:v>
      </x:c>
      <x:c r="H711" s="34" t="str">
        <x:v>2026-06-29</x:v>
      </x:c>
      <x:c r="I711" s="34" t="str">
        <x:v>wattage=1000; efficiency=Bronze; formFactor=ATX; modular=true</x:v>
      </x:c>
      <x:c r="J711" s="34" t="str">
        <x:v>1000W, Bronze, ATX, modular, ca-retail</x:v>
      </x:c>
      <x:c r="K711" s="34" t="str">
        <x:v>1000W Bronze ATX power supply from CA retailer.</x:v>
      </x:c>
      <x:c r="L711" s="34" t="str">
        <x:v>https://www.newegg.ca/p/17-955-031</x:v>
      </x:c>
      <x:c r="M711" s="35" t="str">
        <x:v>https://www.newegg.ca/p/17-955-031</x:v>
      </x:c>
    </x:row>
    <x:row r="712">
      <x:c r="A712" s="33" t="str">
        <x:v>psu</x:v>
      </x:c>
      <x:c r="B712" s="34" t="str">
        <x:v>ca-newegg-psu-msi-mag-a1000gl-pcie5-fully-modular-compact-gaming-1000w-power-supply-</x:v>
      </x:c>
      <x:c r="C712" s="34" t="str">
        <x:v>MSI MAG A1000GL PCIE5, Fully Modular Compact Gaming 1000W Power Supply, 80+ Gold, ATX 3.1 &amp; PCIe 5.1 Ready, Native Dual-color 12V-2x6 cable, 10 Year Warranty</x:v>
      </x:c>
      <x:c r="D712" s="34" t="str">
        <x:v>MSI</x:v>
      </x:c>
      <x:c r="E712" s="82" t="n">
        <x:v>158.64</x:v>
      </x:c>
      <x:c r="F712" s="34" t="str">
        <x:v>USD</x:v>
      </x:c>
      <x:c r="G712" s="34" t="str">
        <x:v>retail</x:v>
      </x:c>
      <x:c r="H712" s="34" t="str">
        <x:v>2026-06-29</x:v>
      </x:c>
      <x:c r="I712" s="34" t="str">
        <x:v>wattage=1000; efficiency=Gold; formFactor=ATX; modular=true</x:v>
      </x:c>
      <x:c r="J712" s="34" t="str">
        <x:v>1000W, Gold, ATX, modular, ca-retail</x:v>
      </x:c>
      <x:c r="K712" s="34" t="str">
        <x:v>1000W Gold ATX power supply from CA retailer.</x:v>
      </x:c>
      <x:c r="L712" s="34" t="str">
        <x:v>https://www.newegg.ca/p/17-701-026</x:v>
      </x:c>
      <x:c r="M712" s="35" t="str">
        <x:v>https://www.newegg.ca/p/17-701-026</x:v>
      </x:c>
    </x:row>
    <x:row r="713">
      <x:c r="A713" s="33" t="str">
        <x:v>psu</x:v>
      </x:c>
      <x:c r="B713" s="34" t="str">
        <x:v>ca-newegg-psu-rosewill-cmg5-1000w-atx-3-0-3-1-compatible-80-gold-1000w-full-modular-</x:v>
      </x:c>
      <x:c r="C713" s="34" t="str">
        <x:v>Rosewill CMG5 1000W, ATX 3.0 &amp; 3.1 Compatible, 80+ Gold 1000W Full Modular Power Supply, PCIe 5.0 600W 12V-2x6 Connector, 100% Japanese Electrolytic Capacitors, 120mm FDB Fans - CMG1000G5</x:v>
      </x:c>
      <x:c r="D713" s="34" t="str">
        <x:v>Rosewill</x:v>
      </x:c>
      <x:c r="E713" s="82" t="n">
        <x:v>84.61</x:v>
      </x:c>
      <x:c r="F713" s="34" t="str">
        <x:v>USD</x:v>
      </x:c>
      <x:c r="G713" s="34" t="str">
        <x:v>retail</x:v>
      </x:c>
      <x:c r="H713" s="34" t="str">
        <x:v>2026-06-29</x:v>
      </x:c>
      <x:c r="I713" s="34" t="str">
        <x:v>wattage=1000; efficiency=Gold; formFactor=ATX; modular=true</x:v>
      </x:c>
      <x:c r="J713" s="34" t="str">
        <x:v>1000W, Gold, ATX, modular, ca-retail</x:v>
      </x:c>
      <x:c r="K713" s="34" t="str">
        <x:v>1000W Gold ATX power supply from CA retailer.</x:v>
      </x:c>
      <x:c r="L713" s="34" t="str">
        <x:v>https://www.newegg.ca/p/17-182-453</x:v>
      </x:c>
      <x:c r="M713" s="35" t="str">
        <x:v>https://www.newegg.ca/p/17-182-453</x:v>
      </x:c>
    </x:row>
    <x:row r="714">
      <x:c r="A714" s="33" t="str">
        <x:v>psu</x:v>
      </x:c>
      <x:c r="B714" s="34" t="str">
        <x:v>ca-newegg-psu-seasonic-core-gx-1000-atx3-1000-w-power-supply</x:v>
      </x:c>
      <x:c r="C714" s="34" t="str">
        <x:v>SeaSonic CORE GX-1000 ATX3 1000 W power supply</x:v>
      </x:c>
      <x:c r="D714" s="34" t="str">
        <x:v>SeaSonic USA</x:v>
      </x:c>
      <x:c r="E714" s="82" t="n">
        <x:v>125.5</x:v>
      </x:c>
      <x:c r="F714" s="34" t="str">
        <x:v>USD</x:v>
      </x:c>
      <x:c r="G714" s="34" t="str">
        <x:v>retail</x:v>
      </x:c>
      <x:c r="H714" s="34" t="str">
        <x:v>2026-06-29</x:v>
      </x:c>
      <x:c r="I714" s="34" t="str">
        <x:v>wattage=1000; efficiency=Bronze; formFactor=ATX; modular=true</x:v>
      </x:c>
      <x:c r="J714" s="34" t="str">
        <x:v>1000W, Bronze, ATX, modular, ca-retail</x:v>
      </x:c>
      <x:c r="K714" s="34" t="str">
        <x:v>1000W Bronze ATX power supply from CA retailer.</x:v>
      </x:c>
      <x:c r="L714" s="34" t="str">
        <x:v>https://www.newegg.ca/p/17-151-283</x:v>
      </x:c>
      <x:c r="M714" s="35" t="str">
        <x:v>https://www.newegg.ca/p/17-151-283</x:v>
      </x:c>
    </x:row>
    <x:row r="715">
      <x:c r="A715" s="33" t="str">
        <x:v>psu</x:v>
      </x:c>
      <x:c r="B715" s="34" t="str">
        <x:v>ca-newegg-psu-msi-mpg-a1000gs-pcie5-fully-modular-gaming-1000w-power-supply-80-gold-</x:v>
      </x:c>
      <x:c r="C715" s="34" t="str">
        <x:v>MSI MPG A1000GS PCIE5, Fully Modular Gaming 1000W Power Supply, 80+ Gold, Dual 12V-2x6 Cables, Server-grade Capacitor, ATX 3.1 &amp; PCIe 5.1 Ready, Low-Noise, Semi Digital, 10 Year Warranty</x:v>
      </x:c>
      <x:c r="D715" s="34" t="str">
        <x:v>MSI</x:v>
      </x:c>
      <x:c r="E715" s="82" t="n">
        <x:v>204.47</x:v>
      </x:c>
      <x:c r="F715" s="34" t="str">
        <x:v>USD</x:v>
      </x:c>
      <x:c r="G715" s="34" t="str">
        <x:v>retail</x:v>
      </x:c>
      <x:c r="H715" s="34" t="str">
        <x:v>2026-06-29</x:v>
      </x:c>
      <x:c r="I715" s="34" t="str">
        <x:v>wattage=1000; efficiency=Gold; formFactor=ATX; modular=false</x:v>
      </x:c>
      <x:c r="J715" s="34" t="str">
        <x:v>1000W, Gold, ATX, non-modular, ca-retail, airflow, quiet</x:v>
      </x:c>
      <x:c r="K715" s="34" t="str">
        <x:v>1000W Gold ATX power supply from CA retailer.</x:v>
      </x:c>
      <x:c r="L715" s="34" t="str">
        <x:v>https://www.newegg.ca/p/9SIB277KHJ9228</x:v>
      </x:c>
      <x:c r="M715" s="35" t="str">
        <x:v>https://www.newegg.ca/p/9SIB277KHJ9228</x:v>
      </x:c>
    </x:row>
    <x:row r="716">
      <x:c r="A716" s="33" t="str">
        <x:v>psu</x:v>
      </x:c>
      <x:c r="B716" s="34" t="str">
        <x:v>ca-newegg-psu-rosewill-vmg-1000w-80-gold-atx-3-0-3-1-compatible-full-modular-low-noi</x:v>
      </x:c>
      <x:c r="C716" s="34" t="str">
        <x:v>Rosewill VMG 1000W 80+ Gold, ATX 3.0 &amp; 3.1 Compatible, Full Modular Low-Noise Power Supply, PCIe 5.1 12V-2x6 Connector, 100% Japanese Electrolytic Capacitor, 120mm FDB Silent Fan - VMG1000</x:v>
      </x:c>
      <x:c r="D716" s="34" t="str">
        <x:v>Rosewill</x:v>
      </x:c>
      <x:c r="E716" s="82" t="n">
        <x:v>105.76</x:v>
      </x:c>
      <x:c r="F716" s="34" t="str">
        <x:v>USD</x:v>
      </x:c>
      <x:c r="G716" s="34" t="str">
        <x:v>retail</x:v>
      </x:c>
      <x:c r="H716" s="34" t="str">
        <x:v>2026-06-29</x:v>
      </x:c>
      <x:c r="I716" s="34" t="str">
        <x:v>wattage=1000; efficiency=Gold; formFactor=ATX; modular=false</x:v>
      </x:c>
      <x:c r="J716" s="34" t="str">
        <x:v>1000W, Gold, ATX, non-modular, ca-retail, quiet</x:v>
      </x:c>
      <x:c r="K716" s="34" t="str">
        <x:v>1000W Gold ATX power supply from CA retailer.</x:v>
      </x:c>
      <x:c r="L716" s="34" t="str">
        <x:v>https://www.newegg.ca/p/17-182-469</x:v>
      </x:c>
      <x:c r="M716" s="35" t="str">
        <x:v>https://www.newegg.ca/p/17-182-469</x:v>
      </x:c>
    </x:row>
    <x:row r="717">
      <x:c r="A717" s="33" t="str">
        <x:v>psu</x:v>
      </x:c>
      <x:c r="B717" s="34" t="str">
        <x:v>ca-newegg-psu-be-quiet-pure-power-13-m-1000w-atx-3-1-power-supply-80-plus-gold-effic</x:v>
      </x:c>
      <x:c r="C717" s="34" t="str">
        <x:v>be quiet! Pure Power 13 M 1000W ATX 3.1 Power Supply | 80 Plus Gold efficiency | PCIe 5.1 GPUs | Modular | BP028US</x:v>
      </x:c>
      <x:c r="D717" s="34" t="str">
        <x:v>be quiet!</x:v>
      </x:c>
      <x:c r="E717" s="82" t="n">
        <x:v>188.96</x:v>
      </x:c>
      <x:c r="F717" s="34" t="str">
        <x:v>USD</x:v>
      </x:c>
      <x:c r="G717" s="34" t="str">
        <x:v>retail</x:v>
      </x:c>
      <x:c r="H717" s="34" t="str">
        <x:v>2026-06-29</x:v>
      </x:c>
      <x:c r="I717" s="34" t="str">
        <x:v>wattage=1000; efficiency=Gold; formFactor=ATX; modular=true</x:v>
      </x:c>
      <x:c r="J717" s="34" t="str">
        <x:v>1000W, Gold, ATX, modular, ca-retail, quiet</x:v>
      </x:c>
      <x:c r="K717" s="34" t="str">
        <x:v>1000W Gold ATX power supply from CA retailer.</x:v>
      </x:c>
      <x:c r="L717" s="34" t="str">
        <x:v>https://www.newegg.ca/p/17-222-042</x:v>
      </x:c>
      <x:c r="M717" s="35" t="str">
        <x:v>https://www.newegg.ca/p/17-222-042</x:v>
      </x:c>
    </x:row>
    <x:row r="718">
      <x:c r="A718" s="33" t="str">
        <x:v>psu</x:v>
      </x:c>
      <x:c r="B718" s="34" t="str">
        <x:v>ca-newegg-psu-lian-li-rs-1000w-rotational-shift-fully-modular-atx-power-supply-w-usb</x:v>
      </x:c>
      <x:c r="C718" s="34" t="str">
        <x:v>Lian Li RS 1000W Rotational Shift Fully Modular ATX Power Supply (W/ USB Fan Hub) 90° AC inlet,Cybenetics Platinum, 80+ Gold, ATX 3.1, PCle 5.1, 12V-2x6 Cable, 10 Year Warranty, Black(RS1000G.BH)</x:v>
      </x:c>
      <x:c r="D718" s="34" t="str">
        <x:v>Lian Li</x:v>
      </x:c>
      <x:c r="E718" s="82" t="n">
        <x:v>133.96</x:v>
      </x:c>
      <x:c r="F718" s="34" t="str">
        <x:v>USD</x:v>
      </x:c>
      <x:c r="G718" s="34" t="str">
        <x:v>retail</x:v>
      </x:c>
      <x:c r="H718" s="34" t="str">
        <x:v>2026-06-29</x:v>
      </x:c>
      <x:c r="I718" s="34" t="str">
        <x:v>wattage=1000; efficiency=Platinum; formFactor=ATX; modular=true</x:v>
      </x:c>
      <x:c r="J718" s="34" t="str">
        <x:v>1000W, Platinum, ATX, modular, ca-retail, black</x:v>
      </x:c>
      <x:c r="K718" s="34" t="str">
        <x:v>1000W Platinum ATX power supply from CA retailer.</x:v>
      </x:c>
      <x:c r="L718" s="34" t="str">
        <x:v>https://www.newegg.ca/p/1HU-01PP-00022</x:v>
      </x:c>
      <x:c r="M718" s="35" t="str">
        <x:v>https://www.newegg.ca/p/1HU-01PP-00022</x:v>
      </x:c>
    </x:row>
    <x:row r="719">
      <x:c r="A719" s="33" t="str">
        <x:v>psu</x:v>
      </x:c>
      <x:c r="B719" s="34" t="str">
        <x:v>ca-newegg-psu-msi-mpg-a1000g-pcie5-fully-modular-compact-gaming-1000w-power-supply-8</x:v>
      </x:c>
      <x:c r="C719" s="34" t="str">
        <x:v>MSI MPG A1000G PCIE5, Fully Modular Compact Gaming 1000W Power Supply, 80+ Gold, Native 12V-2x6 Cable, 100% Japanese Capacitor, ATX 3.1 &amp; PCIe 5.1 Ready, Low-Noise, 10 Year Warranty</x:v>
      </x:c>
      <x:c r="D719" s="34" t="str">
        <x:v>MSI</x:v>
      </x:c>
      <x:c r="E719" s="82" t="n">
        <x:v>264.38</x:v>
      </x:c>
      <x:c r="F719" s="34" t="str">
        <x:v>USD</x:v>
      </x:c>
      <x:c r="G719" s="34" t="str">
        <x:v>retail</x:v>
      </x:c>
      <x:c r="H719" s="34" t="str">
        <x:v>2026-06-29</x:v>
      </x:c>
      <x:c r="I719" s="34" t="str">
        <x:v>wattage=1000; efficiency=Gold; formFactor=ATX; modular=false</x:v>
      </x:c>
      <x:c r="J719" s="34" t="str">
        <x:v>1000W, Gold, ATX, non-modular, ca-retail, quiet</x:v>
      </x:c>
      <x:c r="K719" s="34" t="str">
        <x:v>1000W Gold ATX power supply from CA retailer.</x:v>
      </x:c>
      <x:c r="L719" s="34" t="str">
        <x:v>https://www.newegg.ca/p/9SIADDZJK69846</x:v>
      </x:c>
      <x:c r="M719" s="35" t="str">
        <x:v>https://www.newegg.ca/p/9SIADDZJK69846</x:v>
      </x:c>
    </x:row>
    <x:row r="720">
      <x:c r="A720" s="33" t="str">
        <x:v>psu</x:v>
      </x:c>
      <x:c r="B720" s="34" t="str">
        <x:v>ca-newegg-psu-asrock-pg-1000psf-1000w-power-supply</x:v>
      </x:c>
      <x:c r="C720" s="34" t="str">
        <x:v>ASRock PG-1000PSF 1000W Power Supply</x:v>
      </x:c>
      <x:c r="D720" s="34" t="str">
        <x:v>ASRock</x:v>
      </x:c>
      <x:c r="E720" s="82" t="n">
        <x:v>211.52</x:v>
      </x:c>
      <x:c r="F720" s="34" t="str">
        <x:v>USD</x:v>
      </x:c>
      <x:c r="G720" s="34" t="str">
        <x:v>retail</x:v>
      </x:c>
      <x:c r="H720" s="34" t="str">
        <x:v>2026-06-29</x:v>
      </x:c>
      <x:c r="I720" s="34" t="str">
        <x:v>wattage=1000; efficiency=Bronze; formFactor=ATX; modular=true</x:v>
      </x:c>
      <x:c r="J720" s="34" t="str">
        <x:v>1000W, Bronze, ATX, modular, ca-retail</x:v>
      </x:c>
      <x:c r="K720" s="34" t="str">
        <x:v>1000W Bronze ATX power supply from CA retailer.</x:v>
      </x:c>
      <x:c r="L720" s="34" t="str">
        <x:v>https://www.newegg.ca/p/17-955-028</x:v>
      </x:c>
      <x:c r="M720" s="35" t="str">
        <x:v>https://www.newegg.ca/p/17-955-028</x:v>
      </x:c>
    </x:row>
    <x:row r="721">
      <x:c r="A721" s="33" t="str">
        <x:v>psu</x:v>
      </x:c>
      <x:c r="B721" s="34" t="str">
        <x:v>ca-newegg-psu-super-flower-zillion-fg-1050w-cybenetics-platinum-80-gold-full-modular</x:v>
      </x:c>
      <x:c r="C721" s="34" t="str">
        <x:v>Super Flower Zillion FG 1050W Cybenetics Platinum, 80+ Gold, Full Modular, ATX 3.1 / PCIe 5.0, W/12V-2x6 Cable (2x8pin - 16pin native cables), Power Supply, FDB Fan, SF-1050Z12FG, Black version</x:v>
      </x:c>
      <x:c r="D721" s="34" t="str">
        <x:v>Super Flower</x:v>
      </x:c>
      <x:c r="E721" s="82" t="n">
        <x:v>132.55</x:v>
      </x:c>
      <x:c r="F721" s="34" t="str">
        <x:v>USD</x:v>
      </x:c>
      <x:c r="G721" s="34" t="str">
        <x:v>retail</x:v>
      </x:c>
      <x:c r="H721" s="34" t="str">
        <x:v>2026-06-29</x:v>
      </x:c>
      <x:c r="I721" s="34" t="str">
        <x:v>wattage=1050; efficiency=Platinum; formFactor=ATX; modular=true</x:v>
      </x:c>
      <x:c r="J721" s="34" t="str">
        <x:v>1050W, Platinum, ATX, modular, ca-retail, black</x:v>
      </x:c>
      <x:c r="K721" s="34" t="str">
        <x:v>1050W Platinum ATX power supply from CA retailer.</x:v>
      </x:c>
      <x:c r="L721" s="34" t="str">
        <x:v>https://www.newegg.ca/p/1HU-024C-00077</x:v>
      </x:c>
      <x:c r="M721" s="35" t="str">
        <x:v>https://www.newegg.ca/p/1HU-024C-00077</x:v>
      </x:c>
    </x:row>
    <x:row r="722">
      <x:c r="A722" s="33" t="str">
        <x:v>psu</x:v>
      </x:c>
      <x:c r="B722" s="34" t="str">
        <x:v>ca-newegg-psu-lian-li-rs-1000w-rotational-shift-fully-modular-atx-power-supply-w-usb-1</x:v>
      </x:c>
      <x:c r="C722" s="34" t="str">
        <x:v>Lian Li RS 1000W Rotational Shift Fully Modular ATX Power Supply (W/USB Fan Hub) 90° AC Inlet, Cybenetics Platinum, 80+ Gold, ATX 3.1, PCIe 5.1, 12V-2×6 Cable, 10 Year Warranty, White (RS1000G.WH)</x:v>
      </x:c>
      <x:c r="D722" s="34" t="str">
        <x:v>Lian Li</x:v>
      </x:c>
      <x:c r="E722" s="82" t="n">
        <x:v>141.01</x:v>
      </x:c>
      <x:c r="F722" s="34" t="str">
        <x:v>USD</x:v>
      </x:c>
      <x:c r="G722" s="34" t="str">
        <x:v>retail</x:v>
      </x:c>
      <x:c r="H722" s="34" t="str">
        <x:v>2026-06-29</x:v>
      </x:c>
      <x:c r="I722" s="34" t="str">
        <x:v>wattage=1000; efficiency=Platinum; formFactor=ATX; modular=true</x:v>
      </x:c>
      <x:c r="J722" s="34" t="str">
        <x:v>1000W, Platinum, ATX, modular, ca-retail, white</x:v>
      </x:c>
      <x:c r="K722" s="34" t="str">
        <x:v>1000W Platinum ATX power supply from CA retailer.</x:v>
      </x:c>
      <x:c r="L722" s="34" t="str">
        <x:v>https://www.newegg.ca/p/1HU-01PP-00023</x:v>
      </x:c>
      <x:c r="M722" s="35" t="str">
        <x:v>https://www.newegg.ca/p/1HU-01PP-00023</x:v>
      </x:c>
    </x:row>
    <x:row r="723">
      <x:c r="A723" s="33" t="str">
        <x:v>psu</x:v>
      </x:c>
      <x:c r="B723" s="34" t="str">
        <x:v>ca-newegg-psu-cooler-master-mwe-v4-1000w-power-supply-gpu-shield-intelligent-managem</x:v>
      </x:c>
      <x:c r="C723" s="34" t="str">
        <x:v>Cooler Master MWE V4 1000W Power Supply, GPU Shield™ Intelligent Management, Native dual color 12V-2x6 GPU Cable, Wave Heatsink Design, Noise Reduction, 80+ Gold, Fully Modular 10 Year Warranty</x:v>
      </x:c>
      <x:c r="D723" s="34" t="str">
        <x:v>Cooler Master</x:v>
      </x:c>
      <x:c r="E723" s="82" t="n">
        <x:v>183.31</x:v>
      </x:c>
      <x:c r="F723" s="34" t="str">
        <x:v>USD</x:v>
      </x:c>
      <x:c r="G723" s="34" t="str">
        <x:v>retail</x:v>
      </x:c>
      <x:c r="H723" s="34" t="str">
        <x:v>2026-06-29</x:v>
      </x:c>
      <x:c r="I723" s="34" t="str">
        <x:v>wattage=1000; efficiency=Gold; formFactor=ATX; modular=false</x:v>
      </x:c>
      <x:c r="J723" s="34" t="str">
        <x:v>1000W, Gold, ATX, non-modular, ca-retail, airflow</x:v>
      </x:c>
      <x:c r="K723" s="34" t="str">
        <x:v>1000W Gold ATX power supply from CA retailer.</x:v>
      </x:c>
      <x:c r="L723" s="34" t="str">
        <x:v>https://www.newegg.ca/p/17-171-249</x:v>
      </x:c>
      <x:c r="M723" s="35" t="str">
        <x:v>https://www.newegg.ca/p/17-171-249</x:v>
      </x:c>
    </x:row>
    <x:row r="724">
      <x:c r="A724" s="33" t="str">
        <x:v>psu</x:v>
      </x:c>
      <x:c r="B724" s="34" t="str">
        <x:v>ca-newegg-psu-fractal-design-ion-3-gold-1000w-white-80-plus-gold-certified-fully-mod</x:v>
      </x:c>
      <x:c r="C724" s="34" t="str">
        <x:v>Fractal Design Ion 3 Gold 1000W White 80 PLUS Gold Certified Fully Modular ATX12V 3.1 Power Supply Unit (PSU)</x:v>
      </x:c>
      <x:c r="D724" s="34" t="str">
        <x:v>Fractal Design</x:v>
      </x:c>
      <x:c r="E724" s="82" t="n">
        <x:v>194.6</x:v>
      </x:c>
      <x:c r="F724" s="34" t="str">
        <x:v>USD</x:v>
      </x:c>
      <x:c r="G724" s="34" t="str">
        <x:v>retail</x:v>
      </x:c>
      <x:c r="H724" s="34" t="str">
        <x:v>2026-06-29</x:v>
      </x:c>
      <x:c r="I724" s="34" t="str">
        <x:v>wattage=1000; efficiency=Gold; formFactor=ATX; modular=true</x:v>
      </x:c>
      <x:c r="J724" s="34" t="str">
        <x:v>1000W, Gold, ATX, modular, ca-retail, white, quiet</x:v>
      </x:c>
      <x:c r="K724" s="34" t="str">
        <x:v>1000W Gold ATX power supply from CA retailer.</x:v>
      </x:c>
      <x:c r="L724" s="34" t="str">
        <x:v>https://www.newegg.ca/p/17-580-037</x:v>
      </x:c>
      <x:c r="M724" s="35" t="str">
        <x:v>https://www.newegg.ca/p/17-580-037</x:v>
      </x:c>
    </x:row>
    <x:row r="725">
      <x:c r="A725" s="33" t="str">
        <x:v>psu</x:v>
      </x:c>
      <x:c r="B725" s="34" t="str">
        <x:v>ca-newegg-psu-fractal-design-ion-3-gold-1000w-black-80-plus-gold-certified-fully-mod</x:v>
      </x:c>
      <x:c r="C725" s="34" t="str">
        <x:v>Fractal Design Ion 3 Gold 1000W Black 80 PLUS Gold Certified Fully Modular ATX12V 3.1 Power Supply Unit (PSU)</x:v>
      </x:c>
      <x:c r="D725" s="34" t="str">
        <x:v>Fractal Design</x:v>
      </x:c>
      <x:c r="E725" s="82" t="n">
        <x:v>196.01</x:v>
      </x:c>
      <x:c r="F725" s="34" t="str">
        <x:v>USD</x:v>
      </x:c>
      <x:c r="G725" s="34" t="str">
        <x:v>retail</x:v>
      </x:c>
      <x:c r="H725" s="34" t="str">
        <x:v>2026-06-29</x:v>
      </x:c>
      <x:c r="I725" s="34" t="str">
        <x:v>wattage=1000; efficiency=Gold; formFactor=ATX; modular=true</x:v>
      </x:c>
      <x:c r="J725" s="34" t="str">
        <x:v>1000W, Gold, ATX, modular, ca-retail, black, quiet</x:v>
      </x:c>
      <x:c r="K725" s="34" t="str">
        <x:v>1000W Gold ATX power supply from CA retailer.</x:v>
      </x:c>
      <x:c r="L725" s="34" t="str">
        <x:v>https://www.newegg.ca/p/17-580-036</x:v>
      </x:c>
      <x:c r="M725" s="35" t="str">
        <x:v>https://www.newegg.ca/p/17-580-036</x:v>
      </x:c>
    </x:row>
    <x:row r="726">
      <x:c r="A726" s="33" t="str">
        <x:v>psu</x:v>
      </x:c>
      <x:c r="B726" s="34" t="str">
        <x:v>ca-newegg-psu-lian-li-rs-1000w-rotational-shift-fully-modular-atx-power-supply-w-o-u</x:v>
      </x:c>
      <x:c r="C726" s="34" t="str">
        <x:v>Lian Li RS 1000W Rotational Shift Fully Modular ATX Power Supply (W/o USB Fan Hub) 90° AC Inlet, Cybenetics Platinum, 80+ Gold, ATX 3.1, PCIe 5.1, 12V-2×6 Cable, 10 Year Warranty, Black (RS1000G.B)</x:v>
      </x:c>
      <x:c r="D726" s="34" t="str">
        <x:v>Lian Li</x:v>
      </x:c>
      <x:c r="E726" s="82" t="n">
        <x:v>162.17</x:v>
      </x:c>
      <x:c r="F726" s="34" t="str">
        <x:v>USD</x:v>
      </x:c>
      <x:c r="G726" s="34" t="str">
        <x:v>retail</x:v>
      </x:c>
      <x:c r="H726" s="34" t="str">
        <x:v>2026-06-29</x:v>
      </x:c>
      <x:c r="I726" s="34" t="str">
        <x:v>wattage=1000; efficiency=Platinum; formFactor=ATX; modular=true</x:v>
      </x:c>
      <x:c r="J726" s="34" t="str">
        <x:v>1000W, Platinum, ATX, modular, ca-retail, black</x:v>
      </x:c>
      <x:c r="K726" s="34" t="str">
        <x:v>1000W Platinum ATX power supply from CA retailer.</x:v>
      </x:c>
      <x:c r="L726" s="34" t="str">
        <x:v>https://www.newegg.ca/p/1HU-01PP-00024</x:v>
      </x:c>
      <x:c r="M726" s="35" t="str">
        <x:v>https://www.newegg.ca/p/1HU-01PP-00024</x:v>
      </x:c>
    </x:row>
    <x:row r="727">
      <x:c r="A727" s="33" t="str">
        <x:v>psu</x:v>
      </x:c>
      <x:c r="B727" s="34" t="str">
        <x:v>ca-newegg-psu-lian-li-rs-1000w-rotational-shift-fully-modular-atx-power-supply-w-o-u-1</x:v>
      </x:c>
      <x:c r="C727" s="34" t="str">
        <x:v>Lian Li RS 1000W Rotational Shift Fully Modular ATX Power Supply (W/o USB Fan Hub) 90° AC Inlet, Cybenetics Platinum, 80+ Gold, ATX 3.1, PCIe 5.1, 12V-2×6 Cable, 10 Year Warranty, White (RS1000G.W)</x:v>
      </x:c>
      <x:c r="D727" s="34" t="str">
        <x:v>Lian Li</x:v>
      </x:c>
      <x:c r="E727" s="82" t="n">
        <x:v>162.17</x:v>
      </x:c>
      <x:c r="F727" s="34" t="str">
        <x:v>USD</x:v>
      </x:c>
      <x:c r="G727" s="34" t="str">
        <x:v>retail</x:v>
      </x:c>
      <x:c r="H727" s="34" t="str">
        <x:v>2026-06-29</x:v>
      </x:c>
      <x:c r="I727" s="34" t="str">
        <x:v>wattage=1000; efficiency=Platinum; formFactor=ATX; modular=true</x:v>
      </x:c>
      <x:c r="J727" s="34" t="str">
        <x:v>1000W, Platinum, ATX, modular, ca-retail, white</x:v>
      </x:c>
      <x:c r="K727" s="34" t="str">
        <x:v>1000W Platinum ATX power supply from CA retailer.</x:v>
      </x:c>
      <x:c r="L727" s="34" t="str">
        <x:v>https://www.newegg.ca/p/1HU-01PP-00025</x:v>
      </x:c>
      <x:c r="M727" s="35" t="str">
        <x:v>https://www.newegg.ca/p/1HU-01PP-00025</x:v>
      </x:c>
    </x:row>
    <x:row r="728">
      <x:c r="A728" s="33" t="str">
        <x:v>psu</x:v>
      </x:c>
      <x:c r="B728" s="34" t="str">
        <x:v>ca-newegg-psu-lian-li-sp-platinum-1000w-sfx-form-factor-power-supply-with-12v-2x6-co</x:v>
      </x:c>
      <x:c r="C728" s="34" t="str">
        <x:v>Lian Li SP Platinum 1000W SFX Form Factor Power Supply with 12V-2x6 Connectors - ATX 3.1 &amp; PCIE 5.1 Compliant - Low-Noise - Fully Modular - 105°C Capacitors - 10 Year Warranty - White (SP1000P.W)</x:v>
      </x:c>
      <x:c r="D728" s="34" t="str">
        <x:v>Lian Li</x:v>
      </x:c>
      <x:c r="E728" s="82" t="n">
        <x:v>169.22</x:v>
      </x:c>
      <x:c r="F728" s="34" t="str">
        <x:v>USD</x:v>
      </x:c>
      <x:c r="G728" s="34" t="str">
        <x:v>retail</x:v>
      </x:c>
      <x:c r="H728" s="34" t="str">
        <x:v>2026-06-29</x:v>
      </x:c>
      <x:c r="I728" s="34" t="str">
        <x:v>wattage=1000; efficiency=Platinum; formFactor=SFX; modular=false</x:v>
      </x:c>
      <x:c r="J728" s="34" t="str">
        <x:v>1000W, Platinum, SFX, non-modular, ca-retail, white, airflow, quiet</x:v>
      </x:c>
      <x:c r="K728" s="34" t="str">
        <x:v>1000W Platinum SFX power supply from CA retailer.</x:v>
      </x:c>
      <x:c r="L728" s="34" t="str">
        <x:v>https://www.newegg.ca/p/1HU-01PP-00034</x:v>
      </x:c>
      <x:c r="M728" s="35" t="str">
        <x:v>https://www.newegg.ca/p/1HU-01PP-00034</x:v>
      </x:c>
    </x:row>
    <x:row r="729">
      <x:c r="A729" s="33" t="str">
        <x:v>psu</x:v>
      </x:c>
      <x:c r="B729" s="34" t="str">
        <x:v>ca-newegg-psu-lian-li-sp-platinum-850w-sfx-form-factor-power-supply-with-12v-2x6-con</x:v>
      </x:c>
      <x:c r="C729" s="34" t="str">
        <x:v>Lian Li SP Platinum 850W SFX Form Factor Power Supply with 12V-2x6 Connectors - ATX 3.1 &amp; PCIE 5.1 Compliant - Low-Noise - Fully Modular - 105°C Capacitors - 10 Year Warranty - Black (SP0850P.B)</x:v>
      </x:c>
      <x:c r="D729" s="34" t="str">
        <x:v>Lian Li</x:v>
      </x:c>
      <x:c r="E729" s="82" t="n">
        <x:v>136.07</x:v>
      </x:c>
      <x:c r="F729" s="34" t="str">
        <x:v>USD</x:v>
      </x:c>
      <x:c r="G729" s="34" t="str">
        <x:v>retail</x:v>
      </x:c>
      <x:c r="H729" s="34" t="str">
        <x:v>2026-06-29</x:v>
      </x:c>
      <x:c r="I729" s="34" t="str">
        <x:v>wattage=850; efficiency=Platinum; formFactor=SFX; modular=false</x:v>
      </x:c>
      <x:c r="J729" s="34" t="str">
        <x:v>850W, Platinum, SFX, non-modular, ca-retail, black, airflow, quiet</x:v>
      </x:c>
      <x:c r="K729" s="34" t="str">
        <x:v>850W Platinum SFX power supply from CA retailer.</x:v>
      </x:c>
      <x:c r="L729" s="34" t="str">
        <x:v>https://www.newegg.ca/p/1HU-01PP-00033</x:v>
      </x:c>
      <x:c r="M729" s="35" t="str">
        <x:v>https://www.newegg.ca/p/1HU-01PP-00033</x:v>
      </x:c>
    </x:row>
    <x:row r="730">
      <x:c r="A730" s="33" t="str">
        <x:v>psu</x:v>
      </x:c>
      <x:c r="B730" s="34" t="str">
        <x:v>ca-canadacomputers-psu-corsair-corsair-rm850e-850w-gold-atx-power-supply-black</x:v>
      </x:c>
      <x:c r="C730" s="34" t="str">
        <x:v>CORSAIR CORSAIR RM850e 850W Gold ATX Power Supply, Black</x:v>
      </x:c>
      <x:c r="D730" s="34" t="str">
        <x:v>CORSAIR</x:v>
      </x:c>
      <x:c r="E730" s="82" t="n">
        <x:v>91.66</x:v>
      </x:c>
      <x:c r="F730" s="34" t="str">
        <x:v>USD</x:v>
      </x:c>
      <x:c r="G730" s="34" t="str">
        <x:v>retail</x:v>
      </x:c>
      <x:c r="H730" s="34" t="str">
        <x:v>2026-06-29</x:v>
      </x:c>
      <x:c r="I730" s="34" t="str">
        <x:v>wattage=850; efficiency=Gold; formFactor=ATX; modular=true</x:v>
      </x:c>
      <x:c r="J730" s="34" t="str">
        <x:v>850W, Gold, ATX, modular, ca-retail, black</x:v>
      </x:c>
      <x:c r="K730" s="34" t="str">
        <x:v>850W Gold ATX power supply from CA retailer.</x:v>
      </x:c>
      <x:c r="L730" s="34" t="str">
        <x:v>https://www.canadacomputers.com/en/power-supplies/266815/corsair-corsair-rm850e-850w-gold-atx-power-supply-black-cp-9020296-na.html</x:v>
      </x:c>
      <x:c r="M730" s="35" t="str">
        <x:v>https://www.canadacomputers.com/en/power-supplies/266815/corsair-corsair-rm850e-850w-gold-atx-power-supply-black-cp-9020296-na.html</x:v>
      </x:c>
    </x:row>
    <x:row r="731">
      <x:c r="A731" s="33" t="str">
        <x:v>psu</x:v>
      </x:c>
      <x:c r="B731" s="34" t="str">
        <x:v>ca-canadacomputers-psu-superflower-850w-gold-atx-power-supply-black</x:v>
      </x:c>
      <x:c r="C731" s="34" t="str">
        <x:v>SUPERFLOWER 850W Gold ATX Power Supply, Black</x:v>
      </x:c>
      <x:c r="D731" s="34" t="str">
        <x:v>SUPERFLOWER</x:v>
      </x:c>
      <x:c r="E731" s="82" t="n">
        <x:v>105.76</x:v>
      </x:c>
      <x:c r="F731" s="34" t="str">
        <x:v>USD</x:v>
      </x:c>
      <x:c r="G731" s="34" t="str">
        <x:v>retail</x:v>
      </x:c>
      <x:c r="H731" s="34" t="str">
        <x:v>2026-06-29</x:v>
      </x:c>
      <x:c r="I731" s="34" t="str">
        <x:v>wattage=850; efficiency=Gold; formFactor=ATX; modular=true</x:v>
      </x:c>
      <x:c r="J731" s="34" t="str">
        <x:v>850W, Gold, ATX, modular, ca-retail, black</x:v>
      </x:c>
      <x:c r="K731" s="34" t="str">
        <x:v>850W Gold ATX power supply from CA retailer.</x:v>
      </x:c>
      <x:c r="L731" s="34" t="str">
        <x:v>https://www.canadacomputers.com/en/power-supplies/257977/superflower-850w-gold-atx-power-supply-black-sf-850f14ge.html</x:v>
      </x:c>
      <x:c r="M731" s="35" t="str">
        <x:v>https://www.canadacomputers.com/en/power-supplies/257977/superflower-850w-gold-atx-power-supply-black-sf-850f14ge.html</x:v>
      </x:c>
    </x:row>
    <x:row r="732">
      <x:c r="A732" s="33" t="str">
        <x:v>psu</x:v>
      </x:c>
      <x:c r="B732" s="34" t="str">
        <x:v>ca-canadacomputers-psu-be-quiet-dark-power-pro-13-1600w-80-titanium-power-supply-atx-3-1</x:v>
      </x:c>
      <x:c r="C732" s="34" t="str">
        <x:v>be quiet! Dark Power Pro 13 1600W 80+ Titanium Power Supply, ATX 3.1</x:v>
      </x:c>
      <x:c r="D732" s="34" t="str">
        <x:v>be quiet!</x:v>
      </x:c>
      <x:c r="E732" s="82" t="n">
        <x:v>521.77</x:v>
      </x:c>
      <x:c r="F732" s="34" t="str">
        <x:v>USD</x:v>
      </x:c>
      <x:c r="G732" s="34" t="str">
        <x:v>retail</x:v>
      </x:c>
      <x:c r="H732" s="34" t="str">
        <x:v>2026-06-29</x:v>
      </x:c>
      <x:c r="I732" s="34" t="str">
        <x:v>wattage=1600; efficiency=Titanium; formFactor=ATX; modular=true</x:v>
      </x:c>
      <x:c r="J732" s="34" t="str">
        <x:v>1600W, Titanium, ATX, modular, ca-retail, quiet</x:v>
      </x:c>
      <x:c r="K732" s="34" t="str">
        <x:v>1600W Titanium ATX power supply from CA retailer.</x:v>
      </x:c>
      <x:c r="L732" s="34" t="str">
        <x:v>https://www.canadacomputers.com/en/power-supplies/242299/be-quiet-dark-power-pro-13-1600w-80-titanium-power-supply-atx-3-1-bn501.html</x:v>
      </x:c>
      <x:c r="M732" s="35" t="str">
        <x:v>https://www.canadacomputers.com/en/power-supplies/242299/be-quiet-dark-power-pro-13-1600w-80-titanium-power-supply-atx-3-1-bn501.html</x:v>
      </x:c>
    </x:row>
    <x:row r="733">
      <x:c r="A733" s="33" t="str">
        <x:v>psu</x:v>
      </x:c>
      <x:c r="B733" s="34" t="str">
        <x:v>ca-canadacomputers-psu-be-quiet-dark-power-pro-13-1300w-80-titanium-power-supply</x:v>
      </x:c>
      <x:c r="C733" s="34" t="str">
        <x:v>be quiet! Dark Power Pro 13 1300W 80+ Titanium Power Supply</x:v>
      </x:c>
      <x:c r="D733" s="34" t="str">
        <x:v>be quiet!</x:v>
      </x:c>
      <x:c r="E733" s="82" t="n">
        <x:v>394.85</x:v>
      </x:c>
      <x:c r="F733" s="34" t="str">
        <x:v>USD</x:v>
      </x:c>
      <x:c r="G733" s="34" t="str">
        <x:v>retail</x:v>
      </x:c>
      <x:c r="H733" s="34" t="str">
        <x:v>2026-06-29</x:v>
      </x:c>
      <x:c r="I733" s="34" t="str">
        <x:v>wattage=1300; efficiency=Titanium; formFactor=ATX; modular=true</x:v>
      </x:c>
      <x:c r="J733" s="34" t="str">
        <x:v>1300W, Titanium, ATX, modular, ca-retail, quiet</x:v>
      </x:c>
      <x:c r="K733" s="34" t="str">
        <x:v>1300W Titanium ATX power supply from CA retailer.</x:v>
      </x:c>
      <x:c r="L733" s="34" t="str">
        <x:v>https://www.canadacomputers.com/en/power-supplies/242300/be-quiet-dark-power-pro-13-1300w-80-titanium-power-supply-bn500.html</x:v>
      </x:c>
      <x:c r="M733" s="35" t="str">
        <x:v>https://www.canadacomputers.com/en/power-supplies/242300/be-quiet-dark-power-pro-13-1300w-80-titanium-power-supply-bn500.html</x:v>
      </x:c>
    </x:row>
    <x:row r="734">
      <x:c r="A734" s="33" t="str">
        <x:v>psu</x:v>
      </x:c>
      <x:c r="B734" s="34" t="str">
        <x:v>ca-canadacomputers-psu-asus-rog-strix-1200w-platinum-platinum-atx-power-supply-black</x:v>
      </x:c>
      <x:c r="C734" s="34" t="str">
        <x:v>ASUS ROG STRIX 1200W Platinum  Platinum ATX Power Supply, Black</x:v>
      </x:c>
      <x:c r="D734" s="34" t="str">
        <x:v>ASUS</x:v>
      </x:c>
      <x:c r="E734" s="82" t="n">
        <x:v>239.73</x:v>
      </x:c>
      <x:c r="F734" s="34" t="str">
        <x:v>USD</x:v>
      </x:c>
      <x:c r="G734" s="34" t="str">
        <x:v>retail</x:v>
      </x:c>
      <x:c r="H734" s="34" t="str">
        <x:v>2026-06-29</x:v>
      </x:c>
      <x:c r="I734" s="34" t="str">
        <x:v>wattage=1200; efficiency=Platinum; formFactor=ATX; modular=true</x:v>
      </x:c>
      <x:c r="J734" s="34" t="str">
        <x:v>1200W, Platinum, ATX, modular, ca-retail, black</x:v>
      </x:c>
      <x:c r="K734" s="34" t="str">
        <x:v>1200W Platinum ATX power supply from CA retailer.</x:v>
      </x:c>
      <x:c r="L734" s="34" t="str">
        <x:v>https://www.canadacomputers.com/en/power-supplies/268226/asus-rog-strix-1200w-platinum-platinum-atx-power-supply-black-rog-strix-1200p-gaming.html</x:v>
      </x:c>
      <x:c r="M734" s="35" t="str">
        <x:v>https://www.canadacomputers.com/en/power-supplies/268226/asus-rog-strix-1200w-platinum-platinum-atx-power-supply-black-rog-strix-1200p-gaming.html</x:v>
      </x:c>
    </x:row>
    <x:row r="735">
      <x:c r="A735" s="33" t="str">
        <x:v>psu</x:v>
      </x:c>
      <x:c r="B735" s="34" t="str">
        <x:v>ca-canadacomputers-psu-super-flower-leadex-vii-xp-1200w-atx-3-1-platinum-power-supply-black</x:v>
      </x:c>
      <x:c r="C735" s="34" t="str">
        <x:v>Super Flower Leadex VII XP 1200W ATX 3.1 Platinum Power Supply, Black</x:v>
      </x:c>
      <x:c r="D735" s="34" t="str">
        <x:v>SUPERFLOWER</x:v>
      </x:c>
      <x:c r="E735" s="82" t="n">
        <x:v>211.53</x:v>
      </x:c>
      <x:c r="F735" s="34" t="str">
        <x:v>USD</x:v>
      </x:c>
      <x:c r="G735" s="34" t="str">
        <x:v>retail</x:v>
      </x:c>
      <x:c r="H735" s="34" t="str">
        <x:v>2026-06-29</x:v>
      </x:c>
      <x:c r="I735" s="34" t="str">
        <x:v>wattage=1200; efficiency=Platinum; formFactor=ATX; modular=true</x:v>
      </x:c>
      <x:c r="J735" s="34" t="str">
        <x:v>1200W, Platinum, ATX, modular, ca-retail, black</x:v>
      </x:c>
      <x:c r="K735" s="34" t="str">
        <x:v>1200W Platinum ATX power supply from CA retailer.</x:v>
      </x:c>
      <x:c r="L735" s="34" t="str">
        <x:v>https://www.canadacomputers.com/en/power-supplies/257981/super-flower-leadex-vii-xp-1200w-atx-3-1-platinum-power-supply-black-sf-1200f14xp.html</x:v>
      </x:c>
      <x:c r="M735" s="35" t="str">
        <x:v>https://www.canadacomputers.com/en/power-supplies/257981/super-flower-leadex-vii-xp-1200w-atx-3-1-platinum-power-supply-black-sf-1200f14xp.html</x:v>
      </x:c>
    </x:row>
    <x:row r="736">
      <x:c r="A736" s="33" t="str">
        <x:v>psu</x:v>
      </x:c>
      <x:c r="B736" s="34" t="str">
        <x:v>ca-canadacomputers-psu-corsair-corsair-sf1000-1000w-platinum-atx-power-supply-black</x:v>
      </x:c>
      <x:c r="C736" s="34" t="str">
        <x:v>CORSAIR CORSAIR SF1000 1000W Platinum ATX Power Supply, Black</x:v>
      </x:c>
      <x:c r="D736" s="34" t="str">
        <x:v>CORSAIR</x:v>
      </x:c>
      <x:c r="E736" s="82" t="n">
        <x:v>186.85</x:v>
      </x:c>
      <x:c r="F736" s="34" t="str">
        <x:v>USD</x:v>
      </x:c>
      <x:c r="G736" s="34" t="str">
        <x:v>retail</x:v>
      </x:c>
      <x:c r="H736" s="34" t="str">
        <x:v>2026-06-29</x:v>
      </x:c>
      <x:c r="I736" s="34" t="str">
        <x:v>wattage=1000; efficiency=Platinum; formFactor=ATX; modular=true</x:v>
      </x:c>
      <x:c r="J736" s="34" t="str">
        <x:v>1000W, Platinum, ATX, modular, ca-retail, black</x:v>
      </x:c>
      <x:c r="K736" s="34" t="str">
        <x:v>1000W Platinum ATX power supply from CA retailer.</x:v>
      </x:c>
      <x:c r="L736" s="34" t="str">
        <x:v>https://www.canadacomputers.com/en/power-supplies/262853/corsair-corsair-sf1000-1000w-platinum-atx-power-supply-black-cp-9020257-na.html</x:v>
      </x:c>
      <x:c r="M736" s="35" t="str">
        <x:v>https://www.canadacomputers.com/en/power-supplies/262853/corsair-corsair-sf1000-1000w-platinum-atx-power-supply-black-cp-9020257-na.html</x:v>
      </x:c>
    </x:row>
    <x:row r="737">
      <x:c r="A737" s="33" t="str">
        <x:v>psu</x:v>
      </x:c>
      <x:c r="B737" s="34" t="str">
        <x:v>ca-canadacomputers-psu-super-flower-leadex-vii-xp-1200w-atx-3-1-platinum-power-supply-white</x:v>
      </x:c>
      <x:c r="C737" s="34" t="str">
        <x:v>Super Flower Leadex VII XP 1200W ATX 3.1 Platinum Power Supply, White</x:v>
      </x:c>
      <x:c r="D737" s="34" t="str">
        <x:v>SUPERFLOWER</x:v>
      </x:c>
      <x:c r="E737" s="82" t="n">
        <x:v>204.47</x:v>
      </x:c>
      <x:c r="F737" s="34" t="str">
        <x:v>USD</x:v>
      </x:c>
      <x:c r="G737" s="34" t="str">
        <x:v>retail</x:v>
      </x:c>
      <x:c r="H737" s="34" t="str">
        <x:v>2026-06-29</x:v>
      </x:c>
      <x:c r="I737" s="34" t="str">
        <x:v>wattage=1200; efficiency=Platinum; formFactor=ATX; modular=true</x:v>
      </x:c>
      <x:c r="J737" s="34" t="str">
        <x:v>1200W, Platinum, ATX, modular, ca-retail, white</x:v>
      </x:c>
      <x:c r="K737" s="34" t="str">
        <x:v>1200W Platinum ATX power supply from CA retailer.</x:v>
      </x:c>
      <x:c r="L737" s="34" t="str">
        <x:v>https://www.canadacomputers.com/en/power-supplies/264783/super-flower-leadex-vii-xp-1200w-atx-3-1-platinum-power-supply-white-sf-1200f14xpwh.html</x:v>
      </x:c>
      <x:c r="M737" s="35" t="str">
        <x:v>https://www.canadacomputers.com/en/power-supplies/264783/super-flower-leadex-vii-xp-1200w-atx-3-1-platinum-power-supply-white-sf-1200f14xpwh.html</x:v>
      </x:c>
    </x:row>
    <x:row r="738">
      <x:c r="A738" s="33" t="str">
        <x:v>psu</x:v>
      </x:c>
      <x:c r="B738" s="34" t="str">
        <x:v>ca-canadacomputers-psu-thermaltake-toughpower-gf-a3-850w-atx-3-0-amp-pcie-5-power-supply-whit</x:v>
      </x:c>
      <x:c r="C738" s="34" t="str">
        <x:v>THERMALTAKE Toughpower GF A3 850W ATX 3.0 &amp;amp; PCIe 5 Power Supply, Whit</x:v>
      </x:c>
      <x:c r="D738" s="34" t="str">
        <x:v>THERMALTAKE</x:v>
      </x:c>
      <x:c r="E738" s="82" t="n">
        <x:v>126.91</x:v>
      </x:c>
      <x:c r="F738" s="34" t="str">
        <x:v>USD</x:v>
      </x:c>
      <x:c r="G738" s="34" t="str">
        <x:v>retail</x:v>
      </x:c>
      <x:c r="H738" s="34" t="str">
        <x:v>2026-06-29</x:v>
      </x:c>
      <x:c r="I738" s="34" t="str">
        <x:v>wattage=850; efficiency=Bronze; formFactor=ATX; modular=true</x:v>
      </x:c>
      <x:c r="J738" s="34" t="str">
        <x:v>850W, Bronze, ATX, modular, ca-retail</x:v>
      </x:c>
      <x:c r="K738" s="34" t="str">
        <x:v>850W Bronze ATX power supply from CA retailer.</x:v>
      </x:c>
      <x:c r="L738" s="34" t="str">
        <x:v>https://www.canadacomputers.com/en/power-supplies/248846/thermaltake-toughpower-gf-a3-850w-atx-3-0-pcie-5-power-supply-whit-ps-tpd-0850fnfagu-n.html</x:v>
      </x:c>
      <x:c r="M738" s="35" t="str">
        <x:v>https://www.canadacomputers.com/en/power-supplies/248846/thermaltake-toughpower-gf-a3-850w-atx-3-0-pcie-5-power-supply-whit-ps-tpd-0850fnfagu-n.html</x:v>
      </x:c>
    </x:row>
    <x:row r="739">
      <x:c r="A739" s="33" t="str">
        <x:v>psu</x:v>
      </x:c>
      <x:c r="B739" s="34" t="str">
        <x:v>ca-canadacomputers-psu-asus-rog-strix-1000w-platinum-full-modular-atx-psu-white</x:v>
      </x:c>
      <x:c r="C739" s="34" t="str">
        <x:v>ASUS ROG-STRIX 1000W Platinum Full Modular ATX PSU -White</x:v>
      </x:c>
      <x:c r="D739" s="34" t="str">
        <x:v>ASUS</x:v>
      </x:c>
      <x:c r="E739" s="82" t="n">
        <x:v>197.42</x:v>
      </x:c>
      <x:c r="F739" s="34" t="str">
        <x:v>USD</x:v>
      </x:c>
      <x:c r="G739" s="34" t="str">
        <x:v>retail</x:v>
      </x:c>
      <x:c r="H739" s="34" t="str">
        <x:v>2026-06-29</x:v>
      </x:c>
      <x:c r="I739" s="34" t="str">
        <x:v>wattage=1000; efficiency=Platinum; formFactor=ATX; modular=true</x:v>
      </x:c>
      <x:c r="J739" s="34" t="str">
        <x:v>1000W, Platinum, ATX, modular, ca-retail, white</x:v>
      </x:c>
      <x:c r="K739" s="34" t="str">
        <x:v>1000W Platinum ATX power supply from CA retailer.</x:v>
      </x:c>
      <x:c r="L739" s="34" t="str">
        <x:v>https://www.canadacomputers.com/en/power-supplies/275700/asus-rog-strix-1000w-platinum-full-modular-atx-psu-white-rog-strix-1000p-gaming-white.html</x:v>
      </x:c>
      <x:c r="M739" s="35" t="str">
        <x:v>https://www.canadacomputers.com/en/power-supplies/275700/asus-rog-strix-1000w-platinum-full-modular-atx-psu-white-rog-strix-1000p-gaming-white.html</x:v>
      </x:c>
    </x:row>
    <x:row r="740">
      <x:c r="A740" s="33" t="str">
        <x:v>psu</x:v>
      </x:c>
      <x:c r="B740" s="34" t="str">
        <x:v>ca-canadacomputers-psu-fsp-hydro-ptm-pro-1350w-power-supply-80-plus-platinum-full-modular</x:v>
      </x:c>
      <x:c r="C740" s="34" t="str">
        <x:v>FSP Hydro PTM Pro 1350W Power Supply, 80 Plus Platinum, Full Modular</x:v>
      </x:c>
      <x:c r="D740" s="34" t="str">
        <x:v>FSP</x:v>
      </x:c>
      <x:c r="E740" s="82" t="n">
        <x:v>232.68</x:v>
      </x:c>
      <x:c r="F740" s="34" t="str">
        <x:v>USD</x:v>
      </x:c>
      <x:c r="G740" s="34" t="str">
        <x:v>retail</x:v>
      </x:c>
      <x:c r="H740" s="34" t="str">
        <x:v>2026-06-29</x:v>
      </x:c>
      <x:c r="I740" s="34" t="str">
        <x:v>wattage=1350; efficiency=Platinum; formFactor=ATX; modular=true</x:v>
      </x:c>
      <x:c r="J740" s="34" t="str">
        <x:v>1350W, Platinum, ATX, modular, ca-retail</x:v>
      </x:c>
      <x:c r="K740" s="34" t="str">
        <x:v>1350W Platinum ATX power supply from CA retailer.</x:v>
      </x:c>
      <x:c r="L740" s="34" t="str">
        <x:v>https://www.canadacomputers.com/en/power-supplies/246758/fsp-hydro-ptm-pro-1350w-power-supply-80-plus-platinum-full-modular-hpt2-1350m.html</x:v>
      </x:c>
      <x:c r="M740" s="35" t="str">
        <x:v>https://www.canadacomputers.com/en/power-supplies/246758/fsp-hydro-ptm-pro-1350w-power-supply-80-plus-platinum-full-modular-hpt2-1350m.html</x:v>
      </x:c>
    </x:row>
    <x:row r="741">
      <x:c r="A741" s="33" t="str">
        <x:v>case</x:v>
      </x:c>
      <x:c r="B741" s="34" t="str">
        <x:v>case-north</x:v>
      </x:c>
      <x:c r="C741" s="34" t="str">
        <x:v>Fractal North</x:v>
      </x:c>
      <x:c r="D741" s="34" t="str">
        <x:v>Fractal</x:v>
      </x:c>
      <x:c r="E741" s="82" t="n">
        <x:v>139</x:v>
      </x:c>
      <x:c r="F741" s="34" t="str">
        <x:v>USD</x:v>
      </x:c>
      <x:c r="G741" s="34" t="str">
        <x:v>reference</x:v>
      </x:c>
      <x:c r="H741" s="34" t="str">
        <x:v>baseline seed</x:v>
      </x:c>
      <x:c r="I741" s="34" t="str">
        <x:v>supportedMotherboardFormFactors=ATX/Micro-ATX/Mini-ITX; maxGpuLengthMm=355; maxCoolerHeightMm=170; psuFormFactors=ATX/SFX</x:v>
      </x:c>
      <x:c r="J741" s="34" t="str">
        <x:v>ATX, Micro-ATX, Mini-ITX, airflow</x:v>
      </x:c>
      <x:c r="K741" s="34" t="str">
        <x:v>Enclosure with 355mm GPU and 170mm air-cooler clearance.</x:v>
      </x:c>
      <x:c r="L741" s="34" t="str"/>
      <x:c r="M741" s="35" t="str"/>
    </x:row>
    <x:row r="742">
      <x:c r="A742" s="33" t="str">
        <x:v>case</x:v>
      </x:c>
      <x:c r="B742" s="34" t="str">
        <x:v>case-4000d</x:v>
      </x:c>
      <x:c r="C742" s="34" t="str">
        <x:v>Corsair 4000D Airflow</x:v>
      </x:c>
      <x:c r="D742" s="34" t="str">
        <x:v>Corsair</x:v>
      </x:c>
      <x:c r="E742" s="82" t="n">
        <x:v>104</x:v>
      </x:c>
      <x:c r="F742" s="34" t="str">
        <x:v>USD</x:v>
      </x:c>
      <x:c r="G742" s="34" t="str">
        <x:v>reference</x:v>
      </x:c>
      <x:c r="H742" s="34" t="str">
        <x:v>baseline seed</x:v>
      </x:c>
      <x:c r="I742" s="34" t="str">
        <x:v>supportedMotherboardFormFactors=ATX/Micro-ATX/Mini-ITX; maxGpuLengthMm=360; maxCoolerHeightMm=170; psuFormFactors=ATX/SFX</x:v>
      </x:c>
      <x:c r="J742" s="34" t="str">
        <x:v>ATX, Micro-ATX, Mini-ITX, airflow</x:v>
      </x:c>
      <x:c r="K742" s="34" t="str">
        <x:v>Enclosure with 360mm GPU and 170mm air-cooler clearance.</x:v>
      </x:c>
      <x:c r="L742" s="34" t="str"/>
      <x:c r="M742" s="35" t="str"/>
    </x:row>
    <x:row r="743">
      <x:c r="A743" s="33" t="str">
        <x:v>case</x:v>
      </x:c>
      <x:c r="B743" s="34" t="str">
        <x:v>case-h5</x:v>
      </x:c>
      <x:c r="C743" s="34" t="str">
        <x:v>NZXT H5 Flow</x:v>
      </x:c>
      <x:c r="D743" s="34" t="str">
        <x:v>NZXT</x:v>
      </x:c>
      <x:c r="E743" s="82" t="n">
        <x:v>94</x:v>
      </x:c>
      <x:c r="F743" s="34" t="str">
        <x:v>USD</x:v>
      </x:c>
      <x:c r="G743" s="34" t="str">
        <x:v>reference</x:v>
      </x:c>
      <x:c r="H743" s="34" t="str">
        <x:v>baseline seed</x:v>
      </x:c>
      <x:c r="I743" s="34" t="str">
        <x:v>supportedMotherboardFormFactors=ATX/Micro-ATX/Mini-ITX; maxGpuLengthMm=365; maxCoolerHeightMm=165; psuFormFactors=ATX/SFX</x:v>
      </x:c>
      <x:c r="J743" s="34" t="str">
        <x:v>ATX, Micro-ATX, Mini-ITX, airflow</x:v>
      </x:c>
      <x:c r="K743" s="34" t="str">
        <x:v>Enclosure with 365mm GPU and 165mm air-cooler clearance.</x:v>
      </x:c>
      <x:c r="L743" s="34" t="str"/>
      <x:c r="M743" s="35" t="str"/>
    </x:row>
    <x:row r="744">
      <x:c r="A744" s="33" t="str">
        <x:v>case</x:v>
      </x:c>
      <x:c r="B744" s="34" t="str">
        <x:v>case-o11</x:v>
      </x:c>
      <x:c r="C744" s="34" t="str">
        <x:v>Lian Li O11 Dynamic EVO</x:v>
      </x:c>
      <x:c r="D744" s="34" t="str">
        <x:v>Lian Li</x:v>
      </x:c>
      <x:c r="E744" s="82" t="n">
        <x:v>169</x:v>
      </x:c>
      <x:c r="F744" s="34" t="str">
        <x:v>USD</x:v>
      </x:c>
      <x:c r="G744" s="34" t="str">
        <x:v>reference</x:v>
      </x:c>
      <x:c r="H744" s="34" t="str">
        <x:v>baseline seed</x:v>
      </x:c>
      <x:c r="I744" s="34" t="str">
        <x:v>supportedMotherboardFormFactors=ATX/Micro-ATX/Mini-ITX; maxGpuLengthMm=426; maxCoolerHeightMm=167; psuFormFactors=ATX/SFX</x:v>
      </x:c>
      <x:c r="J744" s="34" t="str">
        <x:v>ATX, Micro-ATX, Mini-ITX, airflow, panoramic</x:v>
      </x:c>
      <x:c r="K744" s="34" t="str">
        <x:v>Enclosure with 426mm GPU and 167mm air-cooler clearance.</x:v>
      </x:c>
      <x:c r="L744" s="34" t="str"/>
      <x:c r="M744" s="35" t="str"/>
    </x:row>
    <x:row r="745">
      <x:c r="A745" s="33" t="str">
        <x:v>case</x:v>
      </x:c>
      <x:c r="B745" s="34" t="str">
        <x:v>case-h6-rgb-white</x:v>
      </x:c>
      <x:c r="C745" s="34" t="str">
        <x:v>NZXT H6 Flow RGB White</x:v>
      </x:c>
      <x:c r="D745" s="34" t="str">
        <x:v>NZXT</x:v>
      </x:c>
      <x:c r="E745" s="82" t="n">
        <x:v>134</x:v>
      </x:c>
      <x:c r="F745" s="34" t="str">
        <x:v>USD</x:v>
      </x:c>
      <x:c r="G745" s="34" t="str">
        <x:v>reference</x:v>
      </x:c>
      <x:c r="H745" s="34" t="str">
        <x:v>baseline seed</x:v>
      </x:c>
      <x:c r="I745" s="34" t="str">
        <x:v>supportedMotherboardFormFactors=ATX/Micro-ATX/Mini-ITX; maxGpuLengthMm=365; maxCoolerHeightMm=163; psuFormFactors=ATX/SFX</x:v>
      </x:c>
      <x:c r="J745" s="34" t="str">
        <x:v>ATX, Micro-ATX, Mini-ITX, airflow, white, rgb, panoramic</x:v>
      </x:c>
      <x:c r="K745" s="34" t="str">
        <x:v>Enclosure with 365mm GPU and 163mm air-cooler clearance.</x:v>
      </x:c>
      <x:c r="L745" s="34" t="str"/>
      <x:c r="M745" s="35" t="str"/>
    </x:row>
    <x:row r="746">
      <x:c r="A746" s="33" t="str">
        <x:v>case</x:v>
      </x:c>
      <x:c r="B746" s="34" t="str">
        <x:v>case-nr200</x:v>
      </x:c>
      <x:c r="C746" s="34" t="str">
        <x:v>Cooler Master NR200P</x:v>
      </x:c>
      <x:c r="D746" s="34" t="str">
        <x:v>Cooler Master</x:v>
      </x:c>
      <x:c r="E746" s="82" t="n">
        <x:v>109</x:v>
      </x:c>
      <x:c r="F746" s="34" t="str">
        <x:v>USD</x:v>
      </x:c>
      <x:c r="G746" s="34" t="str">
        <x:v>reference</x:v>
      </x:c>
      <x:c r="H746" s="34" t="str">
        <x:v>baseline seed</x:v>
      </x:c>
      <x:c r="I746" s="34" t="str">
        <x:v>supportedMotherboardFormFactors=Mini-ITX; maxGpuLengthMm=330; maxCoolerHeightMm=155; psuFormFactors=SFX</x:v>
      </x:c>
      <x:c r="J746" s="34" t="str">
        <x:v>Mini-ITX, airflow</x:v>
      </x:c>
      <x:c r="K746" s="34" t="str">
        <x:v>Enclosure with 330mm GPU and 155mm air-cooler clearance.</x:v>
      </x:c>
      <x:c r="L746" s="34" t="str"/>
      <x:c r="M746" s="35" t="str"/>
    </x:row>
    <x:row r="747">
      <x:c r="A747" s="33" t="str">
        <x:v>case</x:v>
      </x:c>
      <x:c r="B747" s="34" t="str">
        <x:v>case-h9-rgb-white</x:v>
      </x:c>
      <x:c r="C747" s="34" t="str">
        <x:v>NZXT H9 Flow RGB White</x:v>
      </x:c>
      <x:c r="D747" s="34" t="str">
        <x:v>NZXT</x:v>
      </x:c>
      <x:c r="E747" s="82" t="n">
        <x:v>169</x:v>
      </x:c>
      <x:c r="F747" s="34" t="str">
        <x:v>USD</x:v>
      </x:c>
      <x:c r="G747" s="34" t="str">
        <x:v>retail</x:v>
      </x:c>
      <x:c r="H747" s="34" t="str">
        <x:v>2026-06-28</x:v>
      </x:c>
      <x:c r="I747" s="34" t="str">
        <x:v>supportedMotherboardFormFactors=ATX/Micro-ATX/Mini-ITX; maxGpuLengthMm=435; maxCoolerHeightMm=185; psuFormFactors=ATX/SFX</x:v>
      </x:c>
      <x:c r="J747" s="34" t="str">
        <x:v>ATX, Micro-ATX, Mini-ITX, airflow, white, rgb, panoramic, dual-chamber</x:v>
      </x:c>
      <x:c r="K747" s="34" t="str">
        <x:v>Enclosure with 435mm GPU and 185mm air-cooler clearance.</x:v>
      </x:c>
      <x:c r="L747" s="34" t="str">
        <x:v>https://nzxt.com/products/h9-flow-rgb?variant=40595201032264</x:v>
      </x:c>
      <x:c r="M747" s="35" t="str">
        <x:v>https://nzxt.com/products/h9-flow-rgb?variant=40595201032264</x:v>
      </x:c>
    </x:row>
    <x:row r="748">
      <x:c r="A748" s="33" t="str">
        <x:v>case</x:v>
      </x:c>
      <x:c r="B748" s="34" t="str">
        <x:v>case-north-xl</x:v>
      </x:c>
      <x:c r="C748" s="34" t="str">
        <x:v>Fractal Design North XL</x:v>
      </x:c>
      <x:c r="D748" s="34" t="str">
        <x:v>Fractal</x:v>
      </x:c>
      <x:c r="E748" s="82" t="n">
        <x:v>179</x:v>
      </x:c>
      <x:c r="F748" s="34" t="str">
        <x:v>USD</x:v>
      </x:c>
      <x:c r="G748" s="34" t="str">
        <x:v>reference</x:v>
      </x:c>
      <x:c r="H748" s="34" t="str">
        <x:v>2026-06-28</x:v>
      </x:c>
      <x:c r="I748" s="34" t="str">
        <x:v>supportedMotherboardFormFactors=ATX/Micro-ATX/Mini-ITX; maxGpuLengthMm=413; maxCoolerHeightMm=185; psuFormFactors=ATX/SFX</x:v>
      </x:c>
      <x:c r="J748" s="34" t="str">
        <x:v>ATX, Micro-ATX, Mini-ITX, airflow, quiet, workstation, wood</x:v>
      </x:c>
      <x:c r="K748" s="34" t="str">
        <x:v>Enclosure with 413mm GPU and 185mm air-cooler clearance.</x:v>
      </x:c>
      <x:c r="L748" s="34" t="str">
        <x:v>https://www.fractal-design.com/products/cases/north/north-xl/</x:v>
      </x:c>
      <x:c r="M748" s="35" t="str">
        <x:v>https://www.fractal-design.com/products/cases/north/north-xl/</x:v>
      </x:c>
    </x:row>
    <x:row r="749">
      <x:c r="A749" s="33" t="str">
        <x:v>case</x:v>
      </x:c>
      <x:c r="B749" s="34" t="str">
        <x:v>case-o11-evo-rgb-white</x:v>
      </x:c>
      <x:c r="C749" s="34" t="str">
        <x:v>Lian Li O11D EVO RGB White</x:v>
      </x:c>
      <x:c r="D749" s="34" t="str">
        <x:v>Lian Li</x:v>
      </x:c>
      <x:c r="E749" s="82" t="n">
        <x:v>179</x:v>
      </x:c>
      <x:c r="F749" s="34" t="str">
        <x:v>USD</x:v>
      </x:c>
      <x:c r="G749" s="34" t="str">
        <x:v>reference</x:v>
      </x:c>
      <x:c r="H749" s="34" t="str">
        <x:v>2026-06-28</x:v>
      </x:c>
      <x:c r="I749" s="34" t="str">
        <x:v>supportedMotherboardFormFactors=ATX/Micro-ATX/Mini-ITX; maxGpuLengthMm=455; maxCoolerHeightMm=167; psuFormFactors=ATX/SFX</x:v>
      </x:c>
      <x:c r="J749" s="34" t="str">
        <x:v>ATX, Micro-ATX, Mini-ITX, airflow, white, rgb, panoramic, dual-chamber</x:v>
      </x:c>
      <x:c r="K749" s="34" t="str">
        <x:v>Enclosure with 455mm GPU and 167mm air-cooler clearance.</x:v>
      </x:c>
      <x:c r="L749" s="34" t="str">
        <x:v>https://lian-li.com/product/o11d-evo-rgb/</x:v>
      </x:c>
      <x:c r="M749" s="35" t="str">
        <x:v>https://lian-li.com/product/o11d-evo-rgb/</x:v>
      </x:c>
    </x:row>
    <x:row r="750">
      <x:c r="A750" s="33" t="str">
        <x:v>case</x:v>
      </x:c>
      <x:c r="B750" s="34" t="str">
        <x:v>case-terra</x:v>
      </x:c>
      <x:c r="C750" s="34" t="str">
        <x:v>Fractal Design Terra</x:v>
      </x:c>
      <x:c r="D750" s="34" t="str">
        <x:v>Fractal</x:v>
      </x:c>
      <x:c r="E750" s="82" t="n">
        <x:v>179</x:v>
      </x:c>
      <x:c r="F750" s="34" t="str">
        <x:v>USD</x:v>
      </x:c>
      <x:c r="G750" s="34" t="str">
        <x:v>reference</x:v>
      </x:c>
      <x:c r="H750" s="34" t="str">
        <x:v>2026-06-28</x:v>
      </x:c>
      <x:c r="I750" s="34" t="str">
        <x:v>supportedMotherboardFormFactors=Mini-ITX; maxGpuLengthMm=322; maxCoolerHeightMm=77; psuFormFactors=SFX</x:v>
      </x:c>
      <x:c r="J750" s="34" t="str">
        <x:v>Mini-ITX, airflow, sff, compact, wood</x:v>
      </x:c>
      <x:c r="K750" s="34" t="str">
        <x:v>Enclosure with 322mm GPU and 77mm air-cooler clearance.</x:v>
      </x:c>
      <x:c r="L750" s="34" t="str">
        <x:v>https://www.fractal-design.com/products/cases/terra/terra/</x:v>
      </x:c>
      <x:c r="M750" s="35" t="str">
        <x:v>https://www.fractal-design.com/products/cases/terra/terra/</x:v>
      </x:c>
    </x:row>
    <x:row r="751">
      <x:c r="A751" s="33" t="str">
        <x:v>case</x:v>
      </x:c>
      <x:c r="B751" s="34" t="str">
        <x:v>case-3500x-white</x:v>
      </x:c>
      <x:c r="C751" s="34" t="str">
        <x:v>Corsair 3500X ARGB White</x:v>
      </x:c>
      <x:c r="D751" s="34" t="str">
        <x:v>Corsair</x:v>
      </x:c>
      <x:c r="E751" s="82" t="n">
        <x:v>109</x:v>
      </x:c>
      <x:c r="F751" s="34" t="str">
        <x:v>USD</x:v>
      </x:c>
      <x:c r="G751" s="34" t="str">
        <x:v>reference</x:v>
      </x:c>
      <x:c r="H751" s="34" t="str">
        <x:v>2026-06-28</x:v>
      </x:c>
      <x:c r="I751" s="34" t="str">
        <x:v>supportedMotherboardFormFactors=ATX/Micro-ATX/Mini-ITX; maxGpuLengthMm=410; maxCoolerHeightMm=170; psuFormFactors=ATX/SFX</x:v>
      </x:c>
      <x:c r="J751" s="34" t="str">
        <x:v>ATX, Micro-ATX, Mini-ITX, airflow, white, rgb, panoramic</x:v>
      </x:c>
      <x:c r="K751" s="34" t="str">
        <x:v>Enclosure with 410mm GPU and 170mm air-cooler clearance.</x:v>
      </x:c>
      <x:c r="L751" s="34" t="str">
        <x:v>https://www.corsair.com/us/en/p/pc-cases/cc-9011279-ww/3500x-argb-mid-tower-pc-case-white-cc-9011279-ww</x:v>
      </x:c>
      <x:c r="M751" s="35" t="str">
        <x:v>https://www.corsair.com/us/en/p/pc-cases/cc-9011279-ww/3500x-argb-mid-tower-pc-case-white-cc-9011279-ww</x:v>
      </x:c>
    </x:row>
    <x:row r="752">
      <x:c r="A752" s="33" t="str">
        <x:v>case</x:v>
      </x:c>
      <x:c r="B752" s="34" t="str">
        <x:v>hf-case-124307</x:v>
      </x:c>
      <x:c r="C752" s="34" t="str">
        <x:v>Fractal Design Meshify C</x:v>
      </x:c>
      <x:c r="D752" s="34" t="str">
        <x:v>Fractal Design</x:v>
      </x:c>
      <x:c r="E752" s="82" t="n">
        <x:v>114.92</x:v>
      </x:c>
      <x:c r="F752" s="34" t="str">
        <x:v>USD</x:v>
      </x:c>
      <x:c r="G752" s="34" t="str">
        <x:v>reference</x:v>
      </x:c>
      <x:c r="H752" s="34" t="str">
        <x:v>2026-06-28</x:v>
      </x:c>
      <x:c r="I752" s="34" t="str">
        <x:v>supportedMotherboardFormFactors=ATX/Micro-ATX/Mini-ITX; maxGpuLengthMm=380; maxCoolerHeightMm=170; psuFormFactors=ATX/SFX</x:v>
      </x:c>
      <x:c r="J752" s="34" t="str">
        <x:v>ATX, Micro-ATX, Mini-ITX, dataset</x:v>
      </x:c>
      <x:c r="K752" s="34" t="str">
        <x:v>ATX enclosure with source-linked or conservative clearance data.</x:v>
      </x:c>
      <x:c r="L752" s="34" t="str">
        <x:v>https://fr.pcpartpicker.com/product/Y6Crxr/fractal-design-meshify-c-atx-mid-tower-case-fd-ca-mesh-c-bko-tg</x:v>
      </x:c>
      <x:c r="M752" s="35" t="str">
        <x:v>https://fr.pcpartpicker.com/product/Y6Crxr/fractal-design-meshify-c-atx-mid-tower-case-fd-ca-mesh-c-bko-tg</x:v>
      </x:c>
    </x:row>
    <x:row r="753">
      <x:c r="A753" s="33" t="str">
        <x:v>case</x:v>
      </x:c>
      <x:c r="B753" s="34" t="str">
        <x:v>hf-case-165140</x:v>
      </x:c>
      <x:c r="C753" s="34" t="str">
        <x:v>Cooler Master MasterBox Q300L</x:v>
      </x:c>
      <x:c r="D753" s="34" t="str">
        <x:v>Cooler Master</x:v>
      </x:c>
      <x:c r="E753" s="82" t="n">
        <x:v>56.99</x:v>
      </x:c>
      <x:c r="F753" s="34" t="str">
        <x:v>USD</x:v>
      </x:c>
      <x:c r="G753" s="34" t="str">
        <x:v>reference</x:v>
      </x:c>
      <x:c r="H753" s="34" t="str">
        <x:v>2026-06-28</x:v>
      </x:c>
      <x:c r="I753" s="34" t="str">
        <x:v>supportedMotherboardFormFactors=ATX/Micro-ATX/Mini-ITX; maxGpuLengthMm=380; maxCoolerHeightMm=170; psuFormFactors=ATX/SFX</x:v>
      </x:c>
      <x:c r="J753" s="34" t="str">
        <x:v>ATX, Micro-ATX, Mini-ITX, dataset</x:v>
      </x:c>
      <x:c r="K753" s="34" t="str">
        <x:v>ATX enclosure with source-linked or conservative clearance data.</x:v>
      </x:c>
      <x:c r="L753" s="34" t="str">
        <x:v>https://fr.pcpartpicker.com/product/rnGxFT/cooler-master-masterbox-q300l-microatx-mini-tower-case-mcb-q300l-kann-s00</x:v>
      </x:c>
      <x:c r="M753" s="35" t="str">
        <x:v>https://fr.pcpartpicker.com/product/rnGxFT/cooler-master-masterbox-q300l-microatx-mini-tower-case-mcb-q300l-kann-s00</x:v>
      </x:c>
    </x:row>
    <x:row r="754">
      <x:c r="A754" s="33" t="str">
        <x:v>case</x:v>
      </x:c>
      <x:c r="B754" s="34" t="str">
        <x:v>hf-case-19401</x:v>
      </x:c>
      <x:c r="C754" s="34" t="str">
        <x:v>Cooler Master N200</x:v>
      </x:c>
      <x:c r="D754" s="34" t="str">
        <x:v>Cooler Master</x:v>
      </x:c>
      <x:c r="E754" s="82" t="n">
        <x:v>58.13</x:v>
      </x:c>
      <x:c r="F754" s="34" t="str">
        <x:v>USD</x:v>
      </x:c>
      <x:c r="G754" s="34" t="str">
        <x:v>reference</x:v>
      </x:c>
      <x:c r="H754" s="34" t="str">
        <x:v>2026-06-28</x:v>
      </x:c>
      <x:c r="I754" s="34" t="str">
        <x:v>supportedMotherboardFormFactors=ATX/Micro-ATX/Mini-ITX; maxGpuLengthMm=380; maxCoolerHeightMm=170; psuFormFactors=ATX/SFX</x:v>
      </x:c>
      <x:c r="J754" s="34" t="str">
        <x:v>ATX, Micro-ATX, Mini-ITX, dataset</x:v>
      </x:c>
      <x:c r="K754" s="34" t="str">
        <x:v>ATX enclosure with source-linked or conservative clearance data.</x:v>
      </x:c>
      <x:c r="L754" s="34" t="str">
        <x:v>https://fr.pcpartpicker.com/product/T3rG3C/cooler-master-case-nse200kkn1</x:v>
      </x:c>
      <x:c r="M754" s="35" t="str">
        <x:v>https://fr.pcpartpicker.com/product/T3rG3C/cooler-master-case-nse200kkn1</x:v>
      </x:c>
    </x:row>
    <x:row r="755">
      <x:c r="A755" s="33" t="str">
        <x:v>case</x:v>
      </x:c>
      <x:c r="B755" s="34" t="str">
        <x:v>hf-case-290761</x:v>
      </x:c>
      <x:c r="C755" s="34" t="str">
        <x:v>be quiet! Pure Base 500DX</x:v>
      </x:c>
      <x:c r="D755" s="34" t="str">
        <x:v>be quiet!</x:v>
      </x:c>
      <x:c r="E755" s="82" t="n">
        <x:v>113.84</x:v>
      </x:c>
      <x:c r="F755" s="34" t="str">
        <x:v>USD</x:v>
      </x:c>
      <x:c r="G755" s="34" t="str">
        <x:v>reference</x:v>
      </x:c>
      <x:c r="H755" s="34" t="str">
        <x:v>2026-06-28</x:v>
      </x:c>
      <x:c r="I755" s="34" t="str">
        <x:v>supportedMotherboardFormFactors=ATX/Micro-ATX/Mini-ITX; maxGpuLengthMm=380; maxCoolerHeightMm=170; psuFormFactors=ATX/SFX</x:v>
      </x:c>
      <x:c r="J755" s="34" t="str">
        <x:v>ATX, Micro-ATX, Mini-ITX, dataset</x:v>
      </x:c>
      <x:c r="K755" s="34" t="str">
        <x:v>ATX enclosure with source-linked or conservative clearance data.</x:v>
      </x:c>
      <x:c r="L755" s="34" t="str">
        <x:v>https://fr.pcpartpicker.com/product/FCK2FT/be-quiet-pure-base-500dx-atx-mid-tower-case-bgw37</x:v>
      </x:c>
      <x:c r="M755" s="35" t="str">
        <x:v>https://fr.pcpartpicker.com/product/FCK2FT/be-quiet-pure-base-500dx-atx-mid-tower-case-bgw37</x:v>
      </x:c>
    </x:row>
    <x:row r="756">
      <x:c r="A756" s="33" t="str">
        <x:v>case</x:v>
      </x:c>
      <x:c r="B756" s="34" t="str">
        <x:v>hf-case-534290</x:v>
      </x:c>
      <x:c r="C756" s="34" t="str">
        <x:v>Montech XR</x:v>
      </x:c>
      <x:c r="D756" s="34" t="str">
        <x:v>Montech</x:v>
      </x:c>
      <x:c r="E756" s="82" t="n">
        <x:v>71.6</x:v>
      </x:c>
      <x:c r="F756" s="34" t="str">
        <x:v>USD</x:v>
      </x:c>
      <x:c r="G756" s="34" t="str">
        <x:v>reference</x:v>
      </x:c>
      <x:c r="H756" s="34" t="str">
        <x:v>2026-06-28</x:v>
      </x:c>
      <x:c r="I756" s="34" t="str">
        <x:v>supportedMotherboardFormFactors=ATX/Micro-ATX/Mini-ITX; maxGpuLengthMm=380; maxCoolerHeightMm=170; psuFormFactors=ATX/SFX</x:v>
      </x:c>
      <x:c r="J756" s="34" t="str">
        <x:v>ATX, Micro-ATX, Mini-ITX, dataset</x:v>
      </x:c>
      <x:c r="K756" s="34" t="str">
        <x:v>ATX enclosure with source-linked or conservative clearance data.</x:v>
      </x:c>
      <x:c r="L756" s="34" t="str">
        <x:v>https://fr.pcpartpicker.com/product/fc88TW/montech-xr-atx-mid-tower-case-xr-b</x:v>
      </x:c>
      <x:c r="M756" s="35" t="str">
        <x:v>https://fr.pcpartpicker.com/product/fc88TW/montech-xr-atx-mid-tower-case-xr-b</x:v>
      </x:c>
    </x:row>
    <x:row r="757">
      <x:c r="A757" s="33" t="str">
        <x:v>case</x:v>
      </x:c>
      <x:c r="B757" s="34" t="str">
        <x:v>hf-case-446881</x:v>
      </x:c>
      <x:c r="C757" s="34" t="str">
        <x:v>Fractal Design North</x:v>
      </x:c>
      <x:c r="D757" s="34" t="str">
        <x:v>Fractal Design</x:v>
      </x:c>
      <x:c r="E757" s="82" t="n">
        <x:v>125.18</x:v>
      </x:c>
      <x:c r="F757" s="34" t="str">
        <x:v>USD</x:v>
      </x:c>
      <x:c r="G757" s="34" t="str">
        <x:v>reference</x:v>
      </x:c>
      <x:c r="H757" s="34" t="str">
        <x:v>2026-06-28</x:v>
      </x:c>
      <x:c r="I757" s="34" t="str">
        <x:v>supportedMotherboardFormFactors=ATX/Micro-ATX/Mini-ITX; maxGpuLengthMm=380; maxCoolerHeightMm=170; psuFormFactors=ATX/SFX</x:v>
      </x:c>
      <x:c r="J757" s="34" t="str">
        <x:v>ATX, Micro-ATX, Mini-ITX, dataset</x:v>
      </x:c>
      <x:c r="K757" s="34" t="str">
        <x:v>ATX enclosure with source-linked or conservative clearance data.</x:v>
      </x:c>
      <x:c r="L757" s="34" t="str">
        <x:v>https://fr.pcpartpicker.com/product/ybNxFT/fractal-design-north-atx-mid-tower-case-fd-c-nor1c-02</x:v>
      </x:c>
      <x:c r="M757" s="35" t="str">
        <x:v>https://fr.pcpartpicker.com/product/ybNxFT/fractal-design-north-atx-mid-tower-case-fd-c-nor1c-02</x:v>
      </x:c>
    </x:row>
    <x:row r="758">
      <x:c r="A758" s="33" t="str">
        <x:v>case</x:v>
      </x:c>
      <x:c r="B758" s="34" t="str">
        <x:v>hf-case-109877</x:v>
      </x:c>
      <x:c r="C758" s="34" t="str">
        <x:v>Fractal Design Focus G</x:v>
      </x:c>
      <x:c r="D758" s="34" t="str">
        <x:v>Fractal Design</x:v>
      </x:c>
      <x:c r="E758" s="82" t="n">
        <x:v>62.68</x:v>
      </x:c>
      <x:c r="F758" s="34" t="str">
        <x:v>USD</x:v>
      </x:c>
      <x:c r="G758" s="34" t="str">
        <x:v>reference</x:v>
      </x:c>
      <x:c r="H758" s="34" t="str">
        <x:v>2026-06-28</x:v>
      </x:c>
      <x:c r="I758" s="34" t="str">
        <x:v>supportedMotherboardFormFactors=ATX/Micro-ATX/Mini-ITX; maxGpuLengthMm=380; maxCoolerHeightMm=170; psuFormFactors=ATX/SFX</x:v>
      </x:c>
      <x:c r="J758" s="34" t="str">
        <x:v>ATX, Micro-ATX, Mini-ITX, dataset</x:v>
      </x:c>
      <x:c r="K758" s="34" t="str">
        <x:v>ATX enclosure with source-linked or conservative clearance data.</x:v>
      </x:c>
      <x:c r="L758" s="34" t="str">
        <x:v>https://fr.pcpartpicker.com/product/ZHmxFT/fractal-design-focus-g-black-atx-mid-tower-case-fd-ca-focus-bk-w</x:v>
      </x:c>
      <x:c r="M758" s="35" t="str">
        <x:v>https://fr.pcpartpicker.com/product/ZHmxFT/fractal-design-focus-g-black-atx-mid-tower-case-fd-ca-focus-bk-w</x:v>
      </x:c>
    </x:row>
    <x:row r="759">
      <x:c r="A759" s="33" t="str">
        <x:v>case</x:v>
      </x:c>
      <x:c r="B759" s="34" t="str">
        <x:v>hf-case-52429</x:v>
      </x:c>
      <x:c r="C759" s="34" t="str">
        <x:v>Fractal Design Define Nano S</x:v>
      </x:c>
      <x:c r="D759" s="34" t="str">
        <x:v>Fractal Design</x:v>
      </x:c>
      <x:c r="E759" s="82" t="n">
        <x:v>96.82</x:v>
      </x:c>
      <x:c r="F759" s="34" t="str">
        <x:v>USD</x:v>
      </x:c>
      <x:c r="G759" s="34" t="str">
        <x:v>reference</x:v>
      </x:c>
      <x:c r="H759" s="34" t="str">
        <x:v>2026-06-28</x:v>
      </x:c>
      <x:c r="I759" s="34" t="str">
        <x:v>supportedMotherboardFormFactors=Mini-ITX; maxGpuLengthMm=320; maxCoolerHeightMm=75; psuFormFactors=SFX</x:v>
      </x:c>
      <x:c r="J759" s="34" t="str">
        <x:v>Mini-ITX, dataset</x:v>
      </x:c>
      <x:c r="K759" s="34" t="str">
        <x:v>Small-form-factor enclosure with source-linked or conservative clearance data.</x:v>
      </x:c>
      <x:c r="L759" s="34" t="str">
        <x:v>https://fr.pcpartpicker.com/product/VH2rxr/fractal-design-case-fdcadefnanosbkw</x:v>
      </x:c>
      <x:c r="M759" s="35" t="str">
        <x:v>https://fr.pcpartpicker.com/product/VH2rxr/fractal-design-case-fdcadefnanosbkw</x:v>
      </x:c>
    </x:row>
    <x:row r="760">
      <x:c r="A760" s="33" t="str">
        <x:v>case</x:v>
      </x:c>
      <x:c r="B760" s="34" t="str">
        <x:v>hf-case-479101</x:v>
      </x:c>
      <x:c r="C760" s="34" t="str">
        <x:v>Montech AIR 903 MAX</x:v>
      </x:c>
      <x:c r="D760" s="34" t="str">
        <x:v>Montech</x:v>
      </x:c>
      <x:c r="E760" s="82" t="n">
        <x:v>142.1</x:v>
      </x:c>
      <x:c r="F760" s="34" t="str">
        <x:v>USD</x:v>
      </x:c>
      <x:c r="G760" s="34" t="str">
        <x:v>reference</x:v>
      </x:c>
      <x:c r="H760" s="34" t="str">
        <x:v>2026-06-28</x:v>
      </x:c>
      <x:c r="I760" s="34" t="str">
        <x:v>supportedMotherboardFormFactors=ATX/Micro-ATX/Mini-ITX; maxGpuLengthMm=380; maxCoolerHeightMm=170; psuFormFactors=ATX/SFX</x:v>
      </x:c>
      <x:c r="J760" s="34" t="str">
        <x:v>ATX, Micro-ATX, Mini-ITX, dataset</x:v>
      </x:c>
      <x:c r="K760" s="34" t="str">
        <x:v>ATX enclosure with source-linked or conservative clearance data.</x:v>
      </x:c>
      <x:c r="L760" s="34" t="str">
        <x:v>https://fr.pcpartpicker.com/product/2MwmP6/montech-air-903-max-atx-mid-tower-case-air-903-max-b</x:v>
      </x:c>
      <x:c r="M760" s="35" t="str">
        <x:v>https://fr.pcpartpicker.com/product/2MwmP6/montech-air-903-max-atx-mid-tower-case-air-903-max-b</x:v>
      </x:c>
    </x:row>
    <x:row r="761">
      <x:c r="A761" s="33" t="str">
        <x:v>case</x:v>
      </x:c>
      <x:c r="B761" s="34" t="str">
        <x:v>hf-case-41270</x:v>
      </x:c>
      <x:c r="C761" s="34" t="str">
        <x:v>Fractal Design Define R5</x:v>
      </x:c>
      <x:c r="D761" s="34" t="str">
        <x:v>Fractal Design</x:v>
      </x:c>
      <x:c r="E761" s="82" t="n">
        <x:v>125.35</x:v>
      </x:c>
      <x:c r="F761" s="34" t="str">
        <x:v>USD</x:v>
      </x:c>
      <x:c r="G761" s="34" t="str">
        <x:v>reference</x:v>
      </x:c>
      <x:c r="H761" s="34" t="str">
        <x:v>2026-06-28</x:v>
      </x:c>
      <x:c r="I761" s="34" t="str">
        <x:v>supportedMotherboardFormFactors=ATX/Micro-ATX/Mini-ITX; maxGpuLengthMm=380; maxCoolerHeightMm=170; psuFormFactors=ATX/SFX</x:v>
      </x:c>
      <x:c r="J761" s="34" t="str">
        <x:v>ATX, Micro-ATX, Mini-ITX, dataset</x:v>
      </x:c>
      <x:c r="K761" s="34" t="str">
        <x:v>ATX enclosure with source-linked or conservative clearance data.</x:v>
      </x:c>
      <x:c r="L761" s="34" t="str">
        <x:v>https://fr.pcpartpicker.com/product/sjX2FT/fractal-design-case-fdcadefr5bk</x:v>
      </x:c>
      <x:c r="M761" s="35" t="str">
        <x:v>https://fr.pcpartpicker.com/product/sjX2FT/fractal-design-case-fdcadefr5bk</x:v>
      </x:c>
    </x:row>
    <x:row r="762">
      <x:c r="A762" s="33" t="str">
        <x:v>case</x:v>
      </x:c>
      <x:c r="B762" s="34" t="str">
        <x:v>hf-case-250181</x:v>
      </x:c>
      <x:c r="C762" s="34" t="str">
        <x:v>Corsair iCUE 220T RGB Airflow</x:v>
      </x:c>
      <x:c r="D762" s="34" t="str">
        <x:v>Corsair</x:v>
      </x:c>
      <x:c r="E762" s="82" t="n">
        <x:v>146.65</x:v>
      </x:c>
      <x:c r="F762" s="34" t="str">
        <x:v>USD</x:v>
      </x:c>
      <x:c r="G762" s="34" t="str">
        <x:v>reference</x:v>
      </x:c>
      <x:c r="H762" s="34" t="str">
        <x:v>2026-06-28</x:v>
      </x:c>
      <x:c r="I762" s="34" t="str">
        <x:v>supportedMotherboardFormFactors=ATX/Micro-ATX/Mini-ITX; maxGpuLengthMm=380; maxCoolerHeightMm=170; psuFormFactors=ATX/SFX</x:v>
      </x:c>
      <x:c r="J762" s="34" t="str">
        <x:v>ATX, Micro-ATX, Mini-ITX, dataset</x:v>
      </x:c>
      <x:c r="K762" s="34" t="str">
        <x:v>ATX enclosure with source-linked or conservative clearance data.</x:v>
      </x:c>
      <x:c r="L762" s="34" t="str">
        <x:v>https://fr.pcpartpicker.com/product/wMpmP6/corsair-icue-220t-rgb-atx-mid-tower-case-cc-9011173-ww</x:v>
      </x:c>
      <x:c r="M762" s="35" t="str">
        <x:v>https://fr.pcpartpicker.com/product/wMpmP6/corsair-icue-220t-rgb-atx-mid-tower-case-cc-9011173-ww</x:v>
      </x:c>
    </x:row>
    <x:row r="763">
      <x:c r="A763" s="33" t="str">
        <x:v>case</x:v>
      </x:c>
      <x:c r="B763" s="34" t="str">
        <x:v>hf-case-429480</x:v>
      </x:c>
      <x:c r="C763" s="34" t="str">
        <x:v>Asus Prime AP201</x:v>
      </x:c>
      <x:c r="D763" s="34" t="str">
        <x:v>Asus</x:v>
      </x:c>
      <x:c r="E763" s="82" t="n">
        <x:v>89.84</x:v>
      </x:c>
      <x:c r="F763" s="34" t="str">
        <x:v>USD</x:v>
      </x:c>
      <x:c r="G763" s="34" t="str">
        <x:v>reference</x:v>
      </x:c>
      <x:c r="H763" s="34" t="str">
        <x:v>2026-06-28</x:v>
      </x:c>
      <x:c r="I763" s="34" t="str">
        <x:v>supportedMotherboardFormFactors=ATX/Micro-ATX/Mini-ITX; maxGpuLengthMm=380; maxCoolerHeightMm=170; psuFormFactors=ATX/SFX</x:v>
      </x:c>
      <x:c r="J763" s="34" t="str">
        <x:v>ATX, Micro-ATX, Mini-ITX, dataset</x:v>
      </x:c>
      <x:c r="K763" s="34" t="str">
        <x:v>ATX enclosure with source-linked or conservative clearance data.</x:v>
      </x:c>
      <x:c r="L763" s="34" t="str">
        <x:v>https://fr.pcpartpicker.com/product/fPZ9TW/asus-prime-ap201-microatx-mini-tower-case-ap201blkmesh</x:v>
      </x:c>
      <x:c r="M763" s="35" t="str">
        <x:v>https://fr.pcpartpicker.com/product/fPZ9TW/asus-prime-ap201-microatx-mini-tower-case-ap201blkmesh</x:v>
      </x:c>
    </x:row>
    <x:row r="764">
      <x:c r="A764" s="33" t="str">
        <x:v>case</x:v>
      </x:c>
      <x:c r="B764" s="34" t="str">
        <x:v>hf-case-319351</x:v>
      </x:c>
      <x:c r="C764" s="34" t="str">
        <x:v>Corsair iCUE 4000X RGB</x:v>
      </x:c>
      <x:c r="D764" s="34" t="str">
        <x:v>Corsair</x:v>
      </x:c>
      <x:c r="E764" s="82" t="n">
        <x:v>153.8</x:v>
      </x:c>
      <x:c r="F764" s="34" t="str">
        <x:v>USD</x:v>
      </x:c>
      <x:c r="G764" s="34" t="str">
        <x:v>reference</x:v>
      </x:c>
      <x:c r="H764" s="34" t="str">
        <x:v>2026-06-28</x:v>
      </x:c>
      <x:c r="I764" s="34" t="str">
        <x:v>supportedMotherboardFormFactors=ATX/Micro-ATX/Mini-ITX; maxGpuLengthMm=380; maxCoolerHeightMm=170; psuFormFactors=ATX/SFX</x:v>
      </x:c>
      <x:c r="J764" s="34" t="str">
        <x:v>ATX, Micro-ATX, Mini-ITX, dataset</x:v>
      </x:c>
      <x:c r="K764" s="34" t="str">
        <x:v>ATX enclosure with source-linked or conservative clearance data.</x:v>
      </x:c>
      <x:c r="L764" s="34" t="str">
        <x:v>https://fr.pcpartpicker.com/product/6qFKHx/corsair-icue-4000x-rgb-atx-mid-tower-case-cc-9011204-ww</x:v>
      </x:c>
      <x:c r="M764" s="35" t="str">
        <x:v>https://fr.pcpartpicker.com/product/6qFKHx/corsair-icue-4000x-rgb-atx-mid-tower-case-cc-9011204-ww</x:v>
      </x:c>
    </x:row>
    <x:row r="765">
      <x:c r="A765" s="33" t="str">
        <x:v>case</x:v>
      </x:c>
      <x:c r="B765" s="34" t="str">
        <x:v>hf-case-443133</x:v>
      </x:c>
      <x:c r="C765" s="34" t="str">
        <x:v>Lian Li LANCOOL 216 RGB</x:v>
      </x:c>
      <x:c r="D765" s="34" t="str">
        <x:v>Lian Li</x:v>
      </x:c>
      <x:c r="E765" s="82" t="n">
        <x:v>105.25</x:v>
      </x:c>
      <x:c r="F765" s="34" t="str">
        <x:v>USD</x:v>
      </x:c>
      <x:c r="G765" s="34" t="str">
        <x:v>reference</x:v>
      </x:c>
      <x:c r="H765" s="34" t="str">
        <x:v>2026-06-28</x:v>
      </x:c>
      <x:c r="I765" s="34" t="str">
        <x:v>supportedMotherboardFormFactors=ATX/Micro-ATX/Mini-ITX; maxGpuLengthMm=380; maxCoolerHeightMm=170; psuFormFactors=ATX/SFX</x:v>
      </x:c>
      <x:c r="J765" s="34" t="str">
        <x:v>ATX, Micro-ATX, Mini-ITX, dataset</x:v>
      </x:c>
      <x:c r="K765" s="34" t="str">
        <x:v>ATX enclosure with source-linked or conservative clearance data.</x:v>
      </x:c>
      <x:c r="L765" s="34" t="str">
        <x:v>https://fr.pcpartpicker.com/product/KKytt6/lian-li-lancool-216-rgb-atx-mid-tower-case-lancool-216rx</x:v>
      </x:c>
      <x:c r="M765" s="35" t="str">
        <x:v>https://fr.pcpartpicker.com/product/KKytt6/lian-li-lancool-216-rgb-atx-mid-tower-case-lancool-216rx</x:v>
      </x:c>
    </x:row>
    <x:row r="766">
      <x:c r="A766" s="33" t="str">
        <x:v>case</x:v>
      </x:c>
      <x:c r="B766" s="34" t="str">
        <x:v>hf-case-14935</x:v>
      </x:c>
      <x:c r="C766" s="34" t="str">
        <x:v>Fractal Design Node 304</x:v>
      </x:c>
      <x:c r="D766" s="34" t="str">
        <x:v>Fractal Design</x:v>
      </x:c>
      <x:c r="E766" s="82" t="n">
        <x:v>96.27</x:v>
      </x:c>
      <x:c r="F766" s="34" t="str">
        <x:v>USD</x:v>
      </x:c>
      <x:c r="G766" s="34" t="str">
        <x:v>reference</x:v>
      </x:c>
      <x:c r="H766" s="34" t="str">
        <x:v>2026-06-28</x:v>
      </x:c>
      <x:c r="I766" s="34" t="str">
        <x:v>supportedMotherboardFormFactors=Mini-ITX; maxGpuLengthMm=320; maxCoolerHeightMm=75; psuFormFactors=SFX</x:v>
      </x:c>
      <x:c r="J766" s="34" t="str">
        <x:v>Mini-ITX, dataset</x:v>
      </x:c>
      <x:c r="K766" s="34" t="str">
        <x:v>Small-form-factor enclosure with source-linked or conservative clearance data.</x:v>
      </x:c>
      <x:c r="L766" s="34" t="str">
        <x:v>https://fr.pcpartpicker.com/product/BWFPxr/fractal-design-case-fdcanode304bl</x:v>
      </x:c>
      <x:c r="M766" s="35" t="str">
        <x:v>https://fr.pcpartpicker.com/product/BWFPxr/fractal-design-case-fdcanode304bl</x:v>
      </x:c>
    </x:row>
    <x:row r="767">
      <x:c r="A767" s="33" t="str">
        <x:v>case</x:v>
      </x:c>
      <x:c r="B767" s="34" t="str">
        <x:v>hf-case-452163</x:v>
      </x:c>
      <x:c r="C767" s="34" t="str">
        <x:v>NZXT H9 Flow (2023)</x:v>
      </x:c>
      <x:c r="D767" s="34" t="str">
        <x:v>NZXT</x:v>
      </x:c>
      <x:c r="E767" s="82" t="n">
        <x:v>169.76</x:v>
      </x:c>
      <x:c r="F767" s="34" t="str">
        <x:v>USD</x:v>
      </x:c>
      <x:c r="G767" s="34" t="str">
        <x:v>reference</x:v>
      </x:c>
      <x:c r="H767" s="34" t="str">
        <x:v>2026-06-28</x:v>
      </x:c>
      <x:c r="I767" s="34" t="str">
        <x:v>supportedMotherboardFormFactors=ATX/Micro-ATX/Mini-ITX; maxGpuLengthMm=380; maxCoolerHeightMm=170; psuFormFactors=ATX/SFX</x:v>
      </x:c>
      <x:c r="J767" s="34" t="str">
        <x:v>ATX, Micro-ATX, Mini-ITX, dataset</x:v>
      </x:c>
      <x:c r="K767" s="34" t="str">
        <x:v>ATX enclosure with source-linked or conservative clearance data.</x:v>
      </x:c>
      <x:c r="L767" s="34" t="str">
        <x:v>https://fr.pcpartpicker.com/product/7ZBG3C/nzxt-h9-flow-atx-mid-tower-case-cm-h91fw-01</x:v>
      </x:c>
      <x:c r="M767" s="35" t="str">
        <x:v>https://fr.pcpartpicker.com/product/7ZBG3C/nzxt-h9-flow-atx-mid-tower-case-cm-h91fw-01</x:v>
      </x:c>
    </x:row>
    <x:row r="768">
      <x:c r="A768" s="33" t="str">
        <x:v>case</x:v>
      </x:c>
      <x:c r="B768" s="34" t="str">
        <x:v>hf-case-363552</x:v>
      </x:c>
      <x:c r="C768" s="34" t="str">
        <x:v>Lian Li O11 Dynamic Mini Snow Edition</x:v>
      </x:c>
      <x:c r="D768" s="34" t="str">
        <x:v>Lian Li</x:v>
      </x:c>
      <x:c r="E768" s="82" t="n">
        <x:v>108.2</x:v>
      </x:c>
      <x:c r="F768" s="34" t="str">
        <x:v>USD</x:v>
      </x:c>
      <x:c r="G768" s="34" t="str">
        <x:v>reference</x:v>
      </x:c>
      <x:c r="H768" s="34" t="str">
        <x:v>2026-06-28</x:v>
      </x:c>
      <x:c r="I768" s="34" t="str">
        <x:v>supportedMotherboardFormFactors=ATX/Micro-ATX/Mini-ITX; maxGpuLengthMm=380; maxCoolerHeightMm=170; psuFormFactors=ATX/SFX</x:v>
      </x:c>
      <x:c r="J768" s="34" t="str">
        <x:v>ATX, Micro-ATX, Mini-ITX, dataset</x:v>
      </x:c>
      <x:c r="K768" s="34" t="str">
        <x:v>ATX enclosure with source-linked or conservative clearance data.</x:v>
      </x:c>
      <x:c r="L768" s="34" t="str">
        <x:v>https://fr.pcpartpicker.com/product/PgbTwP/lian-li-o11-dynamic-mini-snow-edition-atx-mid-tower-case-o11d-mini-s</x:v>
      </x:c>
      <x:c r="M768" s="35" t="str">
        <x:v>https://fr.pcpartpicker.com/product/PgbTwP/lian-li-o11-dynamic-mini-snow-edition-atx-mid-tower-case-o11d-mini-s</x:v>
      </x:c>
    </x:row>
    <x:row r="769">
      <x:c r="A769" s="33" t="str">
        <x:v>case</x:v>
      </x:c>
      <x:c r="B769" s="34" t="str">
        <x:v>hf-case-390804</x:v>
      </x:c>
      <x:c r="C769" s="34" t="str">
        <x:v>Montech AIR 100 ARGB</x:v>
      </x:c>
      <x:c r="D769" s="34" t="str">
        <x:v>Montech</x:v>
      </x:c>
      <x:c r="E769" s="82" t="n">
        <x:v>56.78</x:v>
      </x:c>
      <x:c r="F769" s="34" t="str">
        <x:v>USD</x:v>
      </x:c>
      <x:c r="G769" s="34" t="str">
        <x:v>reference</x:v>
      </x:c>
      <x:c r="H769" s="34" t="str">
        <x:v>2026-06-28</x:v>
      </x:c>
      <x:c r="I769" s="34" t="str">
        <x:v>supportedMotherboardFormFactors=ATX/Micro-ATX/Mini-ITX; maxGpuLengthMm=380; maxCoolerHeightMm=170; psuFormFactors=ATX/SFX</x:v>
      </x:c>
      <x:c r="J769" s="34" t="str">
        <x:v>ATX, Micro-ATX, Mini-ITX, dataset</x:v>
      </x:c>
      <x:c r="K769" s="34" t="str">
        <x:v>ATX enclosure with source-linked or conservative clearance data.</x:v>
      </x:c>
      <x:c r="L769" s="34" t="str">
        <x:v>https://fr.pcpartpicker.com/product/M7Z9TW/montech-air-100-argb-microatx-mid-tower-case-air-100-argb-black</x:v>
      </x:c>
      <x:c r="M769" s="35" t="str">
        <x:v>https://fr.pcpartpicker.com/product/M7Z9TW/montech-air-100-argb-microatx-mid-tower-case-air-100-argb-black</x:v>
      </x:c>
    </x:row>
    <x:row r="770">
      <x:c r="A770" s="33" t="str">
        <x:v>case</x:v>
      </x:c>
      <x:c r="B770" s="34" t="str">
        <x:v>hf-case-495876</x:v>
      </x:c>
      <x:c r="C770" s="34" t="str">
        <x:v>NZXT H6 Flow</x:v>
      </x:c>
      <x:c r="D770" s="34" t="str">
        <x:v>NZXT</x:v>
      </x:c>
      <x:c r="E770" s="82" t="n">
        <x:v>113.9</x:v>
      </x:c>
      <x:c r="F770" s="34" t="str">
        <x:v>USD</x:v>
      </x:c>
      <x:c r="G770" s="34" t="str">
        <x:v>reference</x:v>
      </x:c>
      <x:c r="H770" s="34" t="str">
        <x:v>2026-06-28</x:v>
      </x:c>
      <x:c r="I770" s="34" t="str">
        <x:v>supportedMotherboardFormFactors=ATX/Micro-ATX/Mini-ITX; maxGpuLengthMm=380; maxCoolerHeightMm=170; psuFormFactors=ATX/SFX</x:v>
      </x:c>
      <x:c r="J770" s="34" t="str">
        <x:v>ATX, Micro-ATX, Mini-ITX, dataset</x:v>
      </x:c>
      <x:c r="K770" s="34" t="str">
        <x:v>ATX enclosure with source-linked or conservative clearance data.</x:v>
      </x:c>
      <x:c r="L770" s="34" t="str">
        <x:v>https://fr.pcpartpicker.com/product/8QMMnQ/nzxt-h6-flow-atx-mid-tower-case-cc-h61fw-01</x:v>
      </x:c>
      <x:c r="M770" s="35" t="str">
        <x:v>https://fr.pcpartpicker.com/product/8QMMnQ/nzxt-h6-flow-atx-mid-tower-case-cc-h61fw-01</x:v>
      </x:c>
    </x:row>
    <x:row r="771">
      <x:c r="A771" s="33" t="str">
        <x:v>case</x:v>
      </x:c>
      <x:c r="B771" s="34" t="str">
        <x:v>hf-case-43387</x:v>
      </x:c>
      <x:c r="C771" s="34" t="str">
        <x:v>Silverstone SG13</x:v>
      </x:c>
      <x:c r="D771" s="34" t="str">
        <x:v>Silverstone</x:v>
      </x:c>
      <x:c r="E771" s="82" t="n">
        <x:v>74.49</x:v>
      </x:c>
      <x:c r="F771" s="34" t="str">
        <x:v>USD</x:v>
      </x:c>
      <x:c r="G771" s="34" t="str">
        <x:v>reference</x:v>
      </x:c>
      <x:c r="H771" s="34" t="str">
        <x:v>2026-06-28</x:v>
      </x:c>
      <x:c r="I771" s="34" t="str">
        <x:v>supportedMotherboardFormFactors=Mini-ITX; maxGpuLengthMm=320; maxCoolerHeightMm=75; psuFormFactors=SFX</x:v>
      </x:c>
      <x:c r="J771" s="34" t="str">
        <x:v>Mini-ITX, dataset</x:v>
      </x:c>
      <x:c r="K771" s="34" t="str">
        <x:v>Small-form-factor enclosure with source-linked or conservative clearance data.</x:v>
      </x:c>
      <x:c r="L771" s="34" t="str">
        <x:v>https://fr.pcpartpicker.com/product/dM8H99/silverstone-case-sstsg13b</x:v>
      </x:c>
      <x:c r="M771" s="35" t="str">
        <x:v>https://fr.pcpartpicker.com/product/dM8H99/silverstone-case-sstsg13b</x:v>
      </x:c>
    </x:row>
    <x:row r="772">
      <x:c r="A772" s="33" t="str">
        <x:v>case</x:v>
      </x:c>
      <x:c r="B772" s="34" t="str">
        <x:v>hf-case-48966</x:v>
      </x:c>
      <x:c r="C772" s="34" t="str">
        <x:v>Thermaltake Versa H15</x:v>
      </x:c>
      <x:c r="D772" s="34" t="str">
        <x:v>Thermaltake</x:v>
      </x:c>
      <x:c r="E772" s="82" t="n">
        <x:v>85.99</x:v>
      </x:c>
      <x:c r="F772" s="34" t="str">
        <x:v>USD</x:v>
      </x:c>
      <x:c r="G772" s="34" t="str">
        <x:v>reference</x:v>
      </x:c>
      <x:c r="H772" s="34" t="str">
        <x:v>2026-06-28</x:v>
      </x:c>
      <x:c r="I772" s="34" t="str">
        <x:v>supportedMotherboardFormFactors=ATX/Micro-ATX/Mini-ITX; maxGpuLengthMm=380; maxCoolerHeightMm=170; psuFormFactors=ATX/SFX</x:v>
      </x:c>
      <x:c r="J772" s="34" t="str">
        <x:v>ATX, Micro-ATX, Mini-ITX, dataset</x:v>
      </x:c>
      <x:c r="K772" s="34" t="str">
        <x:v>ATX enclosure with source-linked or conservative clearance data.</x:v>
      </x:c>
      <x:c r="L772" s="34" t="str">
        <x:v>https://fr.pcpartpicker.com/product/Yn7CmG/thermaltake-case-ca1d400s1nn00</x:v>
      </x:c>
      <x:c r="M772" s="35" t="str">
        <x:v>https://fr.pcpartpicker.com/product/Yn7CmG/thermaltake-case-ca1d400s1nn00</x:v>
      </x:c>
    </x:row>
    <x:row r="773">
      <x:c r="A773" s="33" t="str">
        <x:v>case</x:v>
      </x:c>
      <x:c r="B773" s="34" t="str">
        <x:v>hf-case-335005</x:v>
      </x:c>
      <x:c r="C773" s="34" t="str">
        <x:v>Lian Li O11 Dynamic Mini</x:v>
      </x:c>
      <x:c r="D773" s="34" t="str">
        <x:v>Lian Li</x:v>
      </x:c>
      <x:c r="E773" s="82" t="n">
        <x:v>139.06</x:v>
      </x:c>
      <x:c r="F773" s="34" t="str">
        <x:v>USD</x:v>
      </x:c>
      <x:c r="G773" s="34" t="str">
        <x:v>reference</x:v>
      </x:c>
      <x:c r="H773" s="34" t="str">
        <x:v>2026-06-28</x:v>
      </x:c>
      <x:c r="I773" s="34" t="str">
        <x:v>supportedMotherboardFormFactors=ATX/Micro-ATX/Mini-ITX; maxGpuLengthMm=380; maxCoolerHeightMm=170; psuFormFactors=ATX/SFX</x:v>
      </x:c>
      <x:c r="J773" s="34" t="str">
        <x:v>ATX, Micro-ATX, Mini-ITX, dataset</x:v>
      </x:c>
      <x:c r="K773" s="34" t="str">
        <x:v>ATX enclosure with source-linked or conservative clearance data.</x:v>
      </x:c>
      <x:c r="L773" s="34" t="str">
        <x:v>https://fr.pcpartpicker.com/product/ByJmP6/lian-li-o11-dynamic-mini-atx-mid-tower-case-o11d-mini-x</x:v>
      </x:c>
      <x:c r="M773" s="35" t="str">
        <x:v>https://fr.pcpartpicker.com/product/ByJmP6/lian-li-o11-dynamic-mini-atx-mid-tower-case-o11d-mini-x</x:v>
      </x:c>
    </x:row>
    <x:row r="774">
      <x:c r="A774" s="33" t="str">
        <x:v>case</x:v>
      </x:c>
      <x:c r="B774" s="34" t="str">
        <x:v>hf-case-544279</x:v>
      </x:c>
      <x:c r="C774" s="34" t="str">
        <x:v>Lian Li A3-mATX</x:v>
      </x:c>
      <x:c r="D774" s="34" t="str">
        <x:v>Lian Li</x:v>
      </x:c>
      <x:c r="E774" s="82" t="n">
        <x:v>109.22</x:v>
      </x:c>
      <x:c r="F774" s="34" t="str">
        <x:v>USD</x:v>
      </x:c>
      <x:c r="G774" s="34" t="str">
        <x:v>reference</x:v>
      </x:c>
      <x:c r="H774" s="34" t="str">
        <x:v>2026-06-28</x:v>
      </x:c>
      <x:c r="I774" s="34" t="str">
        <x:v>supportedMotherboardFormFactors=ATX/Micro-ATX/Mini-ITX; maxGpuLengthMm=380; maxCoolerHeightMm=170; psuFormFactors=ATX/SFX</x:v>
      </x:c>
      <x:c r="J774" s="34" t="str">
        <x:v>ATX, Micro-ATX, Mini-ITX, dataset</x:v>
      </x:c>
      <x:c r="K774" s="34" t="str">
        <x:v>ATX enclosure with source-linked or conservative clearance data.</x:v>
      </x:c>
      <x:c r="L774" s="34" t="str">
        <x:v>https://fr.pcpartpicker.com/product/FG7scf/lian-li-a3-matx-microatx-mini-tower-case-a3-matx-wd-black</x:v>
      </x:c>
      <x:c r="M774" s="35" t="str">
        <x:v>https://fr.pcpartpicker.com/product/FG7scf/lian-li-a3-matx-microatx-mini-tower-case-a3-matx-wd-black</x:v>
      </x:c>
    </x:row>
    <x:row r="775">
      <x:c r="A775" s="33" t="str">
        <x:v>case</x:v>
      </x:c>
      <x:c r="B775" s="34" t="str">
        <x:v>hf-case-387536</x:v>
      </x:c>
      <x:c r="C775" s="34" t="str">
        <x:v>Lian Li O11 Air Mini</x:v>
      </x:c>
      <x:c r="D775" s="34" t="str">
        <x:v>Lian Li</x:v>
      </x:c>
      <x:c r="E775" s="82" t="n">
        <x:v>126.32</x:v>
      </x:c>
      <x:c r="F775" s="34" t="str">
        <x:v>USD</x:v>
      </x:c>
      <x:c r="G775" s="34" t="str">
        <x:v>reference</x:v>
      </x:c>
      <x:c r="H775" s="34" t="str">
        <x:v>2026-06-28</x:v>
      </x:c>
      <x:c r="I775" s="34" t="str">
        <x:v>supportedMotherboardFormFactors=ATX/Micro-ATX/Mini-ITX; maxGpuLengthMm=380; maxCoolerHeightMm=170; psuFormFactors=ATX/SFX</x:v>
      </x:c>
      <x:c r="J775" s="34" t="str">
        <x:v>ATX, Micro-ATX, Mini-ITX, dataset</x:v>
      </x:c>
      <x:c r="K775" s="34" t="str">
        <x:v>ATX enclosure with source-linked or conservative clearance data.</x:v>
      </x:c>
      <x:c r="L775" s="34" t="str">
        <x:v>https://fr.pcpartpicker.com/product/RvNxFT/lian-li-o11-air-mini-atx-mid-tower-case-o11amx</x:v>
      </x:c>
      <x:c r="M775" s="35" t="str">
        <x:v>https://fr.pcpartpicker.com/product/RvNxFT/lian-li-o11-air-mini-atx-mid-tower-case-o11amx</x:v>
      </x:c>
    </x:row>
    <x:row r="776">
      <x:c r="A776" s="33" t="str">
        <x:v>case</x:v>
      </x:c>
      <x:c r="B776" s="34" t="str">
        <x:v>hf-case-406892</x:v>
      </x:c>
      <x:c r="C776" s="34" t="str">
        <x:v>HYTE Y60</x:v>
      </x:c>
      <x:c r="D776" s="34" t="str">
        <x:v>HYTE</x:v>
      </x:c>
      <x:c r="E776" s="82" t="n">
        <x:v>144.56</x:v>
      </x:c>
      <x:c r="F776" s="34" t="str">
        <x:v>USD</x:v>
      </x:c>
      <x:c r="G776" s="34" t="str">
        <x:v>reference</x:v>
      </x:c>
      <x:c r="H776" s="34" t="str">
        <x:v>2026-06-28</x:v>
      </x:c>
      <x:c r="I776" s="34" t="str">
        <x:v>supportedMotherboardFormFactors=ATX/Micro-ATX/Mini-ITX; maxGpuLengthMm=380; maxCoolerHeightMm=170; psuFormFactors=ATX/SFX</x:v>
      </x:c>
      <x:c r="J776" s="34" t="str">
        <x:v>ATX, Micro-ATX, Mini-ITX, dataset</x:v>
      </x:c>
      <x:c r="K776" s="34" t="str">
        <x:v>ATX enclosure with source-linked or conservative clearance data.</x:v>
      </x:c>
      <x:c r="L776" s="34" t="str">
        <x:v>https://fr.pcpartpicker.com/product/pyBG3C/hyte-y60-atx-mid-tower-case-cs-hyte-y60-bw</x:v>
      </x:c>
      <x:c r="M776" s="35" t="str">
        <x:v>https://fr.pcpartpicker.com/product/pyBG3C/hyte-y60-atx-mid-tower-case-cs-hyte-y60-bw</x:v>
      </x:c>
    </x:row>
    <x:row r="777">
      <x:c r="A777" s="33" t="str">
        <x:v>case</x:v>
      </x:c>
      <x:c r="B777" s="34" t="str">
        <x:v>hf-case-501043</x:v>
      </x:c>
      <x:c r="C777" s="34" t="str">
        <x:v>Montech KING 95 PRO</x:v>
      </x:c>
      <x:c r="D777" s="34" t="str">
        <x:v>Montech</x:v>
      </x:c>
      <x:c r="E777" s="82" t="n">
        <x:v>125.18</x:v>
      </x:c>
      <x:c r="F777" s="34" t="str">
        <x:v>USD</x:v>
      </x:c>
      <x:c r="G777" s="34" t="str">
        <x:v>reference</x:v>
      </x:c>
      <x:c r="H777" s="34" t="str">
        <x:v>2026-06-28</x:v>
      </x:c>
      <x:c r="I777" s="34" t="str">
        <x:v>supportedMotherboardFormFactors=ATX/Micro-ATX/Mini-ITX; maxGpuLengthMm=380; maxCoolerHeightMm=170; psuFormFactors=ATX/SFX</x:v>
      </x:c>
      <x:c r="J777" s="34" t="str">
        <x:v>ATX, Micro-ATX, Mini-ITX, dataset</x:v>
      </x:c>
      <x:c r="K777" s="34" t="str">
        <x:v>ATX enclosure with source-linked or conservative clearance data.</x:v>
      </x:c>
      <x:c r="L777" s="34" t="str">
        <x:v>https://fr.pcpartpicker.com/product/7qQKHx/montech-king-95-pro-atx-mid-tower-case-king-95-pro-black</x:v>
      </x:c>
      <x:c r="M777" s="35" t="str">
        <x:v>https://fr.pcpartpicker.com/product/7qQKHx/montech-king-95-pro-atx-mid-tower-case-king-95-pro-black</x:v>
      </x:c>
    </x:row>
    <x:row r="778">
      <x:c r="A778" s="33" t="str">
        <x:v>case</x:v>
      </x:c>
      <x:c r="B778" s="34" t="str">
        <x:v>hf-case-423814</x:v>
      </x:c>
      <x:c r="C778" s="34" t="str">
        <x:v>Fractal Design Pop Mini Air</x:v>
      </x:c>
      <x:c r="D778" s="34" t="str">
        <x:v>Fractal Design</x:v>
      </x:c>
      <x:c r="E778" s="82" t="n">
        <x:v>96.9</x:v>
      </x:c>
      <x:c r="F778" s="34" t="str">
        <x:v>USD</x:v>
      </x:c>
      <x:c r="G778" s="34" t="str">
        <x:v>reference</x:v>
      </x:c>
      <x:c r="H778" s="34" t="str">
        <x:v>2026-06-28</x:v>
      </x:c>
      <x:c r="I778" s="34" t="str">
        <x:v>supportedMotherboardFormFactors=ATX/Micro-ATX/Mini-ITX; maxGpuLengthMm=380; maxCoolerHeightMm=170; psuFormFactors=ATX/SFX</x:v>
      </x:c>
      <x:c r="J778" s="34" t="str">
        <x:v>ATX, Micro-ATX, Mini-ITX, dataset</x:v>
      </x:c>
      <x:c r="K778" s="34" t="str">
        <x:v>ATX enclosure with source-linked or conservative clearance data.</x:v>
      </x:c>
      <x:c r="L778" s="34" t="str">
        <x:v>https://fr.pcpartpicker.com/product/gx3gXL/fractal-design-pop-mini-air-microatx-mid-tower-case-fd-c-por1m-06</x:v>
      </x:c>
      <x:c r="M778" s="35" t="str">
        <x:v>https://fr.pcpartpicker.com/product/gx3gXL/fractal-design-pop-mini-air-microatx-mid-tower-case-fd-c-por1m-06</x:v>
      </x:c>
    </x:row>
    <x:row r="779">
      <x:c r="A779" s="33" t="str">
        <x:v>case</x:v>
      </x:c>
      <x:c r="B779" s="34" t="str">
        <x:v>hf-case-18300</x:v>
      </x:c>
      <x:c r="C779" s="34" t="str">
        <x:v>Fractal Design Core 1000 USB 3.0</x:v>
      </x:c>
      <x:c r="D779" s="34" t="str">
        <x:v>Fractal Design</x:v>
      </x:c>
      <x:c r="E779" s="82" t="n">
        <x:v>45.59</x:v>
      </x:c>
      <x:c r="F779" s="34" t="str">
        <x:v>USD</x:v>
      </x:c>
      <x:c r="G779" s="34" t="str">
        <x:v>reference</x:v>
      </x:c>
      <x:c r="H779" s="34" t="str">
        <x:v>2026-06-28</x:v>
      </x:c>
      <x:c r="I779" s="34" t="str">
        <x:v>supportedMotherboardFormFactors=ATX/Micro-ATX/Mini-ITX; maxGpuLengthMm=380; maxCoolerHeightMm=170; psuFormFactors=ATX/SFX</x:v>
      </x:c>
      <x:c r="J779" s="34" t="str">
        <x:v>ATX, Micro-ATX, Mini-ITX, dataset</x:v>
      </x:c>
      <x:c r="K779" s="34" t="str">
        <x:v>ATX enclosure with source-linked or conservative clearance data.</x:v>
      </x:c>
      <x:c r="L779" s="34" t="str">
        <x:v>https://fr.pcpartpicker.com/product/KPw323/fractal-design-case-fdcacore1000usb3bl</x:v>
      </x:c>
      <x:c r="M779" s="35" t="str">
        <x:v>https://fr.pcpartpicker.com/product/KPw323/fractal-design-case-fdcacore1000usb3bl</x:v>
      </x:c>
    </x:row>
    <x:row r="780">
      <x:c r="A780" s="33" t="str">
        <x:v>case</x:v>
      </x:c>
      <x:c r="B780" s="34" t="str">
        <x:v>hf-case-356520</x:v>
      </x:c>
      <x:c r="C780" s="34" t="str">
        <x:v>Fractal Design Meshify 2 Compact TG Light Tint</x:v>
      </x:c>
      <x:c r="D780" s="34" t="str">
        <x:v>Fractal Design</x:v>
      </x:c>
      <x:c r="E780" s="82" t="n">
        <x:v>131.09</x:v>
      </x:c>
      <x:c r="F780" s="34" t="str">
        <x:v>USD</x:v>
      </x:c>
      <x:c r="G780" s="34" t="str">
        <x:v>reference</x:v>
      </x:c>
      <x:c r="H780" s="34" t="str">
        <x:v>2026-06-28</x:v>
      </x:c>
      <x:c r="I780" s="34" t="str">
        <x:v>supportedMotherboardFormFactors=ATX/Micro-ATX/Mini-ITX; maxGpuLengthMm=380; maxCoolerHeightMm=170; psuFormFactors=ATX/SFX</x:v>
      </x:c>
      <x:c r="J780" s="34" t="str">
        <x:v>ATX, Micro-ATX, Mini-ITX, dataset</x:v>
      </x:c>
      <x:c r="K780" s="34" t="str">
        <x:v>ATX enclosure with source-linked or conservative clearance data.</x:v>
      </x:c>
      <x:c r="L780" s="34" t="str">
        <x:v>https://fr.pcpartpicker.com/product/mgwypg/fractal-design-meshify-2-compact-tg-light-tint-atx-mid-tower-case-fd-c-mes2c-03</x:v>
      </x:c>
      <x:c r="M780" s="35" t="str">
        <x:v>https://fr.pcpartpicker.com/product/mgwypg/fractal-design-meshify-2-compact-tg-light-tint-atx-mid-tower-case-fd-c-mes2c-03</x:v>
      </x:c>
    </x:row>
    <x:row r="781">
      <x:c r="A781" s="33" t="str">
        <x:v>case</x:v>
      </x:c>
      <x:c r="B781" s="34" t="str">
        <x:v>hf-case-423824</x:v>
      </x:c>
      <x:c r="C781" s="34" t="str">
        <x:v>Fractal Design Pop Air RGB</x:v>
      </x:c>
      <x:c r="D781" s="34" t="str">
        <x:v>Fractal Design</x:v>
      </x:c>
      <x:c r="E781" s="82" t="n">
        <x:v>91.19</x:v>
      </x:c>
      <x:c r="F781" s="34" t="str">
        <x:v>USD</x:v>
      </x:c>
      <x:c r="G781" s="34" t="str">
        <x:v>reference</x:v>
      </x:c>
      <x:c r="H781" s="34" t="str">
        <x:v>2026-06-28</x:v>
      </x:c>
      <x:c r="I781" s="34" t="str">
        <x:v>supportedMotherboardFormFactors=ATX/Micro-ATX/Mini-ITX; maxGpuLengthMm=380; maxCoolerHeightMm=170; psuFormFactors=ATX/SFX</x:v>
      </x:c>
      <x:c r="J781" s="34" t="str">
        <x:v>ATX, Micro-ATX, Mini-ITX, dataset</x:v>
      </x:c>
      <x:c r="K781" s="34" t="str">
        <x:v>ATX enclosure with source-linked or conservative clearance data.</x:v>
      </x:c>
      <x:c r="L781" s="34" t="str">
        <x:v>https://fr.pcpartpicker.com/product/mpcG3C/fractal-design-pop-air-rgb-atx-mid-tower-case-fd-c-por1a-06</x:v>
      </x:c>
      <x:c r="M781" s="35" t="str">
        <x:v>https://fr.pcpartpicker.com/product/mpcG3C/fractal-design-pop-air-rgb-atx-mid-tower-case-fd-c-por1a-06</x:v>
      </x:c>
    </x:row>
    <x:row r="782">
      <x:c r="A782" s="33" t="str">
        <x:v>case</x:v>
      </x:c>
      <x:c r="B782" s="34" t="str">
        <x:v>hf-case-258894</x:v>
      </x:c>
      <x:c r="C782" s="34" t="str">
        <x:v>Corsair iCUE 465X RGB</x:v>
      </x:c>
      <x:c r="D782" s="34" t="str">
        <x:v>Corsair</x:v>
      </x:c>
      <x:c r="E782" s="82" t="n">
        <x:v>213.2</x:v>
      </x:c>
      <x:c r="F782" s="34" t="str">
        <x:v>USD</x:v>
      </x:c>
      <x:c r="G782" s="34" t="str">
        <x:v>reference</x:v>
      </x:c>
      <x:c r="H782" s="34" t="str">
        <x:v>2026-06-28</x:v>
      </x:c>
      <x:c r="I782" s="34" t="str">
        <x:v>supportedMotherboardFormFactors=ATX/Micro-ATX/Mini-ITX; maxGpuLengthMm=380; maxCoolerHeightMm=170; psuFormFactors=ATX/SFX</x:v>
      </x:c>
      <x:c r="J782" s="34" t="str">
        <x:v>ATX, Micro-ATX, Mini-ITX, dataset</x:v>
      </x:c>
      <x:c r="K782" s="34" t="str">
        <x:v>ATX enclosure with source-linked or conservative clearance data.</x:v>
      </x:c>
      <x:c r="L782" s="34" t="str">
        <x:v>https://fr.pcpartpicker.com/product/QTJmP6/corsair-icue-465x-rgb-atx-mid-tower-case-cc-9011189-ww</x:v>
      </x:c>
      <x:c r="M782" s="35" t="str">
        <x:v>https://fr.pcpartpicker.com/product/QTJmP6/corsair-icue-465x-rgb-atx-mid-tower-case-cc-9011189-ww</x:v>
      </x:c>
    </x:row>
    <x:row r="783">
      <x:c r="A783" s="33" t="str">
        <x:v>case</x:v>
      </x:c>
      <x:c r="B783" s="34" t="str">
        <x:v>hf-case-522451</x:v>
      </x:c>
      <x:c r="C783" s="34" t="str">
        <x:v>Antec C5 ARGB</x:v>
      </x:c>
      <x:c r="D783" s="34" t="str">
        <x:v>Antec</x:v>
      </x:c>
      <x:c r="E783" s="82" t="n">
        <x:v>131.09</x:v>
      </x:c>
      <x:c r="F783" s="34" t="str">
        <x:v>USD</x:v>
      </x:c>
      <x:c r="G783" s="34" t="str">
        <x:v>reference</x:v>
      </x:c>
      <x:c r="H783" s="34" t="str">
        <x:v>2026-06-28</x:v>
      </x:c>
      <x:c r="I783" s="34" t="str">
        <x:v>supportedMotherboardFormFactors=ATX/Micro-ATX/Mini-ITX; maxGpuLengthMm=380; maxCoolerHeightMm=170; psuFormFactors=ATX/SFX</x:v>
      </x:c>
      <x:c r="J783" s="34" t="str">
        <x:v>ATX, Micro-ATX, Mini-ITX, dataset</x:v>
      </x:c>
      <x:c r="K783" s="34" t="str">
        <x:v>ATX enclosure with source-linked or conservative clearance data.</x:v>
      </x:c>
      <x:c r="L783" s="34" t="str">
        <x:v>https://fr.pcpartpicker.com/product/MFNYcf/antec-c5-argb-atx-mid-tower-case-0-761345-10033-5</x:v>
      </x:c>
      <x:c r="M783" s="35" t="str">
        <x:v>https://fr.pcpartpicker.com/product/MFNYcf/antec-c5-argb-atx-mid-tower-case-0-761345-10033-5</x:v>
      </x:c>
    </x:row>
    <x:row r="784">
      <x:c r="A784" s="33" t="str">
        <x:v>case</x:v>
      </x:c>
      <x:c r="B784" s="34" t="str">
        <x:v>hf-case-30555</x:v>
      </x:c>
      <x:c r="C784" s="34" t="str">
        <x:v>Fractal Design Node 804</x:v>
      </x:c>
      <x:c r="D784" s="34" t="str">
        <x:v>Fractal Design</x:v>
      </x:c>
      <x:c r="E784" s="82" t="n">
        <x:v>113.39</x:v>
      </x:c>
      <x:c r="F784" s="34" t="str">
        <x:v>USD</x:v>
      </x:c>
      <x:c r="G784" s="34" t="str">
        <x:v>reference</x:v>
      </x:c>
      <x:c r="H784" s="34" t="str">
        <x:v>2026-06-28</x:v>
      </x:c>
      <x:c r="I784" s="34" t="str">
        <x:v>supportedMotherboardFormFactors=ATX/Micro-ATX/Mini-ITX; maxGpuLengthMm=380; maxCoolerHeightMm=170; psuFormFactors=ATX/SFX</x:v>
      </x:c>
      <x:c r="J784" s="34" t="str">
        <x:v>ATX, Micro-ATX, Mini-ITX, dataset</x:v>
      </x:c>
      <x:c r="K784" s="34" t="str">
        <x:v>ATX enclosure with source-linked or conservative clearance data.</x:v>
      </x:c>
      <x:c r="L784" s="34" t="str">
        <x:v>https://fr.pcpartpicker.com/product/yTdqqs/fractal-design-case-fdcanode804blw</x:v>
      </x:c>
      <x:c r="M784" s="35" t="str">
        <x:v>https://fr.pcpartpicker.com/product/yTdqqs/fractal-design-case-fdcanode804blw</x:v>
      </x:c>
    </x:row>
    <x:row r="785">
      <x:c r="A785" s="33" t="str">
        <x:v>case</x:v>
      </x:c>
      <x:c r="B785" s="34" t="str">
        <x:v>hf-case-417081</x:v>
      </x:c>
      <x:c r="C785" s="34" t="str">
        <x:v>NZXT H7 Flow (2022)</x:v>
      </x:c>
      <x:c r="D785" s="34" t="str">
        <x:v>NZXT</x:v>
      </x:c>
      <x:c r="E785" s="82" t="n">
        <x:v>185.36</x:v>
      </x:c>
      <x:c r="F785" s="34" t="str">
        <x:v>USD</x:v>
      </x:c>
      <x:c r="G785" s="34" t="str">
        <x:v>reference</x:v>
      </x:c>
      <x:c r="H785" s="34" t="str">
        <x:v>2026-06-28</x:v>
      </x:c>
      <x:c r="I785" s="34" t="str">
        <x:v>supportedMotherboardFormFactors=ATX/Micro-ATX/Mini-ITX; maxGpuLengthMm=380; maxCoolerHeightMm=170; psuFormFactors=ATX/SFX</x:v>
      </x:c>
      <x:c r="J785" s="34" t="str">
        <x:v>ATX, Micro-ATX, Mini-ITX, dataset</x:v>
      </x:c>
      <x:c r="K785" s="34" t="str">
        <x:v>ATX enclosure with source-linked or conservative clearance data.</x:v>
      </x:c>
      <x:c r="L785" s="34" t="str">
        <x:v>https://fr.pcpartpicker.com/product/c7jBD3/nzxt-h7-flow-atx-mid-tower-case-cm-h71fb-01</x:v>
      </x:c>
      <x:c r="M785" s="35" t="str">
        <x:v>https://fr.pcpartpicker.com/product/c7jBD3/nzxt-h7-flow-atx-mid-tower-case-cm-h71fb-01</x:v>
      </x:c>
    </x:row>
    <x:row r="786">
      <x:c r="A786" s="33" t="str">
        <x:v>case</x:v>
      </x:c>
      <x:c r="B786" s="34" t="str">
        <x:v>hf-case-548572</x:v>
      </x:c>
      <x:c r="C786" s="34" t="str">
        <x:v>Lian Li Lancool 207</x:v>
      </x:c>
      <x:c r="D786" s="34" t="str">
        <x:v>Lian Li</x:v>
      </x:c>
      <x:c r="E786" s="82" t="n">
        <x:v>90.75</x:v>
      </x:c>
      <x:c r="F786" s="34" t="str">
        <x:v>USD</x:v>
      </x:c>
      <x:c r="G786" s="34" t="str">
        <x:v>reference</x:v>
      </x:c>
      <x:c r="H786" s="34" t="str">
        <x:v>2026-06-28</x:v>
      </x:c>
      <x:c r="I786" s="34" t="str">
        <x:v>supportedMotherboardFormFactors=ATX/Micro-ATX/Mini-ITX; maxGpuLengthMm=380; maxCoolerHeightMm=170; psuFormFactors=ATX/SFX</x:v>
      </x:c>
      <x:c r="J786" s="34" t="str">
        <x:v>ATX, Micro-ATX, Mini-ITX, dataset</x:v>
      </x:c>
      <x:c r="K786" s="34" t="str">
        <x:v>ATX enclosure with source-linked or conservative clearance data.</x:v>
      </x:c>
      <x:c r="L786" s="34" t="str">
        <x:v>https://fr.pcpartpicker.com/product/zysV3C/lian-li-lancool-207-atx-mid-tower-case-lan207rx</x:v>
      </x:c>
      <x:c r="M786" s="35" t="str">
        <x:v>https://fr.pcpartpicker.com/product/zysV3C/lian-li-lancool-207-atx-mid-tower-case-lan207rx</x:v>
      </x:c>
    </x:row>
    <x:row r="787">
      <x:c r="A787" s="33" t="str">
        <x:v>case</x:v>
      </x:c>
      <x:c r="B787" s="34" t="str">
        <x:v>hf-case-443132</x:v>
      </x:c>
      <x:c r="C787" s="34" t="str">
        <x:v>Lian Li LANCOOL 216</x:v>
      </x:c>
      <x:c r="D787" s="34" t="str">
        <x:v>Lian Li</x:v>
      </x:c>
      <x:c r="E787" s="82" t="n">
        <x:v>83.23</x:v>
      </x:c>
      <x:c r="F787" s="34" t="str">
        <x:v>USD</x:v>
      </x:c>
      <x:c r="G787" s="34" t="str">
        <x:v>reference</x:v>
      </x:c>
      <x:c r="H787" s="34" t="str">
        <x:v>2026-06-28</x:v>
      </x:c>
      <x:c r="I787" s="34" t="str">
        <x:v>supportedMotherboardFormFactors=ATX/Micro-ATX/Mini-ITX; maxGpuLengthMm=380; maxCoolerHeightMm=170; psuFormFactors=ATX/SFX</x:v>
      </x:c>
      <x:c r="J787" s="34" t="str">
        <x:v>ATX, Micro-ATX, Mini-ITX, dataset</x:v>
      </x:c>
      <x:c r="K787" s="34" t="str">
        <x:v>ATX enclosure with source-linked or conservative clearance data.</x:v>
      </x:c>
      <x:c r="L787" s="34" t="str">
        <x:v>https://fr.pcpartpicker.com/product/qP2WGX/lian-li-lancool-216-atx-mid-tower-case-lancool-216x</x:v>
      </x:c>
      <x:c r="M787" s="35" t="str">
        <x:v>https://fr.pcpartpicker.com/product/qP2WGX/lian-li-lancool-216-atx-mid-tower-case-lancool-216x</x:v>
      </x:c>
    </x:row>
    <x:row r="788">
      <x:c r="A788" s="33" t="str">
        <x:v>case</x:v>
      </x:c>
      <x:c r="B788" s="34" t="str">
        <x:v>hf-case-549641</x:v>
      </x:c>
      <x:c r="C788" s="34" t="str">
        <x:v>Lian Li O11 VISION COMPACT</x:v>
      </x:c>
      <x:c r="D788" s="34" t="str">
        <x:v>Lian Li</x:v>
      </x:c>
      <x:c r="E788" s="82" t="n">
        <x:v>155.95</x:v>
      </x:c>
      <x:c r="F788" s="34" t="str">
        <x:v>USD</x:v>
      </x:c>
      <x:c r="G788" s="34" t="str">
        <x:v>reference</x:v>
      </x:c>
      <x:c r="H788" s="34" t="str">
        <x:v>2026-06-28</x:v>
      </x:c>
      <x:c r="I788" s="34" t="str">
        <x:v>supportedMotherboardFormFactors=ATX/Micro-ATX/Mini-ITX; maxGpuLengthMm=380; maxCoolerHeightMm=170; psuFormFactors=ATX/SFX</x:v>
      </x:c>
      <x:c r="J788" s="34" t="str">
        <x:v>ATX, Micro-ATX, Mini-ITX, dataset</x:v>
      </x:c>
      <x:c r="K788" s="34" t="str">
        <x:v>ATX enclosure with source-linked or conservative clearance data.</x:v>
      </x:c>
      <x:c r="L788" s="34" t="str">
        <x:v>https://fr.pcpartpicker.com/product/7qKscf/lian-li-o11-vision-compact-atx-mid-tower-case-o11vpw</x:v>
      </x:c>
      <x:c r="M788" s="35" t="str">
        <x:v>https://fr.pcpartpicker.com/product/7qKscf/lian-li-o11-vision-compact-atx-mid-tower-case-o11vpw</x:v>
      </x:c>
    </x:row>
    <x:row r="789">
      <x:c r="A789" s="33" t="str">
        <x:v>case</x:v>
      </x:c>
      <x:c r="B789" s="34" t="str">
        <x:v>hf-case-164696</x:v>
      </x:c>
      <x:c r="C789" s="34" t="str">
        <x:v>Thermaltake Versa H17</x:v>
      </x:c>
      <x:c r="D789" s="34" t="str">
        <x:v>Thermaltake</x:v>
      </x:c>
      <x:c r="E789" s="82" t="n">
        <x:v>92.99</x:v>
      </x:c>
      <x:c r="F789" s="34" t="str">
        <x:v>USD</x:v>
      </x:c>
      <x:c r="G789" s="34" t="str">
        <x:v>reference</x:v>
      </x:c>
      <x:c r="H789" s="34" t="str">
        <x:v>2026-06-28</x:v>
      </x:c>
      <x:c r="I789" s="34" t="str">
        <x:v>supportedMotherboardFormFactors=ATX/Micro-ATX/Mini-ITX; maxGpuLengthMm=380; maxCoolerHeightMm=170; psuFormFactors=ATX/SFX</x:v>
      </x:c>
      <x:c r="J789" s="34" t="str">
        <x:v>ATX, Micro-ATX, Mini-ITX, dataset</x:v>
      </x:c>
      <x:c r="K789" s="34" t="str">
        <x:v>ATX enclosure with source-linked or conservative clearance data.</x:v>
      </x:c>
      <x:c r="L789" s="34" t="str">
        <x:v>https://fr.pcpartpicker.com/product/JtWfrH/thermaltake-versa-h17-microatx-mini-tower-case-ca-1j1-00s1nn-00</x:v>
      </x:c>
      <x:c r="M789" s="35" t="str">
        <x:v>https://fr.pcpartpicker.com/product/JtWfrH/thermaltake-versa-h17-microatx-mini-tower-case-ca-1j1-00s1nn-00</x:v>
      </x:c>
    </x:row>
    <x:row r="790">
      <x:c r="A790" s="33" t="str">
        <x:v>case</x:v>
      </x:c>
      <x:c r="B790" s="34" t="str">
        <x:v>hf-case-505031</x:v>
      </x:c>
      <x:c r="C790" s="34" t="str">
        <x:v>Lian Li O11D EVO RGB</x:v>
      </x:c>
      <x:c r="D790" s="34" t="str">
        <x:v>Lian Li</x:v>
      </x:c>
      <x:c r="E790" s="82" t="n">
        <x:v>172.43</x:v>
      </x:c>
      <x:c r="F790" s="34" t="str">
        <x:v>USD</x:v>
      </x:c>
      <x:c r="G790" s="34" t="str">
        <x:v>reference</x:v>
      </x:c>
      <x:c r="H790" s="34" t="str">
        <x:v>2026-06-28</x:v>
      </x:c>
      <x:c r="I790" s="34" t="str">
        <x:v>supportedMotherboardFormFactors=ATX/Micro-ATX/Mini-ITX; maxGpuLengthMm=380; maxCoolerHeightMm=170; psuFormFactors=ATX/SFX</x:v>
      </x:c>
      <x:c r="J790" s="34" t="str">
        <x:v>ATX, Micro-ATX, Mini-ITX, dataset</x:v>
      </x:c>
      <x:c r="K790" s="34" t="str">
        <x:v>ATX enclosure with source-linked or conservative clearance data.</x:v>
      </x:c>
      <x:c r="L790" s="34" t="str">
        <x:v>https://fr.pcpartpicker.com/product/qrXV3C/lian-li-o11d-evo-rgb-atx-mid-tower-case-o11dergbx</x:v>
      </x:c>
      <x:c r="M790" s="35" t="str">
        <x:v>https://fr.pcpartpicker.com/product/qrXV3C/lian-li-o11d-evo-rgb-atx-mid-tower-case-o11dergbx</x:v>
      </x:c>
    </x:row>
    <x:row r="791">
      <x:c r="A791" s="33" t="str">
        <x:v>case</x:v>
      </x:c>
      <x:c r="B791" s="34" t="str">
        <x:v>ca-newegg-case-fractal-design-north-atx-matx-mid-tower-pc-case-north-charcoal-black-w</x:v>
      </x:c>
      <x:c r="C791" s="34" t="str">
        <x:v>Fractal Design North ATX mATX Mid Tower PC Case - North Charcoal Black with Walnut Front and Dark Tinted TG Side Panel</x:v>
      </x:c>
      <x:c r="D791" s="34" t="str">
        <x:v>Fractal Design</x:v>
      </x:c>
      <x:c r="E791" s="82" t="n">
        <x:v>155.11</x:v>
      </x:c>
      <x:c r="F791" s="34" t="str">
        <x:v>USD</x:v>
      </x:c>
      <x:c r="G791" s="34" t="str">
        <x:v>retail</x:v>
      </x:c>
      <x:c r="H791" s="34" t="str">
        <x:v>2026-06-29</x:v>
      </x:c>
      <x:c r="I791" s="34" t="str">
        <x:v>supportedMotherboardFormFactors=ATX/Micro-ATX/Mini-ITX; maxGpuLengthMm=355; maxCoolerHeightMm=170; psuFormFactors=ATX/SFX</x:v>
      </x:c>
      <x:c r="J791" s="34" t="str">
        <x:v>ATX, Micro-ATX, Mini-ITX, ca-retail, black</x:v>
      </x:c>
      <x:c r="K791" s="34" t="str">
        <x:v>ATX enclosure from CA retailer; clearance values are conservative when source omits them.</x:v>
      </x:c>
      <x:c r="L791" s="34" t="str">
        <x:v>https://www.newegg.ca/p/11-352-204</x:v>
      </x:c>
      <x:c r="M791" s="35" t="str">
        <x:v>https://www.newegg.ca/p/11-352-204</x:v>
      </x:c>
    </x:row>
    <x:row r="792">
      <x:c r="A792" s="33" t="str">
        <x:v>case</x:v>
      </x:c>
      <x:c r="B792" s="34" t="str">
        <x:v>ca-newegg-case-fractal-design-north-atx-matx-mid-tower-pc-case-charcoal-black-chassis</x:v>
      </x:c>
      <x:c r="C792" s="34" t="str">
        <x:v>Fractal Design North ATX mATX Mid Tower PC Case - Charcoal Black Chassis with Walnut Front and Mesh Side Panel</x:v>
      </x:c>
      <x:c r="D792" s="34" t="str">
        <x:v>Fractal Design</x:v>
      </x:c>
      <x:c r="E792" s="82" t="n">
        <x:v>199.59</x:v>
      </x:c>
      <x:c r="F792" s="34" t="str">
        <x:v>USD</x:v>
      </x:c>
      <x:c r="G792" s="34" t="str">
        <x:v>retail</x:v>
      </x:c>
      <x:c r="H792" s="34" t="str">
        <x:v>2026-06-29</x:v>
      </x:c>
      <x:c r="I792" s="34" t="str">
        <x:v>supportedMotherboardFormFactors=ATX/Micro-ATX/Mini-ITX; maxGpuLengthMm=355; maxCoolerHeightMm=170; psuFormFactors=ATX/SFX</x:v>
      </x:c>
      <x:c r="J792" s="34" t="str">
        <x:v>ATX, Micro-ATX, Mini-ITX, ca-retail, black, airflow</x:v>
      </x:c>
      <x:c r="K792" s="34" t="str">
        <x:v>ATX enclosure from CA retailer; clearance values are conservative when source omits them.</x:v>
      </x:c>
      <x:c r="L792" s="34" t="str">
        <x:v>https://www.newegg.ca/p/9SIADGEJWT8522</x:v>
      </x:c>
      <x:c r="M792" s="35" t="str">
        <x:v>https://www.newegg.ca/p/9SIADGEJWT8522</x:v>
      </x:c>
    </x:row>
    <x:row r="793">
      <x:c r="A793" s="33" t="str">
        <x:v>case</x:v>
      </x:c>
      <x:c r="B793" s="34" t="str">
        <x:v>ca-newegg-case-pccooler-cps-c3-t700-pc-case-dual-chamber-mid-tower-atx-case-high-airf</x:v>
      </x:c>
      <x:c r="C793" s="34" t="str">
        <x:v>PCCOOLER CPS C3 T700 PC Case, Dual-Chamber Mid-Tower ATX Case, High-Airflow Computer Case, BTF Motherboard Supports, Sturdy Tempered Glass Front &amp; Side Panels, Black (Fans Not Included)</x:v>
      </x:c>
      <x:c r="D793" s="34" t="str">
        <x:v>PCCOOLER</x:v>
      </x:c>
      <x:c r="E793" s="82" t="n">
        <x:v>73.71</x:v>
      </x:c>
      <x:c r="F793" s="34" t="str">
        <x:v>USD</x:v>
      </x:c>
      <x:c r="G793" s="34" t="str">
        <x:v>retail</x:v>
      </x:c>
      <x:c r="H793" s="34" t="str">
        <x:v>2026-06-29</x:v>
      </x:c>
      <x:c r="I793" s="34" t="str">
        <x:v>supportedMotherboardFormFactors=ATX/Micro-ATX/Mini-ITX; maxGpuLengthMm=380; maxCoolerHeightMm=170; psuFormFactors=ATX/SFX</x:v>
      </x:c>
      <x:c r="J793" s="34" t="str">
        <x:v>ATX, Micro-ATX, Mini-ITX, ca-retail, black, airflow, panoramic</x:v>
      </x:c>
      <x:c r="K793" s="34" t="str">
        <x:v>ATX enclosure from CA retailer; clearance values are conservative when source omits them.</x:v>
      </x:c>
      <x:c r="L793" s="34" t="str">
        <x:v>https://www.newegg.ca/p/9SIBYC4KME7904</x:v>
      </x:c>
      <x:c r="M793" s="35" t="str">
        <x:v>https://www.newegg.ca/p/9SIBYC4KME7904</x:v>
      </x:c>
    </x:row>
    <x:row r="794">
      <x:c r="A794" s="33" t="str">
        <x:v>case</x:v>
      </x:c>
      <x:c r="B794" s="34" t="str">
        <x:v>ca-newegg-case-fractal-design-north-xl-atx-matx-full-tower-pc-case-charcoal-black-cha</x:v>
      </x:c>
      <x:c r="C794" s="34" t="str">
        <x:v>Fractal Design North XL ATX mATX Full Tower PC Case - Charcoal Black Chassis with Walnut Front and Dark Tinted TG Side Panel - FD-C-NOR1X-02</x:v>
      </x:c>
      <x:c r="D794" s="34" t="str">
        <x:v>Fractal Design</x:v>
      </x:c>
      <x:c r="E794" s="82" t="n">
        <x:v>183.31</x:v>
      </x:c>
      <x:c r="F794" s="34" t="str">
        <x:v>USD</x:v>
      </x:c>
      <x:c r="G794" s="34" t="str">
        <x:v>retail</x:v>
      </x:c>
      <x:c r="H794" s="34" t="str">
        <x:v>2026-06-29</x:v>
      </x:c>
      <x:c r="I794" s="34" t="str">
        <x:v>supportedMotherboardFormFactors=ATX/Micro-ATX/Mini-ITX; maxGpuLengthMm=413; maxCoolerHeightMm=170; psuFormFactors=ATX/SFX</x:v>
      </x:c>
      <x:c r="J794" s="34" t="str">
        <x:v>ATX, Micro-ATX, Mini-ITX, ca-retail, black, airflow</x:v>
      </x:c>
      <x:c r="K794" s="34" t="str">
        <x:v>ATX enclosure from CA retailer; clearance values are conservative when source omits them.</x:v>
      </x:c>
      <x:c r="L794" s="34" t="str">
        <x:v>https://www.newegg.ca/p/11-352-216</x:v>
      </x:c>
      <x:c r="M794" s="35" t="str">
        <x:v>https://www.newegg.ca/p/11-352-216</x:v>
      </x:c>
    </x:row>
    <x:row r="795">
      <x:c r="A795" s="33" t="str">
        <x:v>case</x:v>
      </x:c>
      <x:c r="B795" s="34" t="str">
        <x:v>ca-newegg-case-fractal-design-north-atx-matx-mid-tower-pc-case-north-chalk-white-with</x:v>
      </x:c>
      <x:c r="C795" s="34" t="str">
        <x:v>Fractal Design North ATX mATX Mid Tower PC Case - North Chalk White with Oak Front and Clear TG Side Panel</x:v>
      </x:c>
      <x:c r="D795" s="34" t="str">
        <x:v>Fractal Design</x:v>
      </x:c>
      <x:c r="E795" s="82" t="n">
        <x:v>133.96</x:v>
      </x:c>
      <x:c r="F795" s="34" t="str">
        <x:v>USD</x:v>
      </x:c>
      <x:c r="G795" s="34" t="str">
        <x:v>retail</x:v>
      </x:c>
      <x:c r="H795" s="34" t="str">
        <x:v>2026-06-29</x:v>
      </x:c>
      <x:c r="I795" s="34" t="str">
        <x:v>supportedMotherboardFormFactors=ATX/Micro-ATX/Mini-ITX; maxGpuLengthMm=355; maxCoolerHeightMm=170; psuFormFactors=ATX/SFX</x:v>
      </x:c>
      <x:c r="J795" s="34" t="str">
        <x:v>ATX, Micro-ATX, Mini-ITX, ca-retail, white</x:v>
      </x:c>
      <x:c r="K795" s="34" t="str">
        <x:v>ATX enclosure from CA retailer; clearance values are conservative when source omits them.</x:v>
      </x:c>
      <x:c r="L795" s="34" t="str">
        <x:v>https://www.newegg.ca/p/9SIA9H5JVT0385</x:v>
      </x:c>
      <x:c r="M795" s="35" t="str">
        <x:v>https://www.newegg.ca/p/11-352-206R</x:v>
      </x:c>
    </x:row>
    <x:row r="796">
      <x:c r="A796" s="33" t="str">
        <x:v>case</x:v>
      </x:c>
      <x:c r="B796" s="34" t="str">
        <x:v>ca-newegg-case-fractal-design-north-xl-atx-matx-mid-tower-pc-case-chalk-white-chassis</x:v>
      </x:c>
      <x:c r="C796" s="34" t="str">
        <x:v>Fractal Design North XL ATX mATX Mid Tower PC Case - Chalk White Chassis with Oak Front and Clear TG Side Panel - FD-C-NOR1X-04</x:v>
      </x:c>
      <x:c r="D796" s="34" t="str">
        <x:v>Fractal Design</x:v>
      </x:c>
      <x:c r="E796" s="82" t="n">
        <x:v>250.3</x:v>
      </x:c>
      <x:c r="F796" s="34" t="str">
        <x:v>USD</x:v>
      </x:c>
      <x:c r="G796" s="34" t="str">
        <x:v>retail</x:v>
      </x:c>
      <x:c r="H796" s="34" t="str">
        <x:v>2026-06-29</x:v>
      </x:c>
      <x:c r="I796" s="34" t="str">
        <x:v>supportedMotherboardFormFactors=ATX/Micro-ATX/Mini-ITX; maxGpuLengthMm=413; maxCoolerHeightMm=170; psuFormFactors=ATX/SFX</x:v>
      </x:c>
      <x:c r="J796" s="34" t="str">
        <x:v>ATX, Micro-ATX, Mini-ITX, ca-retail, white, airflow</x:v>
      </x:c>
      <x:c r="K796" s="34" t="str">
        <x:v>ATX enclosure from CA retailer; clearance values are conservative when source omits them.</x:v>
      </x:c>
      <x:c r="L796" s="34" t="str">
        <x:v>https://www.newegg.ca/p/11-352-218</x:v>
      </x:c>
      <x:c r="M796" s="35" t="str">
        <x:v>https://www.newegg.ca/p/11-352-218</x:v>
      </x:c>
    </x:row>
    <x:row r="797">
      <x:c r="A797" s="33" t="str">
        <x:v>case</x:v>
      </x:c>
      <x:c r="B797" s="34" t="str">
        <x:v>ca-newegg-case-fractal-design-north-xl-atx-matx-mid-tower-pc-case-charcoal-black-chas</x:v>
      </x:c>
      <x:c r="C797" s="34" t="str">
        <x:v>Fractal Design North XL ATX mATX Mid Tower PC Case - Charcoal Black Chassis with Walnut Front and Mesh Side Panel - FD-C-NOR1X-01</x:v>
      </x:c>
      <x:c r="D797" s="34" t="str">
        <x:v>Fractal Design</x:v>
      </x:c>
      <x:c r="E797" s="82" t="n">
        <x:v>197.42</x:v>
      </x:c>
      <x:c r="F797" s="34" t="str">
        <x:v>USD</x:v>
      </x:c>
      <x:c r="G797" s="34" t="str">
        <x:v>retail</x:v>
      </x:c>
      <x:c r="H797" s="34" t="str">
        <x:v>2026-06-29</x:v>
      </x:c>
      <x:c r="I797" s="34" t="str">
        <x:v>supportedMotherboardFormFactors=ATX/Micro-ATX/Mini-ITX; maxGpuLengthMm=413; maxCoolerHeightMm=170; psuFormFactors=ATX/SFX</x:v>
      </x:c>
      <x:c r="J797" s="34" t="str">
        <x:v>ATX, Micro-ATX, Mini-ITX, ca-retail, black, airflow</x:v>
      </x:c>
      <x:c r="K797" s="34" t="str">
        <x:v>ATX enclosure from CA retailer; clearance values are conservative when source omits them.</x:v>
      </x:c>
      <x:c r="L797" s="34" t="str">
        <x:v>https://www.newegg.ca/p/11-352-215</x:v>
      </x:c>
      <x:c r="M797" s="35" t="str">
        <x:v>https://www.newegg.ca/p/11-352-215</x:v>
      </x:c>
    </x:row>
    <x:row r="798">
      <x:c r="A798" s="33" t="str">
        <x:v>case</x:v>
      </x:c>
      <x:c r="B798" s="34" t="str">
        <x:v>ca-newegg-case-fractal-design-north-atx-matx-mid-tower-pc-case-chalk-white-chassis-wi</x:v>
      </x:c>
      <x:c r="C798" s="34" t="str">
        <x:v>Fractal Design North ATX mATX Mid Tower PC Case - Chalk White Chassis with Oak Front and Mesh Side Panel</x:v>
      </x:c>
      <x:c r="D798" s="34" t="str">
        <x:v>Fractal Design</x:v>
      </x:c>
      <x:c r="E798" s="82" t="n">
        <x:v>155.11</x:v>
      </x:c>
      <x:c r="F798" s="34" t="str">
        <x:v>USD</x:v>
      </x:c>
      <x:c r="G798" s="34" t="str">
        <x:v>retail</x:v>
      </x:c>
      <x:c r="H798" s="34" t="str">
        <x:v>2026-06-29</x:v>
      </x:c>
      <x:c r="I798" s="34" t="str">
        <x:v>supportedMotherboardFormFactors=ATX/Micro-ATX/Mini-ITX; maxGpuLengthMm=355; maxCoolerHeightMm=170; psuFormFactors=ATX/SFX</x:v>
      </x:c>
      <x:c r="J798" s="34" t="str">
        <x:v>ATX, Micro-ATX, Mini-ITX, ca-retail, white, airflow</x:v>
      </x:c>
      <x:c r="K798" s="34" t="str">
        <x:v>ATX enclosure from CA retailer; clearance values are conservative when source omits them.</x:v>
      </x:c>
      <x:c r="L798" s="34" t="str">
        <x:v>https://www.newegg.ca/p/11-352-205</x:v>
      </x:c>
      <x:c r="M798" s="35" t="str">
        <x:v>https://www.newegg.ca/p/11-352-205</x:v>
      </x:c>
    </x:row>
    <x:row r="799">
      <x:c r="A799" s="33" t="str">
        <x:v>case</x:v>
      </x:c>
      <x:c r="B799" s="34" t="str">
        <x:v>ca-newegg-case-jonsbo-c6-black-matx-mesh-case-simple-compact-desktop-micro-atx-chassi</x:v>
      </x:c>
      <x:c r="C799" s="34" t="str">
        <x:v>JONSBO C6 BLACK MATX Mesh Case,Simple Compact Desktop Micro ATX Chassis,1+2 Disk Bays Steel Plate Case, ATX Power Bite (L185mm Max.),Support 75mm CPU Cooler,Upper Cover/Side Panel Tool-free Open,Black</x:v>
      </x:c>
      <x:c r="D799" s="34" t="str">
        <x:v>JONSBO</x:v>
      </x:c>
      <x:c r="E799" s="82" t="n">
        <x:v>53.59</x:v>
      </x:c>
      <x:c r="F799" s="34" t="str">
        <x:v>USD</x:v>
      </x:c>
      <x:c r="G799" s="34" t="str">
        <x:v>retail</x:v>
      </x:c>
      <x:c r="H799" s="34" t="str">
        <x:v>2026-06-29</x:v>
      </x:c>
      <x:c r="I799" s="34" t="str">
        <x:v>supportedMotherboardFormFactors=ATX/Micro-ATX/Mini-ITX; maxGpuLengthMm=380; maxCoolerHeightMm=75; psuFormFactors=ATX/SFX</x:v>
      </x:c>
      <x:c r="J799" s="34" t="str">
        <x:v>ATX, Micro-ATX, Mini-ITX, ca-retail, black, airflow</x:v>
      </x:c>
      <x:c r="K799" s="34" t="str">
        <x:v>ATX enclosure from CA retailer; clearance values are conservative when source omits them.</x:v>
      </x:c>
      <x:c r="L799" s="34" t="str">
        <x:v>https://www.newegg.ca/p/9SIAY3TKEP2693</x:v>
      </x:c>
      <x:c r="M799" s="35" t="str">
        <x:v>https://www.newegg.ca/p/9SIAY3TKEP2693</x:v>
      </x:c>
    </x:row>
    <x:row r="800">
      <x:c r="A800" s="33" t="str">
        <x:v>case</x:v>
      </x:c>
      <x:c r="B800" s="34" t="str">
        <x:v>ca-newegg-case-fractal-design-north-xl-atx-matx-mid-tower-pc-case-chalk-white-chassis-1</x:v>
      </x:c>
      <x:c r="C800" s="34" t="str">
        <x:v>Fractal Design North XL ATX mATX Mid Tower PC Case - Chalk White Chassis with Oak Front and Mesh Side Panel - FD-C-NOR1X-03</x:v>
      </x:c>
      <x:c r="D800" s="34" t="str">
        <x:v>Fractal Design</x:v>
      </x:c>
      <x:c r="E800" s="82" t="n">
        <x:v>160.75</x:v>
      </x:c>
      <x:c r="F800" s="34" t="str">
        <x:v>USD</x:v>
      </x:c>
      <x:c r="G800" s="34" t="str">
        <x:v>retail</x:v>
      </x:c>
      <x:c r="H800" s="34" t="str">
        <x:v>2026-06-29</x:v>
      </x:c>
      <x:c r="I800" s="34" t="str">
        <x:v>supportedMotherboardFormFactors=ATX/Micro-ATX/Mini-ITX; maxGpuLengthMm=413; maxCoolerHeightMm=170; psuFormFactors=ATX/SFX</x:v>
      </x:c>
      <x:c r="J800" s="34" t="str">
        <x:v>ATX, Micro-ATX, Mini-ITX, ca-retail, white, airflow</x:v>
      </x:c>
      <x:c r="K800" s="34" t="str">
        <x:v>ATX enclosure from CA retailer; clearance values are conservative when source omits them.</x:v>
      </x:c>
      <x:c r="L800" s="34" t="str">
        <x:v>https://www.newegg.ca/p/11-352-217</x:v>
      </x:c>
      <x:c r="M800" s="35" t="str">
        <x:v>https://www.newegg.ca/p/11-352-217R</x:v>
      </x:c>
    </x:row>
    <x:row r="801">
      <x:c r="A801" s="33" t="str">
        <x:v>case</x:v>
      </x:c>
      <x:c r="B801" s="34" t="str">
        <x:v>ca-newegg-case-fractal-design-north-momentum-edition-black-three-powerful-120mm-momen</x:v>
      </x:c>
      <x:c r="C801" s="34" t="str">
        <x:v>Fractal Design North Momentum Edition Black - Three powerful 120mm Momentum Fans Included - Genuine Blackened Oak Wood Front - Glass Side Panel - Type C USB - ATX Airflow Mid Tower PC Gaming Case</x:v>
      </x:c>
      <x:c r="D801" s="34" t="str">
        <x:v>Fractal Design</x:v>
      </x:c>
      <x:c r="E801" s="82" t="n">
        <x:v>234.08</x:v>
      </x:c>
      <x:c r="F801" s="34" t="str">
        <x:v>USD</x:v>
      </x:c>
      <x:c r="G801" s="34" t="str">
        <x:v>retail</x:v>
      </x:c>
      <x:c r="H801" s="34" t="str">
        <x:v>2026-06-29</x:v>
      </x:c>
      <x:c r="I801" s="34" t="str">
        <x:v>supportedMotherboardFormFactors=ATX/Micro-ATX/Mini-ITX; maxGpuLengthMm=355; maxCoolerHeightMm=170; psuFormFactors=ATX/SFX</x:v>
      </x:c>
      <x:c r="J801" s="34" t="str">
        <x:v>ATX, Micro-ATX, Mini-ITX, ca-retail, black, sff, airflow</x:v>
      </x:c>
      <x:c r="K801" s="34" t="str">
        <x:v>ATX enclosure from CA retailer; clearance values are conservative when source omits them.</x:v>
      </x:c>
      <x:c r="L801" s="34" t="str">
        <x:v>https://www.newegg.ca/p/11-352-254</x:v>
      </x:c>
      <x:c r="M801" s="35" t="str">
        <x:v>https://www.newegg.ca/p/11-352-254</x:v>
      </x:c>
    </x:row>
    <x:row r="802">
      <x:c r="A802" s="33" t="str">
        <x:v>case</x:v>
      </x:c>
      <x:c r="B802" s="34" t="str">
        <x:v>ca-newegg-case-jonsbo-tk-0-separated-cabinet-itx-case-mini-tower-270-dual-curved-glas</x:v>
      </x:c>
      <x:c r="C802" s="34" t="str">
        <x:v>JONSBO TK-0 Separated Cabinet ITX Case Mini Tower,270° Dual-Curved Glass, Al/Solid Walnut Wood, Compact Desktop Case SP GPU 230mm,Separate Air Intake for PSU, Multi Vents Cooling,4 Fan Position,Black</x:v>
      </x:c>
      <x:c r="D802" s="34" t="str">
        <x:v>JONSBO</x:v>
      </x:c>
      <x:c r="E802" s="82" t="n">
        <x:v>118.46</x:v>
      </x:c>
      <x:c r="F802" s="34" t="str">
        <x:v>USD</x:v>
      </x:c>
      <x:c r="G802" s="34" t="str">
        <x:v>retail</x:v>
      </x:c>
      <x:c r="H802" s="34" t="str">
        <x:v>2026-06-29</x:v>
      </x:c>
      <x:c r="I802" s="34" t="str">
        <x:v>supportedMotherboardFormFactors=ATX/Micro-ATX/Mini-ITX; maxGpuLengthMm=380; maxCoolerHeightMm=137; psuFormFactors=ATX/SFX</x:v>
      </x:c>
      <x:c r="J802" s="34" t="str">
        <x:v>ATX, Micro-ATX, Mini-ITX, ca-retail, black, airflow</x:v>
      </x:c>
      <x:c r="K802" s="34" t="str">
        <x:v>ATX enclosure from CA retailer; clearance values are conservative when source omits them.</x:v>
      </x:c>
      <x:c r="L802" s="34" t="str">
        <x:v>https://www.newegg.ca/p/9SIAY3TKCK4731</x:v>
      </x:c>
      <x:c r="M802" s="35" t="str">
        <x:v>https://www.newegg.ca/p/9SIAY3TKCK4731</x:v>
      </x:c>
    </x:row>
    <x:row r="803">
      <x:c r="A803" s="33" t="str">
        <x:v>case</x:v>
      </x:c>
      <x:c r="B803" s="34" t="str">
        <x:v>ca-newegg-case-jonsplus-z20-black-micro-atx-computer-case-with-detachable-carrying-ha</x:v>
      </x:c>
      <x:c r="C803" s="34" t="str">
        <x:v>JONSPLUS Z20 BLACK Micro-ATX Computer Case,with Detachable Carrying handle , Mini Size, High-performance Hardware Compatible, Support 240AIO, H160mm Cooler, Black</x:v>
      </x:c>
      <x:c r="D803" s="34" t="str">
        <x:v>JONSPLUS</x:v>
      </x:c>
      <x:c r="E803" s="82" t="n">
        <x:v>88.84</x:v>
      </x:c>
      <x:c r="F803" s="34" t="str">
        <x:v>USD</x:v>
      </x:c>
      <x:c r="G803" s="34" t="str">
        <x:v>retail</x:v>
      </x:c>
      <x:c r="H803" s="34" t="str">
        <x:v>2026-06-29</x:v>
      </x:c>
      <x:c r="I803" s="34" t="str">
        <x:v>supportedMotherboardFormFactors=ATX/Micro-ATX/Mini-ITX; maxGpuLengthMm=380; maxCoolerHeightMm=164; psuFormFactors=ATX/SFX</x:v>
      </x:c>
      <x:c r="J803" s="34" t="str">
        <x:v>ATX, Micro-ATX, Mini-ITX, ca-retail, black, sff</x:v>
      </x:c>
      <x:c r="K803" s="34" t="str">
        <x:v>ATX enclosure from CA retailer; clearance values are conservative when source omits them.</x:v>
      </x:c>
      <x:c r="L803" s="34" t="str">
        <x:v>https://www.newegg.ca/p/9SIAY3TKK28373</x:v>
      </x:c>
      <x:c r="M803" s="35" t="str">
        <x:v>https://www.newegg.ca/p/9SIAY3TKK28373</x:v>
      </x:c>
    </x:row>
    <x:row r="804">
      <x:c r="A804" s="33" t="str">
        <x:v>case</x:v>
      </x:c>
      <x:c r="B804" s="34" t="str">
        <x:v>ca-newegg-case-jonsbo-n10-black-mini-itx-pc-case-aluminum-alloy-with-walnut-trim-desk</x:v>
      </x:c>
      <x:c r="C804" s="34" t="str">
        <x:v>JONSBO N10 BLACK MINI ITX PC Case, Aluminum Alloy with Walnut Trim Desktop Case, Standing or Lying , Compatible with 1U Flex PSU,Compact &amp; Portable 4.5L SFF Case, With 2Fans,4x2.5"SSD, Black</x:v>
      </x:c>
      <x:c r="D804" s="34" t="str">
        <x:v>JONSBO</x:v>
      </x:c>
      <x:c r="E804" s="82" t="n">
        <x:v>62.05</x:v>
      </x:c>
      <x:c r="F804" s="34" t="str">
        <x:v>USD</x:v>
      </x:c>
      <x:c r="G804" s="34" t="str">
        <x:v>retail</x:v>
      </x:c>
      <x:c r="H804" s="34" t="str">
        <x:v>2026-06-29</x:v>
      </x:c>
      <x:c r="I804" s="34" t="str">
        <x:v>supportedMotherboardFormFactors=Mini-ITX; maxGpuLengthMm=320; maxCoolerHeightMm=38; psuFormFactors=SFX</x:v>
      </x:c>
      <x:c r="J804" s="34" t="str">
        <x:v>Mini-ITX, ca-retail, black, sff, airflow</x:v>
      </x:c>
      <x:c r="K804" s="34" t="str">
        <x:v>SFF enclosure from CA retailer; clearance values are conservative when source omits them.</x:v>
      </x:c>
      <x:c r="L804" s="34" t="str">
        <x:v>https://www.newegg.ca/p/9SIAY3TKK28351</x:v>
      </x:c>
      <x:c r="M804" s="35" t="str">
        <x:v>https://www.newegg.ca/p/9SIAY3TKK28351</x:v>
      </x:c>
    </x:row>
    <x:row r="805">
      <x:c r="A805" s="33" t="str">
        <x:v>case</x:v>
      </x:c>
      <x:c r="B805" s="34" t="str">
        <x:v>ca-newegg-case-jonsbo-d32-pro-micro-atx-pc-case-high-compatibility-mini-desktop-case-</x:v>
      </x:c>
      <x:c r="C805" s="34" t="str">
        <x:v>JONSBO D32 PRO Micro-ATX PC Case,High Compatibility Mini Desktop Case,A/B Mode for MB, Support MATX Back-Connect/BTF MB,365mm GPU/240AIO/163mm Air Cooler,ATX/SFX-L/SFX PSU, USB3.2 PC Gaming Case,Black</x:v>
      </x:c>
      <x:c r="D805" s="34" t="str">
        <x:v>JONSBO</x:v>
      </x:c>
      <x:c r="E805" s="82" t="n">
        <x:v>66.99</x:v>
      </x:c>
      <x:c r="F805" s="34" t="str">
        <x:v>USD</x:v>
      </x:c>
      <x:c r="G805" s="34" t="str">
        <x:v>retail</x:v>
      </x:c>
      <x:c r="H805" s="34" t="str">
        <x:v>2026-06-29</x:v>
      </x:c>
      <x:c r="I805" s="34" t="str">
        <x:v>supportedMotherboardFormFactors=ATX/Micro-ATX/Mini-ITX; maxGpuLengthMm=380; maxCoolerHeightMm=164; psuFormFactors=ATX/SFX</x:v>
      </x:c>
      <x:c r="J805" s="34" t="str">
        <x:v>ATX, Micro-ATX, Mini-ITX, ca-retail, black, sff</x:v>
      </x:c>
      <x:c r="K805" s="34" t="str">
        <x:v>ATX enclosure from CA retailer; clearance values are conservative when source omits them.</x:v>
      </x:c>
      <x:c r="L805" s="34" t="str">
        <x:v>https://www.newegg.ca/p/9SIAY3TKK28353</x:v>
      </x:c>
      <x:c r="M805" s="35" t="str">
        <x:v>https://www.newegg.ca/p/9SIAY3TKK28353</x:v>
      </x:c>
    </x:row>
    <x:row r="806">
      <x:c r="A806" s="33" t="str">
        <x:v>case</x:v>
      </x:c>
      <x:c r="B806" s="34" t="str">
        <x:v>ca-newegg-case-fractal-design-terra-jade-mini-itx-small-form-factor-pc-case-with-pcie</x:v>
      </x:c>
      <x:c r="C806" s="34" t="str">
        <x:v>Fractal Design Terra Jade Mini-ITX Small Form Factor PC Case with PCIe 4.0 Riser</x:v>
      </x:c>
      <x:c r="D806" s="34" t="str">
        <x:v>Fractal Design</x:v>
      </x:c>
      <x:c r="E806" s="82" t="n">
        <x:v>218.57</x:v>
      </x:c>
      <x:c r="F806" s="34" t="str">
        <x:v>USD</x:v>
      </x:c>
      <x:c r="G806" s="34" t="str">
        <x:v>retail</x:v>
      </x:c>
      <x:c r="H806" s="34" t="str">
        <x:v>2026-06-29</x:v>
      </x:c>
      <x:c r="I806" s="34" t="str">
        <x:v>supportedMotherboardFormFactors=Mini-ITX; maxGpuLengthMm=322; maxCoolerHeightMm=75; psuFormFactors=SFX</x:v>
      </x:c>
      <x:c r="J806" s="34" t="str">
        <x:v>Mini-ITX, ca-retail, sff</x:v>
      </x:c>
      <x:c r="K806" s="34" t="str">
        <x:v>SFF enclosure from CA retailer; clearance values are conservative when source omits them.</x:v>
      </x:c>
      <x:c r="L806" s="34" t="str">
        <x:v>https://www.newegg.ca/p/11-352-214</x:v>
      </x:c>
      <x:c r="M806" s="35" t="str">
        <x:v>https://www.newegg.ca/p/11-352-214</x:v>
      </x:c>
    </x:row>
    <x:row r="807">
      <x:c r="A807" s="33" t="str">
        <x:v>case</x:v>
      </x:c>
      <x:c r="B807" s="34" t="str">
        <x:v>ca-newegg-case-fractal-design-terra-silver-mini-itx-small-form-factor-pc-case-with-pc</x:v>
      </x:c>
      <x:c r="C807" s="34" t="str">
        <x:v>Fractal Design Terra Silver Mini-ITX Small Form Factor PC Case with PCIe 4.0 Riser</x:v>
      </x:c>
      <x:c r="D807" s="34" t="str">
        <x:v>Fractal Design</x:v>
      </x:c>
      <x:c r="E807" s="82" t="n">
        <x:v>192.48</x:v>
      </x:c>
      <x:c r="F807" s="34" t="str">
        <x:v>USD</x:v>
      </x:c>
      <x:c r="G807" s="34" t="str">
        <x:v>retail</x:v>
      </x:c>
      <x:c r="H807" s="34" t="str">
        <x:v>2026-06-29</x:v>
      </x:c>
      <x:c r="I807" s="34" t="str">
        <x:v>supportedMotherboardFormFactors=Mini-ITX; maxGpuLengthMm=322; maxCoolerHeightMm=75; psuFormFactors=SFX</x:v>
      </x:c>
      <x:c r="J807" s="34" t="str">
        <x:v>Mini-ITX, ca-retail, sff</x:v>
      </x:c>
      <x:c r="K807" s="34" t="str">
        <x:v>SFF enclosure from CA retailer; clearance values are conservative when source omits them.</x:v>
      </x:c>
      <x:c r="L807" s="34" t="str">
        <x:v>https://www.newegg.ca/p/11-352-213</x:v>
      </x:c>
      <x:c r="M807" s="35" t="str">
        <x:v>https://www.newegg.ca/p/11-352-213</x:v>
      </x:c>
    </x:row>
    <x:row r="808">
      <x:c r="A808" s="33" t="str">
        <x:v>case</x:v>
      </x:c>
      <x:c r="B808" s="34" t="str">
        <x:v>ca-newegg-case-fractal-design-terra-graphite-mini-itx-small-form-factor-pc-case-with-</x:v>
      </x:c>
      <x:c r="C808" s="34" t="str">
        <x:v>Fractal Design Terra Graphite Mini-ITX Small Form Factor PC Case with PCIe 4.0 Riser</x:v>
      </x:c>
      <x:c r="D808" s="34" t="str">
        <x:v>Fractal Design</x:v>
      </x:c>
      <x:c r="E808" s="82" t="n">
        <x:v>192.48</x:v>
      </x:c>
      <x:c r="F808" s="34" t="str">
        <x:v>USD</x:v>
      </x:c>
      <x:c r="G808" s="34" t="str">
        <x:v>retail</x:v>
      </x:c>
      <x:c r="H808" s="34" t="str">
        <x:v>2026-06-29</x:v>
      </x:c>
      <x:c r="I808" s="34" t="str">
        <x:v>supportedMotherboardFormFactors=Mini-ITX; maxGpuLengthMm=322; maxCoolerHeightMm=75; psuFormFactors=SFX</x:v>
      </x:c>
      <x:c r="J808" s="34" t="str">
        <x:v>Mini-ITX, ca-retail, sff</x:v>
      </x:c>
      <x:c r="K808" s="34" t="str">
        <x:v>SFF enclosure from CA retailer; clearance values are conservative when source omits them.</x:v>
      </x:c>
      <x:c r="L808" s="34" t="str">
        <x:v>https://www.newegg.ca/p/11-352-212</x:v>
      </x:c>
      <x:c r="M808" s="35" t="str">
        <x:v>https://www.newegg.ca/p/11-352-212</x:v>
      </x:c>
    </x:row>
    <x:row r="809">
      <x:c r="A809" s="33" t="str">
        <x:v>case</x:v>
      </x:c>
      <x:c r="B809" s="34" t="str">
        <x:v>ca-newegg-case-corsair-4000d-airflow-4000d-black-computer-case</x:v>
      </x:c>
      <x:c r="C809" s="34" t="str">
        <x:v>Corsair 4000D Airflow 4000D Black Computer Case</x:v>
      </x:c>
      <x:c r="D809" s="34" t="str">
        <x:v>Corsair</x:v>
      </x:c>
      <x:c r="E809" s="82" t="n">
        <x:v>132.01</x:v>
      </x:c>
      <x:c r="F809" s="34" t="str">
        <x:v>USD</x:v>
      </x:c>
      <x:c r="G809" s="34" t="str">
        <x:v>retail</x:v>
      </x:c>
      <x:c r="H809" s="34" t="str">
        <x:v>2026-06-29</x:v>
      </x:c>
      <x:c r="I809" s="34" t="str">
        <x:v>supportedMotherboardFormFactors=ATX/Micro-ATX/Mini-ITX; maxGpuLengthMm=380; maxCoolerHeightMm=170; psuFormFactors=ATX/SFX</x:v>
      </x:c>
      <x:c r="J809" s="34" t="str">
        <x:v>ATX, Micro-ATX, Mini-ITX, ca-retail, black, rgb, airflow</x:v>
      </x:c>
      <x:c r="K809" s="34" t="str">
        <x:v>ATX enclosure from CA retailer; clearance values are conservative when source omits them.</x:v>
      </x:c>
      <x:c r="L809" s="34" t="str">
        <x:v>https://www.newegg.ca/p/9SIA7BBE3P0339</x:v>
      </x:c>
      <x:c r="M809" s="35" t="str">
        <x:v>https://www.newegg.ca/p/9SIA7BBE3P0339</x:v>
      </x:c>
    </x:row>
    <x:row r="810">
      <x:c r="A810" s="33" t="str">
        <x:v>case</x:v>
      </x:c>
      <x:c r="B810" s="34" t="str">
        <x:v>ca-newegg-case-nzxt-h-series-h5-flow-2024-edition-atx-mid-tower-chassis-all-black-col</x:v>
      </x:c>
      <x:c r="C810" s="34" t="str">
        <x:v>NZXT H Series H5 Flow 2024 Edition ATX Mid Tower Chassis All Black Color</x:v>
      </x:c>
      <x:c r="D810" s="34" t="str">
        <x:v>NZXT</x:v>
      </x:c>
      <x:c r="E810" s="82" t="n">
        <x:v>81.07</x:v>
      </x:c>
      <x:c r="F810" s="34" t="str">
        <x:v>USD</x:v>
      </x:c>
      <x:c r="G810" s="34" t="str">
        <x:v>retail</x:v>
      </x:c>
      <x:c r="H810" s="34" t="str">
        <x:v>2026-06-29</x:v>
      </x:c>
      <x:c r="I810" s="34" t="str">
        <x:v>supportedMotherboardFormFactors=ATX/Micro-ATX/Mini-ITX; maxGpuLengthMm=380; maxCoolerHeightMm=170; psuFormFactors=ATX/SFX</x:v>
      </x:c>
      <x:c r="J810" s="34" t="str">
        <x:v>ATX, Micro-ATX, Mini-ITX, ca-retail, black, airflow</x:v>
      </x:c>
      <x:c r="K810" s="34" t="str">
        <x:v>ATX enclosure from CA retailer; clearance values are conservative when source omits them.</x:v>
      </x:c>
      <x:c r="L810" s="34" t="str">
        <x:v>https://www.newegg.ca/p/11-146-365</x:v>
      </x:c>
      <x:c r="M810" s="35" t="str">
        <x:v>https://www.newegg.ca/p/11-146-365</x:v>
      </x:c>
    </x:row>
    <x:row r="811">
      <x:c r="A811" s="33" t="str">
        <x:v>case</x:v>
      </x:c>
      <x:c r="B811" s="34" t="str">
        <x:v>ca-newegg-case-nzxt-h-series-h5-flow-2024-edition-atx-mid-tower-chassis-all-white-col</x:v>
      </x:c>
      <x:c r="C811" s="34" t="str">
        <x:v>NZXT H Series H5 Flow 2024 Edition ATX Mid Tower Chassis All White Color</x:v>
      </x:c>
      <x:c r="D811" s="34" t="str">
        <x:v>NZXT</x:v>
      </x:c>
      <x:c r="E811" s="82" t="n">
        <x:v>81.07</x:v>
      </x:c>
      <x:c r="F811" s="34" t="str">
        <x:v>USD</x:v>
      </x:c>
      <x:c r="G811" s="34" t="str">
        <x:v>retail</x:v>
      </x:c>
      <x:c r="H811" s="34" t="str">
        <x:v>2026-06-29</x:v>
      </x:c>
      <x:c r="I811" s="34" t="str">
        <x:v>supportedMotherboardFormFactors=ATX/Micro-ATX/Mini-ITX; maxGpuLengthMm=380; maxCoolerHeightMm=170; psuFormFactors=ATX/SFX</x:v>
      </x:c>
      <x:c r="J811" s="34" t="str">
        <x:v>ATX, Micro-ATX, Mini-ITX, ca-retail, white, airflow</x:v>
      </x:c>
      <x:c r="K811" s="34" t="str">
        <x:v>ATX enclosure from CA retailer; clearance values are conservative when source omits them.</x:v>
      </x:c>
      <x:c r="L811" s="34" t="str">
        <x:v>https://www.newegg.ca/p/11-146-366</x:v>
      </x:c>
      <x:c r="M811" s="35" t="str">
        <x:v>https://www.newegg.ca/p/11-146-366</x:v>
      </x:c>
    </x:row>
    <x:row r="812">
      <x:c r="A812" s="33" t="str">
        <x:v>case</x:v>
      </x:c>
      <x:c r="B812" s="34" t="str">
        <x:v>ca-newegg-case-nzxt-h-series-h5-flow-2024-rgb-edition-atx-mid-tower-chassis-all-black</x:v>
      </x:c>
      <x:c r="C812" s="34" t="str">
        <x:v>NZXT H Series H5 Flow 2024 RGB Edition ATX Mid Tower Chassis All Black Color</x:v>
      </x:c>
      <x:c r="D812" s="34" t="str">
        <x:v>NZXT</x:v>
      </x:c>
      <x:c r="E812" s="82" t="n">
        <x:v>130.43</x:v>
      </x:c>
      <x:c r="F812" s="34" t="str">
        <x:v>USD</x:v>
      </x:c>
      <x:c r="G812" s="34" t="str">
        <x:v>retail</x:v>
      </x:c>
      <x:c r="H812" s="34" t="str">
        <x:v>2026-06-29</x:v>
      </x:c>
      <x:c r="I812" s="34" t="str">
        <x:v>supportedMotherboardFormFactors=ATX/Micro-ATX/Mini-ITX; maxGpuLengthMm=380; maxCoolerHeightMm=170; psuFormFactors=ATX/SFX</x:v>
      </x:c>
      <x:c r="J812" s="34" t="str">
        <x:v>ATX, Micro-ATX, Mini-ITX, ca-retail, black, rgb, airflow</x:v>
      </x:c>
      <x:c r="K812" s="34" t="str">
        <x:v>ATX enclosure from CA retailer; clearance values are conservative when source omits them.</x:v>
      </x:c>
      <x:c r="L812" s="34" t="str">
        <x:v>https://www.newegg.ca/p/9SIA9H5KCK8230</x:v>
      </x:c>
      <x:c r="M812" s="35" t="str">
        <x:v>https://www.newegg.ca/p/9SIA9H5KCK8230</x:v>
      </x:c>
    </x:row>
    <x:row r="813">
      <x:c r="A813" s="33" t="str">
        <x:v>case</x:v>
      </x:c>
      <x:c r="B813" s="34" t="str">
        <x:v>ca-newegg-case-nzxt-h-series-h5-flow-2024-rgb-edition-atx-mid-tower-chassis-all-white</x:v>
      </x:c>
      <x:c r="C813" s="34" t="str">
        <x:v>NZXT H Series H5 Flow 2024 RGB Edition ATX Mid Tower Chassis All White Color</x:v>
      </x:c>
      <x:c r="D813" s="34" t="str">
        <x:v>NZXT</x:v>
      </x:c>
      <x:c r="E813" s="82" t="n">
        <x:v>77.56</x:v>
      </x:c>
      <x:c r="F813" s="34" t="str">
        <x:v>USD</x:v>
      </x:c>
      <x:c r="G813" s="34" t="str">
        <x:v>retail</x:v>
      </x:c>
      <x:c r="H813" s="34" t="str">
        <x:v>2026-06-29</x:v>
      </x:c>
      <x:c r="I813" s="34" t="str">
        <x:v>supportedMotherboardFormFactors=ATX/Micro-ATX/Mini-ITX; maxGpuLengthMm=380; maxCoolerHeightMm=170; psuFormFactors=ATX/SFX</x:v>
      </x:c>
      <x:c r="J813" s="34" t="str">
        <x:v>ATX, Micro-ATX, Mini-ITX, ca-retail, white, rgb, airflow</x:v>
      </x:c>
      <x:c r="K813" s="34" t="str">
        <x:v>ATX enclosure from CA retailer; clearance values are conservative when source omits them.</x:v>
      </x:c>
      <x:c r="L813" s="34" t="str">
        <x:v>https://www.newegg.ca/p/11-146-367</x:v>
      </x:c>
      <x:c r="M813" s="35" t="str">
        <x:v>https://www.newegg.ca/p/11-146-367</x:v>
      </x:c>
    </x:row>
    <x:row r="814">
      <x:c r="A814" s="33" t="str">
        <x:v>case</x:v>
      </x:c>
      <x:c r="B814" s="34" t="str">
        <x:v>ca-newegg-case-nzxt-h6-flow-rgb-compact-dual-chamber-mid-tower-airflow-case-black-cc-</x:v>
      </x:c>
      <x:c r="C814" s="34" t="str">
        <x:v>NZXT H6 FLOW RGB Compact Dual-Chamber Mid-Tower Airflow Case, Black, CC-H61FB-R1</x:v>
      </x:c>
      <x:c r="D814" s="34" t="str">
        <x:v>NZXT</x:v>
      </x:c>
      <x:c r="E814" s="82" t="n">
        <x:v>95.18</x:v>
      </x:c>
      <x:c r="F814" s="34" t="str">
        <x:v>USD</x:v>
      </x:c>
      <x:c r="G814" s="34" t="str">
        <x:v>retail</x:v>
      </x:c>
      <x:c r="H814" s="34" t="str">
        <x:v>2026-06-29</x:v>
      </x:c>
      <x:c r="I814" s="34" t="str">
        <x:v>supportedMotherboardFormFactors=ATX/Micro-ATX/Mini-ITX; maxGpuLengthMm=380; maxCoolerHeightMm=170; psuFormFactors=ATX/SFX</x:v>
      </x:c>
      <x:c r="J814" s="34" t="str">
        <x:v>ATX, Micro-ATX, Mini-ITX, ca-retail, black, rgb, airflow, panoramic</x:v>
      </x:c>
      <x:c r="K814" s="34" t="str">
        <x:v>ATX enclosure from CA retailer; clearance values are conservative when source omits them.</x:v>
      </x:c>
      <x:c r="L814" s="34" t="str">
        <x:v>https://www.newegg.ca/p/11-146-359</x:v>
      </x:c>
      <x:c r="M814" s="35" t="str">
        <x:v>https://www.newegg.ca/p/11-146-359</x:v>
      </x:c>
    </x:row>
    <x:row r="815">
      <x:c r="A815" s="33" t="str">
        <x:v>case</x:v>
      </x:c>
      <x:c r="B815" s="34" t="str">
        <x:v>ca-newegg-case-nzxt-h6-flow-rgb-compact-dual-chamber-mid-tower-airflow-case-white-cc-</x:v>
      </x:c>
      <x:c r="C815" s="34" t="str">
        <x:v>NZXT H6 FLOW RGB Compact Dual-Chamber Mid-Tower Airflow Case, White, CC-H61FW-R1</x:v>
      </x:c>
      <x:c r="D815" s="34" t="str">
        <x:v>NZXT</x:v>
      </x:c>
      <x:c r="E815" s="82" t="n">
        <x:v>146.65</x:v>
      </x:c>
      <x:c r="F815" s="34" t="str">
        <x:v>USD</x:v>
      </x:c>
      <x:c r="G815" s="34" t="str">
        <x:v>retail</x:v>
      </x:c>
      <x:c r="H815" s="34" t="str">
        <x:v>2026-06-29</x:v>
      </x:c>
      <x:c r="I815" s="34" t="str">
        <x:v>supportedMotherboardFormFactors=ATX/Micro-ATX/Mini-ITX; maxGpuLengthMm=380; maxCoolerHeightMm=170; psuFormFactors=ATX/SFX</x:v>
      </x:c>
      <x:c r="J815" s="34" t="str">
        <x:v>ATX, Micro-ATX, Mini-ITX, ca-retail, white, rgb, airflow, panoramic</x:v>
      </x:c>
      <x:c r="K815" s="34" t="str">
        <x:v>ATX enclosure from CA retailer; clearance values are conservative when source omits them.</x:v>
      </x:c>
      <x:c r="L815" s="34" t="str">
        <x:v>https://www.newegg.ca/p/9SIA9H5K486297</x:v>
      </x:c>
      <x:c r="M815" s="35" t="str">
        <x:v>https://www.newegg.ca/p/9SIA9H5K486297</x:v>
      </x:c>
    </x:row>
    <x:row r="816">
      <x:c r="A816" s="33" t="str">
        <x:v>case</x:v>
      </x:c>
      <x:c r="B816" s="34" t="str">
        <x:v>ca-newegg-case-nzxt-h9-flow-2025-large-dual-chamber-atx-mid-tower-airflow-pc-case-inc</x:v>
      </x:c>
      <x:c r="C816" s="34" t="str">
        <x:v>NZXT H9 Flow (2025)  Large Dual-Chamber ATX Mid-Tower Airflow PC Case  Includes 3 x 140mm &amp; 1 x 120mm Fans  420mm Radiator Support  Tempered Glass  Back-Connect Ready  Black</x:v>
      </x:c>
      <x:c r="D816" s="34" t="str">
        <x:v>NZXT</x:v>
      </x:c>
      <x:c r="E816" s="82" t="n">
        <x:v>181.2</x:v>
      </x:c>
      <x:c r="F816" s="34" t="str">
        <x:v>USD</x:v>
      </x:c>
      <x:c r="G816" s="34" t="str">
        <x:v>retail</x:v>
      </x:c>
      <x:c r="H816" s="34" t="str">
        <x:v>2026-06-29</x:v>
      </x:c>
      <x:c r="I816" s="34" t="str">
        <x:v>supportedMotherboardFormFactors=ATX/Micro-ATX/Mini-ITX; maxGpuLengthMm=380; maxCoolerHeightMm=170; psuFormFactors=ATX/SFX</x:v>
      </x:c>
      <x:c r="J816" s="34" t="str">
        <x:v>ATX, Micro-ATX, Mini-ITX, ca-retail, black, airflow, panoramic</x:v>
      </x:c>
      <x:c r="K816" s="34" t="str">
        <x:v>ATX enclosure from CA retailer; clearance values are conservative when source omits them.</x:v>
      </x:c>
      <x:c r="L816" s="34" t="str">
        <x:v>https://www.newegg.ca/p/9SIA9H5KMV8840</x:v>
      </x:c>
      <x:c r="M816" s="35" t="str">
        <x:v>https://www.newegg.ca/p/9SIA9H5KMV8840</x:v>
      </x:c>
    </x:row>
    <x:row r="817">
      <x:c r="A817" s="33" t="str">
        <x:v>case</x:v>
      </x:c>
      <x:c r="B817" s="34" t="str">
        <x:v>ca-newegg-case-nzxt-h9-flow-2025-large-dual-chamber-atx-mid-tower-airflow-pc-case-inc-1</x:v>
      </x:c>
      <x:c r="C817" s="34" t="str">
        <x:v>NZXT H9 Flow (2025)  Large Dual-Chamber ATX Mid-Tower Airflow PC Case  Includes 3 x 140mm &amp; 1 x 120mm Fans  420mm Radiator Support  Tempered Glass  Back-Connect Ready  White</x:v>
      </x:c>
      <x:c r="D817" s="34" t="str">
        <x:v>NZXT</x:v>
      </x:c>
      <x:c r="E817" s="82" t="n">
        <x:v>174.15</x:v>
      </x:c>
      <x:c r="F817" s="34" t="str">
        <x:v>USD</x:v>
      </x:c>
      <x:c r="G817" s="34" t="str">
        <x:v>retail</x:v>
      </x:c>
      <x:c r="H817" s="34" t="str">
        <x:v>2026-06-29</x:v>
      </x:c>
      <x:c r="I817" s="34" t="str">
        <x:v>supportedMotherboardFormFactors=ATX/Micro-ATX/Mini-ITX; maxGpuLengthMm=380; maxCoolerHeightMm=170; psuFormFactors=ATX/SFX</x:v>
      </x:c>
      <x:c r="J817" s="34" t="str">
        <x:v>ATX, Micro-ATX, Mini-ITX, ca-retail, white, airflow, panoramic</x:v>
      </x:c>
      <x:c r="K817" s="34" t="str">
        <x:v>ATX enclosure from CA retailer; clearance values are conservative when source omits them.</x:v>
      </x:c>
      <x:c r="L817" s="34" t="str">
        <x:v>https://www.newegg.ca/p/9SIA9H5KMV8935</x:v>
      </x:c>
      <x:c r="M817" s="35" t="str">
        <x:v>https://www.newegg.ca/p/9SIA9H5KMV8935</x:v>
      </x:c>
    </x:row>
    <x:row r="818">
      <x:c r="A818" s="33" t="str">
        <x:v>case</x:v>
      </x:c>
      <x:c r="B818" s="34" t="str">
        <x:v>ca-newegg-case-nzxt-h9-flow-rgb-2025-large-dual-chamber-atx-mid-tower-airflow-pc-case</x:v>
      </x:c>
      <x:c r="C818" s="34" t="str">
        <x:v>NZXT H9 Flow RGB+ (2025)  Large Dual-Chamber ATX Mid-Tower Airflow PC Case  Includes 7 RGB Fans (6 x 140mm, 1 x 120mm) &amp; Control Hub  420mm Radiator Support  Back-Connect Ready  Black</x:v>
      </x:c>
      <x:c r="D818" s="34" t="str">
        <x:v>NZXT</x:v>
      </x:c>
      <x:c r="E818" s="82" t="n">
        <x:v>260.17</x:v>
      </x:c>
      <x:c r="F818" s="34" t="str">
        <x:v>USD</x:v>
      </x:c>
      <x:c r="G818" s="34" t="str">
        <x:v>retail</x:v>
      </x:c>
      <x:c r="H818" s="34" t="str">
        <x:v>2026-06-29</x:v>
      </x:c>
      <x:c r="I818" s="34" t="str">
        <x:v>supportedMotherboardFormFactors=ATX/Micro-ATX/Mini-ITX; maxGpuLengthMm=380; maxCoolerHeightMm=170; psuFormFactors=ATX/SFX</x:v>
      </x:c>
      <x:c r="J818" s="34" t="str">
        <x:v>ATX, Micro-ATX, Mini-ITX, ca-retail, black, rgb, airflow, panoramic</x:v>
      </x:c>
      <x:c r="K818" s="34" t="str">
        <x:v>ATX enclosure from CA retailer; clearance values are conservative when source omits them.</x:v>
      </x:c>
      <x:c r="L818" s="34" t="str">
        <x:v>https://www.newegg.ca/p/9SIA9H5KRU2916</x:v>
      </x:c>
      <x:c r="M818" s="35" t="str">
        <x:v>https://www.newegg.ca/p/9SIA9H5KRU2916</x:v>
      </x:c>
    </x:row>
    <x:row r="819">
      <x:c r="A819" s="33" t="str">
        <x:v>case</x:v>
      </x:c>
      <x:c r="B819" s="34" t="str">
        <x:v>ca-newegg-case-nzxt-h9-flow-rgb-2025-large-dual-chamber-atx-mid-tower-airflow-pc-case-1</x:v>
      </x:c>
      <x:c r="C819" s="34" t="str">
        <x:v>NZXT H9 Flow RGB (2025)  Large Dual-Chamber ATX Mid-Tower Airflow PC Case  Includes 1 x 420mm RGB Fan Unit &amp; 1 x 120mm Fan  420mm Radiator Support  Tempered Glass  Back-Connect Ready  White</x:v>
      </x:c>
      <x:c r="D819" s="34" t="str">
        <x:v>NZXT</x:v>
      </x:c>
      <x:c r="E819" s="82" t="n">
        <x:v>198.12</x:v>
      </x:c>
      <x:c r="F819" s="34" t="str">
        <x:v>USD</x:v>
      </x:c>
      <x:c r="G819" s="34" t="str">
        <x:v>retail</x:v>
      </x:c>
      <x:c r="H819" s="34" t="str">
        <x:v>2026-06-29</x:v>
      </x:c>
      <x:c r="I819" s="34" t="str">
        <x:v>supportedMotherboardFormFactors=ATX/Micro-ATX/Mini-ITX; maxGpuLengthMm=380; maxCoolerHeightMm=170; psuFormFactors=ATX/SFX</x:v>
      </x:c>
      <x:c r="J819" s="34" t="str">
        <x:v>ATX, Micro-ATX, Mini-ITX, ca-retail, white, rgb, airflow, panoramic</x:v>
      </x:c>
      <x:c r="K819" s="34" t="str">
        <x:v>ATX enclosure from CA retailer; clearance values are conservative when source omits them.</x:v>
      </x:c>
      <x:c r="L819" s="34" t="str">
        <x:v>https://www.newegg.ca/p/9SIA9H5KMV9049</x:v>
      </x:c>
      <x:c r="M819" s="35" t="str">
        <x:v>https://www.newegg.ca/p/9SIA9H5KMV9049</x:v>
      </x:c>
    </x:row>
    <x:row r="820">
      <x:c r="A820" s="33" t="str">
        <x:v>case</x:v>
      </x:c>
      <x:c r="B820" s="34" t="str">
        <x:v>ca-newegg-case-nzxt-h9-flow-rgb-2025-large-dual-chamber-atx-mid-tower-airflow-pc-case-2</x:v>
      </x:c>
      <x:c r="C820" s="34" t="str">
        <x:v>NZXT H9 Flow RGB+ (2025)  Large Dual-Chamber ATX Mid-Tower Airflow PC Case  Includes 7 RGB Fans (6 x 140mm, 1 x 120mm) &amp; Control Hub  420mm Radiator Support  Back-Connect Ready  White</x:v>
      </x:c>
      <x:c r="D820" s="34" t="str">
        <x:v>NZXT</x:v>
      </x:c>
      <x:c r="E820" s="82" t="n">
        <x:v>255.94</x:v>
      </x:c>
      <x:c r="F820" s="34" t="str">
        <x:v>USD</x:v>
      </x:c>
      <x:c r="G820" s="34" t="str">
        <x:v>retail</x:v>
      </x:c>
      <x:c r="H820" s="34" t="str">
        <x:v>2026-06-29</x:v>
      </x:c>
      <x:c r="I820" s="34" t="str">
        <x:v>supportedMotherboardFormFactors=ATX/Micro-ATX/Mini-ITX; maxGpuLengthMm=380; maxCoolerHeightMm=170; psuFormFactors=ATX/SFX</x:v>
      </x:c>
      <x:c r="J820" s="34" t="str">
        <x:v>ATX, Micro-ATX, Mini-ITX, ca-retail, white, rgb, airflow, panoramic</x:v>
      </x:c>
      <x:c r="K820" s="34" t="str">
        <x:v>ATX enclosure from CA retailer; clearance values are conservative when source omits them.</x:v>
      </x:c>
      <x:c r="L820" s="34" t="str">
        <x:v>https://www.newegg.ca/p/9SIA9H5KRU2915</x:v>
      </x:c>
      <x:c r="M820" s="35" t="str">
        <x:v>https://www.newegg.ca/p/9SIA9H5KRU2915</x:v>
      </x:c>
    </x:row>
    <x:row r="821">
      <x:c r="A821" s="33" t="str">
        <x:v>case</x:v>
      </x:c>
      <x:c r="B821" s="34" t="str">
        <x:v>ca-newegg-case-nzxt-h9-flow-rgb-2025-large-dual-chamber-atx-mid-tower-airflow-pc-case-3</x:v>
      </x:c>
      <x:c r="C821" s="34" t="str">
        <x:v>NZXT H9 Flow RGB (2025)  Large Dual-Chamber ATX Mid-Tower Airflow PC Case  Includes 1 x 420mm RGB Fan Unit &amp; 1 x 120mm Fan  420mm Radiator Support  Tempered Glass  Back-Connect Ready  Black</x:v>
      </x:c>
      <x:c r="D821" s="34" t="str">
        <x:v>NZXT</x:v>
      </x:c>
      <x:c r="E821" s="82" t="n">
        <x:v>202.35</x:v>
      </x:c>
      <x:c r="F821" s="34" t="str">
        <x:v>USD</x:v>
      </x:c>
      <x:c r="G821" s="34" t="str">
        <x:v>retail</x:v>
      </x:c>
      <x:c r="H821" s="34" t="str">
        <x:v>2026-06-29</x:v>
      </x:c>
      <x:c r="I821" s="34" t="str">
        <x:v>supportedMotherboardFormFactors=ATX/Micro-ATX/Mini-ITX; maxGpuLengthMm=380; maxCoolerHeightMm=170; psuFormFactors=ATX/SFX</x:v>
      </x:c>
      <x:c r="J821" s="34" t="str">
        <x:v>ATX, Micro-ATX, Mini-ITX, ca-retail, black, rgb, airflow, panoramic</x:v>
      </x:c>
      <x:c r="K821" s="34" t="str">
        <x:v>ATX enclosure from CA retailer; clearance values are conservative when source omits them.</x:v>
      </x:c>
      <x:c r="L821" s="34" t="str">
        <x:v>https://www.newegg.ca/p/9SIA9H5KMV8926</x:v>
      </x:c>
      <x:c r="M821" s="35" t="str">
        <x:v>https://www.newegg.ca/p/9SIA9H5KMV8926</x:v>
      </x:c>
    </x:row>
    <x:row r="822">
      <x:c r="A822" s="33" t="str">
        <x:v>case</x:v>
      </x:c>
      <x:c r="B822" s="34" t="str">
        <x:v>ca-newegg-case-lian-li-o11-dynamic-evo-rgb-black-aluminum-steel-tempered-glass-atx-mi</x:v>
      </x:c>
      <x:c r="C822" s="34" t="str">
        <x:v>LIAN LI O11 Dynamic EVO RGB  Black Aluminum / Steel / Tempered Glass ATX Mid Tower Computer Case----O11DERGBX</x:v>
      </x:c>
      <x:c r="D822" s="34" t="str">
        <x:v>Lian Li</x:v>
      </x:c>
      <x:c r="E822" s="82" t="n">
        <x:v>162.17</x:v>
      </x:c>
      <x:c r="F822" s="34" t="str">
        <x:v>USD</x:v>
      </x:c>
      <x:c r="G822" s="34" t="str">
        <x:v>retail</x:v>
      </x:c>
      <x:c r="H822" s="34" t="str">
        <x:v>2026-06-29</x:v>
      </x:c>
      <x:c r="I822" s="34" t="str">
        <x:v>supportedMotherboardFormFactors=ATX/Micro-ATX/Mini-ITX; maxGpuLengthMm=380; maxCoolerHeightMm=170; psuFormFactors=ATX/SFX</x:v>
      </x:c>
      <x:c r="J822" s="34" t="str">
        <x:v>ATX, Micro-ATX, Mini-ITX, ca-retail, black, rgb, panoramic</x:v>
      </x:c>
      <x:c r="K822" s="34" t="str">
        <x:v>ATX enclosure from CA retailer; clearance values are conservative when source omits them.</x:v>
      </x:c>
      <x:c r="L822" s="34" t="str">
        <x:v>https://www.newegg.ca/p/2AM-000Z-000C0</x:v>
      </x:c>
      <x:c r="M822" s="35" t="str">
        <x:v>https://www.newegg.ca/p/2AM-000Z-000C0</x:v>
      </x:c>
    </x:row>
    <x:row r="823">
      <x:c r="A823" s="33" t="str">
        <x:v>case</x:v>
      </x:c>
      <x:c r="B823" s="34" t="str">
        <x:v>ca-newegg-case-lian-li-o11-dynamic-evo-xl-o11dexl-white-aluminum-steel-tempered-glass</x:v>
      </x:c>
      <x:c r="C823" s="34" t="str">
        <x:v>LIAN LI O11 Dynamic EVO XL O11DEXL White Aluminum / Steel / Tempered Glass ATX Mid Tower Computer Case ----- O11DEXL-W</x:v>
      </x:c>
      <x:c r="D823" s="34" t="str">
        <x:v>Lian Li</x:v>
      </x:c>
      <x:c r="E823" s="82" t="n">
        <x:v>211.53</x:v>
      </x:c>
      <x:c r="F823" s="34" t="str">
        <x:v>USD</x:v>
      </x:c>
      <x:c r="G823" s="34" t="str">
        <x:v>retail</x:v>
      </x:c>
      <x:c r="H823" s="34" t="str">
        <x:v>2026-06-29</x:v>
      </x:c>
      <x:c r="I823" s="34" t="str">
        <x:v>supportedMotherboardFormFactors=ATX/Micro-ATX/Mini-ITX; maxGpuLengthMm=380; maxCoolerHeightMm=170; psuFormFactors=ATX/SFX</x:v>
      </x:c>
      <x:c r="J823" s="34" t="str">
        <x:v>ATX, Micro-ATX, Mini-ITX, ca-retail, white, panoramic</x:v>
      </x:c>
      <x:c r="K823" s="34" t="str">
        <x:v>ATX enclosure from CA retailer; clearance values are conservative when source omits them.</x:v>
      </x:c>
      <x:c r="L823" s="34" t="str">
        <x:v>https://www.newegg.ca/p/2AM-000Z-000B5</x:v>
      </x:c>
      <x:c r="M823" s="35" t="str">
        <x:v>https://www.newegg.ca/p/2AM-000Z-000B5</x:v>
      </x:c>
    </x:row>
    <x:row r="824">
      <x:c r="A824" s="33" t="str">
        <x:v>case</x:v>
      </x:c>
      <x:c r="B824" s="34" t="str">
        <x:v>ca-newegg-case-lian-li-o11-dynamic-evo-xl-o11dexl-black-aluminum-steel-tempered-glass</x:v>
      </x:c>
      <x:c r="C824" s="34" t="str">
        <x:v>LIAN LI O11 Dynamic EVO XL O11DEXL Black Aluminum / Steel / Tempered Glass ATX Mid Tower Computer Case ----- O11DEXL-X</x:v>
      </x:c>
      <x:c r="D824" s="34" t="str">
        <x:v>Lian Li</x:v>
      </x:c>
      <x:c r="E824" s="82" t="n">
        <x:v>232.68</x:v>
      </x:c>
      <x:c r="F824" s="34" t="str">
        <x:v>USD</x:v>
      </x:c>
      <x:c r="G824" s="34" t="str">
        <x:v>retail</x:v>
      </x:c>
      <x:c r="H824" s="34" t="str">
        <x:v>2026-06-29</x:v>
      </x:c>
      <x:c r="I824" s="34" t="str">
        <x:v>supportedMotherboardFormFactors=ATX/Micro-ATX/Mini-ITX; maxGpuLengthMm=380; maxCoolerHeightMm=170; psuFormFactors=ATX/SFX</x:v>
      </x:c>
      <x:c r="J824" s="34" t="str">
        <x:v>ATX, Micro-ATX, Mini-ITX, ca-retail, black, panoramic</x:v>
      </x:c>
      <x:c r="K824" s="34" t="str">
        <x:v>ATX enclosure from CA retailer; clearance values are conservative when source omits them.</x:v>
      </x:c>
      <x:c r="L824" s="34" t="str">
        <x:v>https://www.newegg.ca/p/2AM-000Z-000B4</x:v>
      </x:c>
      <x:c r="M824" s="35" t="str">
        <x:v>https://www.newegg.ca/p/2AM-000Z-000B4</x:v>
      </x:c>
    </x:row>
    <x:row r="825">
      <x:c r="A825" s="33" t="str">
        <x:v>case</x:v>
      </x:c>
      <x:c r="B825" s="34" t="str">
        <x:v>ca-newegg-case-cooler-master-nr200p-v3-mini-itx-pc-case-top-mount-280mm-radiator-supp</x:v>
      </x:c>
      <x:c r="C825" s="34" t="str">
        <x:v>Cooler Master NR200P V3 Mini-ITX PC Case - Top-Mount 280mm Radiator Support, Vertical GPU Mount with Mesh Side Panel &amp; Removable Backplate, PCIe 5.0 Riser Cable Included, Fits 130mm SFX PSUs</x:v>
      </x:c>
      <x:c r="D825" s="34" t="str">
        <x:v>Cooler Master</x:v>
      </x:c>
      <x:c r="E825" s="82" t="n">
        <x:v>119.86</x:v>
      </x:c>
      <x:c r="F825" s="34" t="str">
        <x:v>USD</x:v>
      </x:c>
      <x:c r="G825" s="34" t="str">
        <x:v>retail</x:v>
      </x:c>
      <x:c r="H825" s="34" t="str">
        <x:v>2026-06-29</x:v>
      </x:c>
      <x:c r="I825" s="34" t="str">
        <x:v>supportedMotherboardFormFactors=Mini-ITX; maxGpuLengthMm=356; maxCoolerHeightMm=75; psuFormFactors=SFX</x:v>
      </x:c>
      <x:c r="J825" s="34" t="str">
        <x:v>Mini-ITX, ca-retail, sff, airflow</x:v>
      </x:c>
      <x:c r="K825" s="34" t="str">
        <x:v>SFF enclosure from CA retailer; clearance values are conservative when source omits them.</x:v>
      </x:c>
      <x:c r="L825" s="34" t="str">
        <x:v>https://www.newegg.ca/p/11-119-465</x:v>
      </x:c>
      <x:c r="M825" s="35" t="str">
        <x:v>https://www.newegg.ca/p/11-119-465</x:v>
      </x:c>
    </x:row>
    <x:row r="826">
      <x:c r="A826" s="33" t="str">
        <x:v>case</x:v>
      </x:c>
      <x:c r="B826" s="34" t="str">
        <x:v>ca-canadacomputers-case-fractal-design-terra-graphite-mini-itx-small-form-factor-pc-case-with</x:v>
      </x:c>
      <x:c r="C826" s="34" t="str">
        <x:v>FRACTAL DESIGN Terra Graphite Mini-ITX Small Form Factor PC Case with</x:v>
      </x:c>
      <x:c r="D826" s="34" t="str">
        <x:v>FRACTAL DESIGN</x:v>
      </x:c>
      <x:c r="E826" s="82" t="n">
        <x:v>197.42</x:v>
      </x:c>
      <x:c r="F826" s="34" t="str">
        <x:v>USD</x:v>
      </x:c>
      <x:c r="G826" s="34" t="str">
        <x:v>retail</x:v>
      </x:c>
      <x:c r="H826" s="34" t="str">
        <x:v>2026-06-29</x:v>
      </x:c>
      <x:c r="I826" s="34" t="str">
        <x:v>supportedMotherboardFormFactors=Mini-ITX; maxGpuLengthMm=320; maxCoolerHeightMm=75; psuFormFactors=SFX</x:v>
      </x:c>
      <x:c r="J826" s="34" t="str">
        <x:v>Mini-ITX, ca-retail, sff</x:v>
      </x:c>
      <x:c r="K826" s="34" t="str">
        <x:v>SFF enclosure from CA retailer; clearance values are conservative when source omits them.</x:v>
      </x:c>
      <x:c r="L826" s="34" t="str">
        <x:v>https://www.canadacomputers.com/en/small-form-factor-mini-itx-cases/241351/fractal-design-terra-graphite-mini-itx-small-form-factor-pc-case-with-fd-c-ter1n-01.html</x:v>
      </x:c>
      <x:c r="M826" s="35" t="str">
        <x:v>https://www.canadacomputers.com/en/small-form-factor-mini-itx-cases/241351/fractal-design-terra-graphite-mini-itx-small-form-factor-pc-case-with-fd-c-ter1n-01.html</x:v>
      </x:c>
    </x:row>
    <x:row r="827">
      <x:c r="A827" s="33" t="str">
        <x:v>case</x:v>
      </x:c>
      <x:c r="B827" s="34" t="str">
        <x:v>ca-canadacomputers-case-fractal-design-terra-silver-mini-itx-small-form-factor-pc-case-with-p</x:v>
      </x:c>
      <x:c r="C827" s="34" t="str">
        <x:v>FRACTAL DESIGN Terra Silver Mini-ITX Small Form Factor PC Case with P</x:v>
      </x:c>
      <x:c r="D827" s="34" t="str">
        <x:v>FRACTAL DESIGN</x:v>
      </x:c>
      <x:c r="E827" s="82" t="n">
        <x:v>197.42</x:v>
      </x:c>
      <x:c r="F827" s="34" t="str">
        <x:v>USD</x:v>
      </x:c>
      <x:c r="G827" s="34" t="str">
        <x:v>retail</x:v>
      </x:c>
      <x:c r="H827" s="34" t="str">
        <x:v>2026-06-29</x:v>
      </x:c>
      <x:c r="I827" s="34" t="str">
        <x:v>supportedMotherboardFormFactors=Mini-ITX; maxGpuLengthMm=320; maxCoolerHeightMm=75; psuFormFactors=SFX</x:v>
      </x:c>
      <x:c r="J827" s="34" t="str">
        <x:v>Mini-ITX, ca-retail, sff</x:v>
      </x:c>
      <x:c r="K827" s="34" t="str">
        <x:v>SFF enclosure from CA retailer; clearance values are conservative when source omits them.</x:v>
      </x:c>
      <x:c r="L827" s="34" t="str">
        <x:v>https://www.canadacomputers.com/en/small-form-factor-mini-itx-cases/241352/fractal-design-terra-silver-mini-itx-small-form-factor-pc-case-with-p-fd-c-ter1n-02.html</x:v>
      </x:c>
      <x:c r="M827" s="35" t="str">
        <x:v>https://www.canadacomputers.com/en/small-form-factor-mini-itx-cases/241352/fractal-design-terra-silver-mini-itx-small-form-factor-pc-case-with-p-fd-c-ter1n-02.html</x:v>
      </x:c>
    </x:row>
    <x:row r="828">
      <x:c r="A828" s="33" t="str">
        <x:v>case</x:v>
      </x:c>
      <x:c r="B828" s="34" t="str">
        <x:v>ca-canadacomputers-case-corsair-icue-4000d-rgb-airflow-mid-tower-case-black-3x-af120-rgb-elite</x:v>
      </x:c>
      <x:c r="C828" s="34" t="str">
        <x:v>CORSAIR iCUE 4000D RGB Airflow Mid-Tower Case, Black - 3x AF120 RGB ELITE Fans - iCUE Lighting Node PRO Controller - High-Ai...</x:v>
      </x:c>
      <x:c r="D828" s="34" t="str">
        <x:v>CORSAIR</x:v>
      </x:c>
      <x:c r="E828" s="82" t="n">
        <x:v>114.15</x:v>
      </x:c>
      <x:c r="F828" s="34" t="str">
        <x:v>USD</x:v>
      </x:c>
      <x:c r="G828" s="34" t="str">
        <x:v>retail</x:v>
      </x:c>
      <x:c r="H828" s="34" t="str">
        <x:v>2026-06-29</x:v>
      </x:c>
      <x:c r="I828" s="34" t="str">
        <x:v>supportedMotherboardFormFactors=ATX/Micro-ATX/Mini-ITX; maxGpuLengthMm=380; maxCoolerHeightMm=170; psuFormFactors=ATX/SFX</x:v>
      </x:c>
      <x:c r="J828" s="34" t="str">
        <x:v>ATX, Micro-ATX, Mini-ITX, ca-retail, black, rgb, airflow</x:v>
      </x:c>
      <x:c r="K828" s="34" t="str">
        <x:v>ATX enclosure from CA retailer; clearance values are conservative when source omits them.</x:v>
      </x:c>
      <x:c r="L828" s="34" t="str">
        <x:v>https://www.canadacomputers.com/en/mid-tower-cases/236187/corsair-icue-4000d-rgb-airflow-mid-tower-case-black-3x-af120-rgb-elite-fans-icue-lighting-node-pro-controller-high-airflow-desi-cc-9011240-ww.html</x:v>
      </x:c>
      <x:c r="M828" s="35" t="str">
        <x:v>https://www.canadacomputers.com/en/mid-tower-cases/236187/corsair-icue-4000d-rgb-airflow-mid-tower-case-black-3x-af120-rgb-elite-fans-icue-lighting-node-pro-controller-high-airflow-desi-cc-9011240-ww.html</x:v>
      </x:c>
    </x:row>
    <x:row r="829">
      <x:c r="A829" s="33" t="str">
        <x:v>case</x:v>
      </x:c>
      <x:c r="B829" s="34" t="str">
        <x:v>ca-canadacomputers-case-corsair-icue-4000d-rgb-airflow-mid-tower-case-true-white-3x-af120-rgb-</x:v>
      </x:c>
      <x:c r="C829" s="34" t="str">
        <x:v>CORSAIR iCUE 4000D RGB Airflow Mid-Tower Case, True White - 3x AF120 RGB ELITE White Fans - iCUE Lighting Node PRO Controlle...</x:v>
      </x:c>
      <x:c r="D829" s="34" t="str">
        <x:v>CORSAIR</x:v>
      </x:c>
      <x:c r="E829" s="82" t="n">
        <x:v>107.8</x:v>
      </x:c>
      <x:c r="F829" s="34" t="str">
        <x:v>USD</x:v>
      </x:c>
      <x:c r="G829" s="34" t="str">
        <x:v>retail</x:v>
      </x:c>
      <x:c r="H829" s="34" t="str">
        <x:v>2026-06-29</x:v>
      </x:c>
      <x:c r="I829" s="34" t="str">
        <x:v>supportedMotherboardFormFactors=ATX/Micro-ATX/Mini-ITX; maxGpuLengthMm=380; maxCoolerHeightMm=170; psuFormFactors=ATX/SFX</x:v>
      </x:c>
      <x:c r="J829" s="34" t="str">
        <x:v>ATX, Micro-ATX, Mini-ITX, ca-retail, white, rgb, airflow</x:v>
      </x:c>
      <x:c r="K829" s="34" t="str">
        <x:v>ATX enclosure from CA retailer; clearance values are conservative when source omits them.</x:v>
      </x:c>
      <x:c r="L829" s="34" t="str">
        <x:v>https://www.canadacomputers.com/en/mid-tower-cases/236803/corsair-icue-4000d-rgb-airflow-mid-tower-case-true-white-3x-af120-rgb-elite-white-fans-icue-lighting-node-pro-controller-high-a-cc-9011241-ww.html</x:v>
      </x:c>
      <x:c r="M829" s="35" t="str">
        <x:v>https://www.canadacomputers.com/en/mid-tower-cases/236803/corsair-icue-4000d-rgb-airflow-mid-tower-case-true-white-3x-af120-rgb-elite-white-fans-icue-lighting-node-pro-controller-high-a-cc-9011241-ww.html</x:v>
      </x:c>
    </x:row>
    <x:row r="830">
      <x:c r="A830" s="33" t="str">
        <x:v>case</x:v>
      </x:c>
      <x:c r="B830" s="34" t="str">
        <x:v>ca-canadacomputers-case-corsair-3500x-rs-r-argb-mid-tower-pc-case-black</x:v>
      </x:c>
      <x:c r="C830" s="34" t="str">
        <x:v>CORSAIR 3500X RS-R ARGB Mid-Tower PC Case, Black</x:v>
      </x:c>
      <x:c r="D830" s="34" t="str">
        <x:v>CORSAIR</x:v>
      </x:c>
      <x:c r="E830" s="82" t="n">
        <x:v>77.56</x:v>
      </x:c>
      <x:c r="F830" s="34" t="str">
        <x:v>USD</x:v>
      </x:c>
      <x:c r="G830" s="34" t="str">
        <x:v>retail</x:v>
      </x:c>
      <x:c r="H830" s="34" t="str">
        <x:v>2026-06-29</x:v>
      </x:c>
      <x:c r="I830" s="34" t="str">
        <x:v>supportedMotherboardFormFactors=ATX/Micro-ATX/Mini-ITX; maxGpuLengthMm=380; maxCoolerHeightMm=170; psuFormFactors=ATX/SFX</x:v>
      </x:c>
      <x:c r="J830" s="34" t="str">
        <x:v>ATX, Micro-ATX, Mini-ITX, ca-retail, black, rgb</x:v>
      </x:c>
      <x:c r="K830" s="34" t="str">
        <x:v>ATX enclosure from CA retailer; clearance values are conservative when source omits them.</x:v>
      </x:c>
      <x:c r="L830" s="34" t="str">
        <x:v>https://www.canadacomputers.com/en/mid-tower-cases/275911/corsair-3500x-rs-r-argb-mid-tower-pc-case-black-cc-9011322-ww.html</x:v>
      </x:c>
      <x:c r="M830" s="35" t="str">
        <x:v>https://www.canadacomputers.com/en/mid-tower-cases/275911/corsair-3500x-rs-r-argb-mid-tower-pc-case-black-cc-9011322-ww.html</x:v>
      </x:c>
    </x:row>
    <x:row r="831">
      <x:c r="A831" s="33" t="str">
        <x:v>case</x:v>
      </x:c>
      <x:c r="B831" s="34" t="str">
        <x:v>ca-canadacomputers-case-corsair-3500x-rs-r-argb-mid-tower-pc-case-white</x:v>
      </x:c>
      <x:c r="C831" s="34" t="str">
        <x:v>CORSAIR 3500X RS-R ARGB Mid-Tower PC Case, White</x:v>
      </x:c>
      <x:c r="D831" s="34" t="str">
        <x:v>CORSAIR</x:v>
      </x:c>
      <x:c r="E831" s="82" t="n">
        <x:v>74.03</x:v>
      </x:c>
      <x:c r="F831" s="34" t="str">
        <x:v>USD</x:v>
      </x:c>
      <x:c r="G831" s="34" t="str">
        <x:v>retail</x:v>
      </x:c>
      <x:c r="H831" s="34" t="str">
        <x:v>2026-06-29</x:v>
      </x:c>
      <x:c r="I831" s="34" t="str">
        <x:v>supportedMotherboardFormFactors=ATX/Micro-ATX/Mini-ITX; maxGpuLengthMm=380; maxCoolerHeightMm=170; psuFormFactors=ATX/SFX</x:v>
      </x:c>
      <x:c r="J831" s="34" t="str">
        <x:v>ATX, Micro-ATX, Mini-ITX, ca-retail, white, rgb</x:v>
      </x:c>
      <x:c r="K831" s="34" t="str">
        <x:v>ATX enclosure from CA retailer; clearance values are conservative when source omits them.</x:v>
      </x:c>
      <x:c r="L831" s="34" t="str">
        <x:v>https://www.canadacomputers.com/en/mid-tower-cases/275914/corsair-3500x-rs-r-argb-mid-tower-pc-case-white-cc-9011323-ww.html</x:v>
      </x:c>
      <x:c r="M831" s="35" t="str">
        <x:v>https://www.canadacomputers.com/en/mid-tower-cases/275914/corsair-3500x-rs-r-argb-mid-tower-pc-case-white-cc-9011323-ww.html</x:v>
      </x:c>
    </x:row>
    <x:row r="832">
      <x:c r="A832" s="33" t="str">
        <x:v>case</x:v>
      </x:c>
      <x:c r="B832" s="34" t="str">
        <x:v>ca-canadacomputers-case-nzxt-h5-2023-flow-rgb-compact-mid-tower-atx-case-white</x:v>
      </x:c>
      <x:c r="C832" s="34" t="str">
        <x:v>Nzxt H5 (2023) Flow RGB Compact Mid-tower ATX case (White)</x:v>
      </x:c>
      <x:c r="D832" s="34" t="str">
        <x:v>NZXT</x:v>
      </x:c>
      <x:c r="E832" s="82" t="n">
        <x:v>112.81</x:v>
      </x:c>
      <x:c r="F832" s="34" t="str">
        <x:v>USD</x:v>
      </x:c>
      <x:c r="G832" s="34" t="str">
        <x:v>retail</x:v>
      </x:c>
      <x:c r="H832" s="34" t="str">
        <x:v>2026-06-29</x:v>
      </x:c>
      <x:c r="I832" s="34" t="str">
        <x:v>supportedMotherboardFormFactors=ATX/Micro-ATX/Mini-ITX; maxGpuLengthMm=380; maxCoolerHeightMm=170; psuFormFactors=ATX/SFX</x:v>
      </x:c>
      <x:c r="J832" s="34" t="str">
        <x:v>ATX, Micro-ATX, Mini-ITX, ca-retail, white, rgb</x:v>
      </x:c>
      <x:c r="K832" s="34" t="str">
        <x:v>ATX enclosure from CA retailer; clearance values are conservative when source omits them.</x:v>
      </x:c>
      <x:c r="L832" s="34" t="str">
        <x:v>https://www.canadacomputers.com/en/mid-tower-cases/235153/nzxt-h5-2023-flow-rgb-compact-mid-tower-atx-case-white-cc-h51fw-r1.html</x:v>
      </x:c>
      <x:c r="M832" s="35" t="str">
        <x:v>https://www.canadacomputers.com/en/mid-tower-cases/235153/nzxt-h5-2023-flow-rgb-compact-mid-tower-atx-case-white-cc-h51fw-r1.html</x:v>
      </x:c>
    </x:row>
    <x:row r="833">
      <x:c r="A833" s="33" t="str">
        <x:v>case</x:v>
      </x:c>
      <x:c r="B833" s="34" t="str">
        <x:v>ca-canadacomputers-case-nzxt-h5-flow-compact-mid-tower-atx-case-white</x:v>
      </x:c>
      <x:c r="C833" s="34" t="str">
        <x:v>Nzxt H5 Flow Compact Mid-tower ATX case (White)</x:v>
      </x:c>
      <x:c r="D833" s="34" t="str">
        <x:v>NZXT</x:v>
      </x:c>
      <x:c r="E833" s="82" t="n">
        <x:v>91.66</x:v>
      </x:c>
      <x:c r="F833" s="34" t="str">
        <x:v>USD</x:v>
      </x:c>
      <x:c r="G833" s="34" t="str">
        <x:v>retail</x:v>
      </x:c>
      <x:c r="H833" s="34" t="str">
        <x:v>2026-06-29</x:v>
      </x:c>
      <x:c r="I833" s="34" t="str">
        <x:v>supportedMotherboardFormFactors=ATX/Micro-ATX/Mini-ITX; maxGpuLengthMm=380; maxCoolerHeightMm=170; psuFormFactors=ATX/SFX</x:v>
      </x:c>
      <x:c r="J833" s="34" t="str">
        <x:v>ATX, Micro-ATX, Mini-ITX, ca-retail, white</x:v>
      </x:c>
      <x:c r="K833" s="34" t="str">
        <x:v>ATX enclosure from CA retailer; clearance values are conservative when source omits them.</x:v>
      </x:c>
      <x:c r="L833" s="34" t="str">
        <x:v>https://www.canadacomputers.com/en/mid-tower-cases/226547/nzxt-h5-flow-compact-mid-tower-atx-case-white-cc-h51fw-01.html</x:v>
      </x:c>
      <x:c r="M833" s="35" t="str">
        <x:v>https://www.canadacomputers.com/en/mid-tower-cases/226547/nzxt-h5-flow-compact-mid-tower-atx-case-white-cc-h51fw-01.html</x:v>
      </x:c>
    </x:row>
    <x:row r="834">
      <x:c r="A834" s="33" t="str">
        <x:v>case</x:v>
      </x:c>
      <x:c r="B834" s="34" t="str">
        <x:v>ca-canadacomputers-case-nzxt-h5-flow-rgb-case-white</x:v>
      </x:c>
      <x:c r="C834" s="34" t="str">
        <x:v>NZXT H5 Flow RGB Case, White</x:v>
      </x:c>
      <x:c r="D834" s="34" t="str">
        <x:v>NZXT</x:v>
      </x:c>
      <x:c r="E834" s="82" t="n">
        <x:v>98.71</x:v>
      </x:c>
      <x:c r="F834" s="34" t="str">
        <x:v>USD</x:v>
      </x:c>
      <x:c r="G834" s="34" t="str">
        <x:v>retail</x:v>
      </x:c>
      <x:c r="H834" s="34" t="str">
        <x:v>2026-06-29</x:v>
      </x:c>
      <x:c r="I834" s="34" t="str">
        <x:v>supportedMotherboardFormFactors=ATX/Micro-ATX/Mini-ITX; maxGpuLengthMm=380; maxCoolerHeightMm=170; psuFormFactors=ATX/SFX</x:v>
      </x:c>
      <x:c r="J834" s="34" t="str">
        <x:v>ATX, Micro-ATX, Mini-ITX, ca-retail, white, rgb</x:v>
      </x:c>
      <x:c r="K834" s="34" t="str">
        <x:v>ATX enclosure from CA retailer; clearance values are conservative when source omits them.</x:v>
      </x:c>
      <x:c r="L834" s="34" t="str">
        <x:v>https://www.canadacomputers.com/en/mid-tower-cases/262345/nzxt-h5-flow-rgb-case-white-cc-h52fw-r1.html</x:v>
      </x:c>
      <x:c r="M834" s="35" t="str">
        <x:v>https://www.canadacomputers.com/en/mid-tower-cases/262345/nzxt-h5-flow-rgb-case-white-cc-h52fw-r1.html</x:v>
      </x:c>
    </x:row>
    <x:row r="835">
      <x:c r="A835" s="38" t="str">
        <x:v>case</x:v>
      </x:c>
      <x:c r="B835" s="39" t="str">
        <x:v>ca-canadacomputers-case-nzxt-h6-flow-compact-dual-chamber-mid-tower-airflow-case-white</x:v>
      </x:c>
      <x:c r="C835" s="39" t="str">
        <x:v>NZXT H6 FLOW Compact Dual-Chamber Mid-Tower Airflow Case, White</x:v>
      </x:c>
      <x:c r="D835" s="39" t="str">
        <x:v>NZXT</x:v>
      </x:c>
      <x:c r="E835" s="83" t="n">
        <x:v>88.13</x:v>
      </x:c>
      <x:c r="F835" s="39" t="str">
        <x:v>USD</x:v>
      </x:c>
      <x:c r="G835" s="39" t="str">
        <x:v>retail</x:v>
      </x:c>
      <x:c r="H835" s="39" t="str">
        <x:v>2026-06-29</x:v>
      </x:c>
      <x:c r="I835" s="39" t="str">
        <x:v>supportedMotherboardFormFactors=ATX/Micro-ATX/Mini-ITX; maxGpuLengthMm=380; maxCoolerHeightMm=170; psuFormFactors=ATX/SFX</x:v>
      </x:c>
      <x:c r="J835" s="39" t="str">
        <x:v>ATX, Micro-ATX, Mini-ITX, ca-retail, white, airflow, panoramic</x:v>
      </x:c>
      <x:c r="K835" s="39" t="str">
        <x:v>ATX enclosure from CA retailer; clearance values are conservative when source omits them.</x:v>
      </x:c>
      <x:c r="L835" s="39" t="str">
        <x:v>https://www.canadacomputers.com/en/mid-tower-cases/246257/nzxt-h6-flow-compact-dual-chamber-mid-tower-airflow-case-white-cc-h61fw-01.html</x:v>
      </x:c>
      <x:c r="M835" s="40" t="str">
        <x:v>https://www.canadacomputers.com/en/mid-tower-cases/246257/nzxt-h6-flow-compact-dual-chamber-mid-tower-airflow-case-white-cc-h61fw-01.html</x:v>
      </x:c>
    </x:row>
  </x:sheetData>
  <x:mergeCells>
    <x:mergeCell ref="A1:M1"/>
    <x:mergeCell ref="A2:M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19" hidden="0" customWidth="1"/>
    <x:col min="3" max="3" width="19" hidden="0" customWidth="1"/>
    <x:col min="4" max="4" width="19" hidden="0" customWidth="1"/>
    <x:col min="5" max="5" width="13" hidden="0" customWidth="1"/>
    <x:col min="6" max="6" width="48" hidden="0" customWidth="1"/>
    <x:col min="7" max="7" width="72" hidden="0" customWidth="1"/>
    <x:col min="8" max="8" width="16" hidden="0" customWidth="1"/>
  </x:cols>
  <x:sheetData>
    <x:row r="1" ht="38" customHeight="1">
      <x:c r="A1" s="3" t="str">
        <x:v>Parts Field Audit</x:v>
      </x:c>
      <x:c r="B1" s="3"/>
      <x:c r="C1" s="3"/>
      <x:c r="D1" s="3"/>
      <x:c r="E1" s="3"/>
      <x:c r="F1" s="3"/>
      <x:c r="G1" s="3"/>
      <x:c r="H1" s="3"/>
    </x:row>
    <x:row r="2" ht="22" customHeight="1">
      <x:c r="A2" s="6" t="str">
        <x:v>830-part combined catalog · 430 cleaned CA parts · range, semantics, provenance and known-model verification</x:v>
      </x:c>
      <x:c r="B2" s="6"/>
      <x:c r="C2" s="6"/>
      <x:c r="D2" s="6"/>
      <x:c r="E2" s="6"/>
      <x:c r="F2" s="6"/>
      <x:c r="G2" s="6"/>
      <x:c r="H2" s="6"/>
    </x:row>
    <x:row r="4" ht="28" customHeight="1">
      <x:c r="A4" s="30" t="str">
        <x:v>Metric</x:v>
      </x:c>
      <x:c r="B4" s="31" t="str">
        <x:v>Value</x:v>
      </x:c>
      <x:c r="C4" s="31" t="str">
        <x:v>Metric</x:v>
      </x:c>
      <x:c r="D4" s="31" t="str">
        <x:v>Value</x:v>
      </x:c>
      <x:c r="E4" s="31" t="str">
        <x:v>Metric</x:v>
      </x:c>
      <x:c r="F4" s="31" t="str">
        <x:v>Value</x:v>
      </x:c>
      <x:c r="G4" s="31" t="str">
        <x:v>Metric</x:v>
      </x:c>
      <x:c r="H4" s="32" t="str">
        <x:v>Value</x:v>
      </x:c>
    </x:row>
    <x:row r="5">
      <x:c r="A5" s="33" t="str">
        <x:v>Total parts</x:v>
      </x:c>
      <x:c r="B5" s="34" t="n">
        <x:v>830</x:v>
      </x:c>
      <x:c r="C5" s="34" t="str">
        <x:v>CA parts</x:v>
      </x:c>
      <x:c r="D5" s="34" t="n">
        <x:v>430</x:v>
      </x:c>
      <x:c r="E5" s="34" t="str">
        <x:v>Audit errors</x:v>
      </x:c>
      <x:c r="F5" s="34" t="n">
        <x:v>0</x:v>
      </x:c>
      <x:c r="G5" s="34" t="str">
        <x:v>Audit warnings</x:v>
      </x:c>
      <x:c r="H5" s="35" t="n">
        <x:v>0</x:v>
      </x:c>
    </x:row>
    <x:row r="6">
      <x:c r="A6" s="38" t="str">
        <x:v>CA snapshots</x:v>
      </x:c>
      <x:c r="B6" s="39" t="n">
        <x:v>444</x:v>
      </x:c>
      <x:c r="C6" s="39" t="str">
        <x:v>Duplicates merged</x:v>
      </x:c>
      <x:c r="D6" s="39" t="n">
        <x:v>14</x:v>
      </x:c>
      <x:c r="E6" s="39" t="str">
        <x:v>FX rate CAD→USD</x:v>
      </x:c>
      <x:c r="F6" s="39" t="n">
        <x:v>0.70511</x:v>
      </x:c>
      <x:c r="G6" s="39" t="str">
        <x:v>FX date</x:v>
      </x:c>
      <x:c r="H6" s="40" t="str">
        <x:v>2026-06-26</x:v>
      </x:c>
    </x:row>
    <x:row r="8" ht="28" customHeight="1">
      <x:c r="A8" s="30" t="str">
        <x:v>Category</x:v>
      </x:c>
      <x:c r="B8" s="31" t="str">
        <x:v>Combined parts</x:v>
      </x:c>
      <x:c r="C8" s="31" t="str">
        <x:v>Clean CA parts</x:v>
      </x:c>
      <x:c r="D8" s="31" t="str">
        <x:v>Target</x:v>
      </x:c>
      <x:c r="E8" s="32" t="str">
        <x:v>Status</x:v>
      </x:c>
    </x:row>
    <x:row r="9">
      <x:c r="A9" s="33" t="str">
        <x:v>cpu</x:v>
      </x:c>
      <x:c r="B9" s="34" t="n">
        <x:v>75</x:v>
      </x:c>
      <x:c r="C9" s="34" t="n">
        <x:v>25</x:v>
      </x:c>
      <x:c r="D9" s="34" t="n">
        <x:v>50</x:v>
      </x:c>
      <x:c r="E9" s="86" t="str">
        <x:f>IF(B9&gt;=D9,"PASS","FAIL")</x:f>
        <x:v>PASS</x:v>
      </x:c>
    </x:row>
    <x:row r="10">
      <x:c r="A10" s="33" t="str">
        <x:v>gpu</x:v>
      </x:c>
      <x:c r="B10" s="34" t="n">
        <x:v>91</x:v>
      </x:c>
      <x:c r="C10" s="34" t="n">
        <x:v>41</x:v>
      </x:c>
      <x:c r="D10" s="34" t="n">
        <x:v>50</x:v>
      </x:c>
      <x:c r="E10" s="86" t="str">
        <x:f>IF(B10&gt;=D10,"PASS","FAIL")</x:f>
        <x:v>PASS</x:v>
      </x:c>
    </x:row>
    <x:row r="11">
      <x:c r="A11" s="33" t="str">
        <x:v>motherboard</x:v>
      </x:c>
      <x:c r="B11" s="34" t="n">
        <x:v>128</x:v>
      </x:c>
      <x:c r="C11" s="34" t="n">
        <x:v>78</x:v>
      </x:c>
      <x:c r="D11" s="34" t="n">
        <x:v>50</x:v>
      </x:c>
      <x:c r="E11" s="86" t="str">
        <x:f>IF(B11&gt;=D11,"PASS","FAIL")</x:f>
        <x:v>PASS</x:v>
      </x:c>
    </x:row>
    <x:row r="12">
      <x:c r="A12" s="33" t="str">
        <x:v>ram</x:v>
      </x:c>
      <x:c r="B12" s="34" t="n">
        <x:v>128</x:v>
      </x:c>
      <x:c r="C12" s="34" t="n">
        <x:v>78</x:v>
      </x:c>
      <x:c r="D12" s="34" t="n">
        <x:v>50</x:v>
      </x:c>
      <x:c r="E12" s="86" t="str">
        <x:f>IF(B12&gt;=D12,"PASS","FAIL")</x:f>
        <x:v>PASS</x:v>
      </x:c>
    </x:row>
    <x:row r="13">
      <x:c r="A13" s="33" t="str">
        <x:v>storage</x:v>
      </x:c>
      <x:c r="B13" s="34" t="n">
        <x:v>127</x:v>
      </x:c>
      <x:c r="C13" s="34" t="n">
        <x:v>77</x:v>
      </x:c>
      <x:c r="D13" s="34" t="n">
        <x:v>50</x:v>
      </x:c>
      <x:c r="E13" s="86" t="str">
        <x:f>IF(B13&gt;=D13,"PASS","FAIL")</x:f>
        <x:v>PASS</x:v>
      </x:c>
    </x:row>
    <x:row r="14">
      <x:c r="A14" s="33" t="str">
        <x:v>cooler</x:v>
      </x:c>
      <x:c r="B14" s="34" t="n">
        <x:v>90</x:v>
      </x:c>
      <x:c r="C14" s="34" t="n">
        <x:v>40</x:v>
      </x:c>
      <x:c r="D14" s="34" t="n">
        <x:v>50</x:v>
      </x:c>
      <x:c r="E14" s="86" t="str">
        <x:f>IF(B14&gt;=D14,"PASS","FAIL")</x:f>
        <x:v>PASS</x:v>
      </x:c>
    </x:row>
    <x:row r="15">
      <x:c r="A15" s="33" t="str">
        <x:v>psu</x:v>
      </x:c>
      <x:c r="B15" s="34" t="n">
        <x:v>96</x:v>
      </x:c>
      <x:c r="C15" s="34" t="n">
        <x:v>46</x:v>
      </x:c>
      <x:c r="D15" s="34" t="n">
        <x:v>50</x:v>
      </x:c>
      <x:c r="E15" s="86" t="str">
        <x:f>IF(B15&gt;=D15,"PASS","FAIL")</x:f>
        <x:v>PASS</x:v>
      </x:c>
    </x:row>
    <x:row r="16">
      <x:c r="A16" s="38" t="str">
        <x:v>case</x:v>
      </x:c>
      <x:c r="B16" s="39" t="n">
        <x:v>95</x:v>
      </x:c>
      <x:c r="C16" s="39" t="n">
        <x:v>45</x:v>
      </x:c>
      <x:c r="D16" s="39" t="n">
        <x:v>50</x:v>
      </x:c>
      <x:c r="E16" s="89" t="str">
        <x:f>IF(B16&gt;=D16,"PASS","FAIL")</x:f>
        <x:v>PASS</x:v>
      </x:c>
    </x:row>
    <x:row r="19" ht="28" customHeight="1">
      <x:c r="A19" s="30" t="str">
        <x:v>Known model / rule</x:v>
      </x:c>
      <x:c r="B19" s="31" t="str">
        <x:v>Source field</x:v>
      </x:c>
      <x:c r="C19" s="31" t="str">
        <x:v>Expected</x:v>
      </x:c>
      <x:c r="D19" s="31" t="str">
        <x:v>Observed</x:v>
      </x:c>
      <x:c r="E19" s="31" t="str">
        <x:v>Status</x:v>
      </x:c>
      <x:c r="F19" s="31" t="str">
        <x:v>Evidence / rationale</x:v>
      </x:c>
      <x:c r="G19" s="31" t="str">
        <x:v>Source URL</x:v>
      </x:c>
      <x:c r="H19" s="32" t="str">
        <x:v>Scope</x:v>
      </x:c>
    </x:row>
    <x:row r="20">
      <x:c r="A20" s="33" t="str">
        <x:v>RTX 5090</x:v>
      </x:c>
      <x:c r="B20" s="34" t="str">
        <x:v>VRAM / board power</x:v>
      </x:c>
      <x:c r="C20" s="34" t="str">
        <x:v>32GB / 575W</x:v>
      </x:c>
      <x:c r="D20" s="34" t="str">
        <x:v>32GB / 575W</x:v>
      </x:c>
      <x:c r="E20" s="70" t="str">
        <x:v>PASS</x:v>
      </x:c>
      <x:c r="F20" s="34" t="str">
        <x:v>Standard RTX 5090 is distinct from export-market D V2</x:v>
      </x:c>
      <x:c r="G20" s="34" t="str">
        <x:v>https://www.nvidia.com/en-us/geforce/graphics-cards/50-series/rtx-5090/</x:v>
      </x:c>
      <x:c r="H20" s="35" t="str">
        <x:v>Curated + CA</x:v>
      </x:c>
    </x:row>
    <x:row r="21">
      <x:c r="A21" s="33" t="str">
        <x:v>RTX 5090 D V2</x:v>
      </x:c>
      <x:c r="B21" s="34" t="str">
        <x:v>VRAM / board power</x:v>
      </x:c>
      <x:c r="C21" s="34" t="str">
        <x:v>24GB / 575W</x:v>
      </x:c>
      <x:c r="D21" s="34" t="str">
        <x:v>24GB / 575W</x:v>
      </x:c>
      <x:c r="E21" s="70" t="str">
        <x:v>PASS</x:v>
      </x:c>
      <x:c r="F21" s="34" t="str">
        <x:v>SKU contains RTX5090DV2; 24GB is intentional</x:v>
      </x:c>
      <x:c r="G21" s="34" t="str">
        <x:v>https://www.nvidia.cn/geforce/graphics-cards/50-series/rtx-5090-d-v2/</x:v>
      </x:c>
      <x:c r="H21" s="35" t="str">
        <x:v>CA</x:v>
      </x:c>
    </x:row>
    <x:row r="22">
      <x:c r="A22" s="33" t="str">
        <x:v>Core Ultra 7 270K Plus</x:v>
      </x:c>
      <x:c r="B22" s="34" t="str">
        <x:v>Cores / threads / max power</x:v>
      </x:c>
      <x:c r="C22" s="34" t="str">
        <x:v>24 / 24 / 250W</x:v>
      </x:c>
      <x:c r="D22" s="34" t="str">
        <x:v>24 / 24 / 250W</x:v>
      </x:c>
      <x:c r="E22" s="70" t="str">
        <x:v>PASS</x:v>
      </x:c>
      <x:c r="F22" s="34" t="str">
        <x:v>Model fact overrides ambiguous title parsing</x:v>
      </x:c>
      <x:c r="G22" s="34" t="str">
        <x:v>https://www.intel.com/content/www/us/en/products/sku/245692/intel-core-ultra-7-processor-270k-plus-36m-cache-up-to-5-50-ghz/specifications.html</x:v>
      </x:c>
      <x:c r="H22" s="35" t="str">
        <x:v>CA</x:v>
      </x:c>
    </x:row>
    <x:row r="23">
      <x:c r="A23" s="33" t="str">
        <x:v>Core Ultra 5 250K Plus</x:v>
      </x:c>
      <x:c r="B23" s="34" t="str">
        <x:v>Cores / threads / max power</x:v>
      </x:c>
      <x:c r="C23" s="34" t="str">
        <x:v>18 / 18 / 159W</x:v>
      </x:c>
      <x:c r="D23" s="34" t="str">
        <x:v>18 / 18 / 159W</x:v>
      </x:c>
      <x:c r="E23" s="70" t="str">
        <x:v>PASS</x:v>
      </x:c>
      <x:c r="F23" s="34" t="str">
        <x:v>Arrow Lake has no Hyper-Threading</x:v>
      </x:c>
      <x:c r="G23" s="34" t="str">
        <x:v>https://www.intel.com/content/www/us/en/products/sku/245694/intel-core-ultra-5-processor-250k-plus-30m-cache-up-to-5-30-ghz/specifications.html</x:v>
      </x:c>
      <x:c r="H23" s="35" t="str">
        <x:v>CA</x:v>
      </x:c>
    </x:row>
    <x:row r="24">
      <x:c r="A24" s="33" t="str">
        <x:v>Ryzen 9 9950X3D</x:v>
      </x:c>
      <x:c r="B24" s="34" t="str">
        <x:v>Cores / threads / TDP</x:v>
      </x:c>
      <x:c r="C24" s="34" t="str">
        <x:v>16 / 32 / 170W</x:v>
      </x:c>
      <x:c r="D24" s="34" t="str">
        <x:v>16 / 32 / 170W</x:v>
      </x:c>
      <x:c r="E24" s="70" t="str">
        <x:v>PASS</x:v>
      </x:c>
      <x:c r="F24" s="34" t="str">
        <x:v>Official AMD specification</x:v>
      </x:c>
      <x:c r="G24" s="34" t="str">
        <x:v>https://www.amd.com/en/products/processors/desktops/ryzen/9000-series/amd-ryzen-9-9950x3d.html</x:v>
      </x:c>
      <x:c r="H24" s="35" t="str">
        <x:v>Curated</x:v>
      </x:c>
    </x:row>
    <x:row r="25">
      <x:c r="A25" s="33" t="str">
        <x:v>Samsung 9100 PRO 2TB</x:v>
      </x:c>
      <x:c r="B25" s="34" t="str">
        <x:v>Sequential read / write</x:v>
      </x:c>
      <x:c r="C25" s="34" t="str">
        <x:v>14800 / 13400 MB/s</x:v>
      </x:c>
      <x:c r="D25" s="34" t="str">
        <x:v>14800 / 13400 MB/s</x:v>
      </x:c>
      <x:c r="E25" s="70" t="str">
        <x:v>PASS</x:v>
      </x:c>
      <x:c r="F25" s="34" t="str">
        <x:v>Thousands separators parsed as one number</x:v>
      </x:c>
      <x:c r="G25" s="34" t="str">
        <x:v>https://www.newegg.ca/p/9SIB4UBKVV8399</x:v>
      </x:c>
      <x:c r="H25" s="35" t="str">
        <x:v>CA</x:v>
      </x:c>
    </x:row>
    <x:row r="26">
      <x:c r="A26" s="33" t="str">
        <x:v>Silicon Power UD90 4TB</x:v>
      </x:c>
      <x:c r="B26" s="34" t="str">
        <x:v>Sequential read / write</x:v>
      </x:c>
      <x:c r="C26" s="34" t="str">
        <x:v>5000 / 4500 MB/s</x:v>
      </x:c>
      <x:c r="D26" s="34" t="str">
        <x:v>5000 / 4500 MB/s</x:v>
      </x:c>
      <x:c r="E26" s="70" t="str">
        <x:v>PASS</x:v>
      </x:c>
      <x:c r="F26" s="34" t="str">
        <x:v>R/W pair parsed from listing title</x:v>
      </x:c>
      <x:c r="G26" s="34" t="str">
        <x:v>https://www.newegg.ca/p/9SIBYK2KDD2291</x:v>
      </x:c>
      <x:c r="H26" s="35" t="str">
        <x:v>CA</x:v>
      </x:c>
    </x:row>
    <x:row r="27">
      <x:c r="A27" s="38" t="str">
        <x:v>MSI PRO H810I WIFI</x:v>
      </x:c>
      <x:c r="B27" s="39" t="str">
        <x:v>Form factor / socket</x:v>
      </x:c>
      <x:c r="C27" s="39" t="str">
        <x:v>Mini-ITX / LGA1851</x:v>
      </x:c>
      <x:c r="D27" s="39" t="str">
        <x:v>Mini-ITX / LGA1851</x:v>
      </x:c>
      <x:c r="E27" s="92" t="str">
        <x:v>PASS</x:v>
      </x:c>
      <x:c r="F27" s="39" t="str">
        <x:v>I-suffix motherboard heuristic verified</x:v>
      </x:c>
      <x:c r="G27" s="39" t="str">
        <x:v>https://www.canadacomputers.com/en/intel-motherboards/280280/msi-pro-h810i-wifi-support-intel-coretm-ultra-processors-motherboard-pro-h810i-wifi.html</x:v>
      </x:c>
      <x:c r="H27" s="40" t="str">
        <x:v>CA</x:v>
      </x:c>
    </x:row>
    <x:row r="30" ht="28" customHeight="1">
      <x:c r="A30" s="30" t="str">
        <x:v>Filtered reason</x:v>
      </x:c>
      <x:c r="B30" s="31" t="str">
        <x:v>Listings removed</x:v>
      </x:c>
      <x:c r="C30" s="31" t="str">
        <x:v>Filtered reason</x:v>
      </x:c>
      <x:c r="D30" s="32" t="str">
        <x:v>Listings removed</x:v>
      </x:c>
    </x:row>
    <x:row r="31">
      <x:c r="A31" s="33" t="str">
        <x:v>not-pc-case</x:v>
      </x:c>
      <x:c r="B31" s="34" t="n">
        <x:v>19</x:v>
      </x:c>
      <x:c r="C31" s="34" t="str">
        <x:v>not-desktop-cooler</x:v>
      </x:c>
      <x:c r="D31" s="35" t="n">
        <x:v>15</x:v>
      </x:c>
    </x:row>
    <x:row r="32">
      <x:c r="A32" s="33" t="str">
        <x:v>combo-or-bundle</x:v>
      </x:c>
      <x:c r="B32" s="34" t="n">
        <x:v>30</x:v>
      </x:c>
      <x:c r="C32" s="34" t="str">
        <x:v>not-desktop-cpu</x:v>
      </x:c>
      <x:c r="D32" s="35" t="n">
        <x:v>4</x:v>
      </x:c>
    </x:row>
    <x:row r="33">
      <x:c r="A33" s="33" t="str">
        <x:v>complete-system</x:v>
      </x:c>
      <x:c r="B33" s="34" t="n">
        <x:v>46</x:v>
      </x:c>
      <x:c r="C33" s="34" t="str">
        <x:v>price-outlier</x:v>
      </x:c>
      <x:c r="D33" s="35" t="n">
        <x:v>3</x:v>
      </x:c>
    </x:row>
    <x:row r="34">
      <x:c r="A34" s="33" t="str">
        <x:v>not-graphics-card</x:v>
      </x:c>
      <x:c r="B34" s="34" t="n">
        <x:v>17</x:v>
      </x:c>
      <x:c r="C34" s="34" t="str">
        <x:v>unsupported-eatx</x:v>
      </x:c>
      <x:c r="D34" s="35" t="n">
        <x:v>4</x:v>
      </x:c>
    </x:row>
    <x:row r="35">
      <x:c r="A35" s="33" t="str">
        <x:v>not-power-supply</x:v>
      </x:c>
      <x:c r="B35" s="34" t="n">
        <x:v>34</x:v>
      </x:c>
      <x:c r="C35" s="34" t="str">
        <x:v>non-new-condition</x:v>
      </x:c>
      <x:c r="D35" s="35" t="n">
        <x:v>21</x:v>
      </x:c>
    </x:row>
    <x:row r="36">
      <x:c r="A36" s="33" t="str">
        <x:v>not-processor-listing</x:v>
      </x:c>
      <x:c r="B36" s="34" t="n">
        <x:v>1</x:v>
      </x:c>
      <x:c r="C36" s="34" t="str">
        <x:v>not-target-gpu</x:v>
      </x:c>
      <x:c r="D36" s="35" t="n">
        <x:v>2</x:v>
      </x:c>
    </x:row>
    <x:row r="37">
      <x:c r="A37" s="38" t="str">
        <x:v>non-desktop-memory</x:v>
      </x:c>
      <x:c r="B37" s="39" t="n">
        <x:v>1</x:v>
      </x:c>
      <x:c r="C37" s="39" t="str">
        <x:v>not-internal-ssd</x:v>
      </x:c>
      <x:c r="D37" s="40" t="n">
        <x:v>1</x:v>
      </x:c>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8" hidden="0" customWidth="1"/>
    <x:col min="2" max="2" width="90" hidden="0" customWidth="1"/>
    <x:col min="3" max="3" width="42" hidden="0" customWidth="1"/>
    <x:col min="4" max="4" width="20" hidden="0" customWidth="1"/>
    <x:col min="5" max="5" width="20" hidden="0" customWidth="1"/>
    <x:col min="6" max="6" width="20" hidden="0" customWidth="1"/>
  </x:cols>
  <x:sheetData>
    <x:row r="1" ht="38" customHeight="1">
      <x:c r="A1" s="3" t="str">
        <x:v>Sources, Method &amp; Audit Rules</x:v>
      </x:c>
      <x:c r="B1" s="3"/>
      <x:c r="C1" s="3"/>
      <x:c r="D1" s="3"/>
      <x:c r="E1" s="3"/>
      <x:c r="F1" s="3"/>
    </x:row>
    <x:row r="2" ht="22" customHeight="1">
      <x:c r="A2" s="6" t="str">
        <x:v>Reproducibility notes for this demo evaluation</x:v>
      </x:c>
      <x:c r="B2" s="6"/>
      <x:c r="C2" s="6"/>
      <x:c r="D2" s="6"/>
      <x:c r="E2" s="6"/>
      <x:c r="F2" s="6"/>
    </x:row>
    <x:row r="4" ht="28" customHeight="1">
      <x:c r="A4" s="30" t="str">
        <x:v>Method item</x:v>
      </x:c>
      <x:c r="B4" s="32" t="str">
        <x:v>Detail</x:v>
      </x:c>
    </x:row>
    <x:row r="5">
      <x:c r="A5" s="33" t="str">
        <x:v>Execution</x:v>
      </x:c>
      <x:c r="B5" s="35" t="str">
        <x:v>10 sequential POST requests to /api/rag/recommend on localhost; API route used because it is faster and more reproducible than browser clicking.</x:v>
      </x:c>
    </x:row>
    <x:row r="6">
      <x:c r="A6" s="33" t="str">
        <x:v>LLM</x:v>
      </x:c>
      <x:c r="B6" s="35" t="str">
        <x:v>All requests explicitly used deepseek-v4-flash with thinking=disabled. parserMode had to equal deepseek.</x:v>
      </x:c>
    </x:row>
    <x:row r="7">
      <x:c r="A7" s="33" t="str">
        <x:v>Embedding isolation</x:v>
      </x:c>
      <x:c r="B7" s="35" t="str">
        <x:v>Every response had to report retrieval=vector, provider=ollama, model=nomic-embed-text. Mixed local/Gemini vector rows are a hard failure.</x:v>
      </x:c>
    </x:row>
    <x:row r="8">
      <x:c r="A8" s="33" t="str">
        <x:v>Remote endpoint</x:v>
      </x:c>
      <x:c r="B8" s="35" t="str">
        <x:v>Ollama runs on the user's RTX 5090 machine over Tailscale. The workbook intentionally omits API keys and secrets.</x:v>
      </x:c>
    </x:row>
    <x:row r="9">
      <x:c r="A9" s="33" t="str">
        <x:v>Hard error rules</x:v>
      </x:c>
      <x:c r="B9" s="35" t="str">
        <x:v>Parser fallback; wrong currency/budget; required brand/capacity/color/SFF violation; compatibility FAIL; &gt;120% budget; missing evidence; non-Ollama embedding.</x:v>
      </x:c>
    </x:row>
    <x:row r="10">
      <x:c r="A10" s="33" t="str">
        <x:v>Warning rules</x:v>
      </x:c>
      <x:c r="B10" s="35" t="str">
        <x:v>100–120% budget, deterministic WARNING, or defensible multi-workload classification difference.</x:v>
      </x:c>
    </x:row>
    <x:row r="11">
      <x:c r="A11" s="33" t="str">
        <x:v>Price caveat</x:v>
      </x:c>
      <x:c r="B11" s="35" t="str">
        <x:v>CA retail prices were captured in CAD and converted to USD using the ECB-backed Frankfurter CAD→USD rate. Prices and stock remain time-sensitive observations.</x:v>
      </x:c>
    </x:row>
    <x:row r="12">
      <x:c r="A12" s="33" t="str">
        <x:v>Before/after</x:v>
      </x:c>
      <x:c r="B12" s="35" t="str">
        <x:v>The preliminary 3 PASS / 3 WARNING / 4 FAIL run is preserved in rag-demo-results-pre-fix.json. Fixes added affordable candidate diversity, socket/form-factor coverage, hard SFF filtering, panoramic filtering, tier-aware boards and full-catalog PSU fallback.</x:v>
      </x:c>
    </x:row>
    <x:row r="13">
      <x:c r="A13" s="33" t="str">
        <x:v>Field verification</x:v>
      </x:c>
      <x:c r="B13" s="35" t="str">
        <x:v>audit:parts checks required fields, numeric ranges, semantic category contamination, provenance, duplicates, category counts and known-model facts. Final result: 0 errors / 0 warnings.</x:v>
      </x:c>
    </x:row>
    <x:row r="14">
      <x:c r="A14" s="33" t="str">
        <x:v>Build verification</x:v>
      </x:c>
      <x:c r="B14" s="35" t="str">
        <x:v>TypeScript typecheck completed successfully after the final catalog and RAG changes.</x:v>
      </x:c>
    </x:row>
    <x:row r="15">
      <x:c r="A15" s="38" t="str">
        <x:v>Regression suites</x:v>
      </x:c>
      <x:c r="B15" s="40" t="str">
        <x:v>test:rag passed parser, brand, negative lighting and compatibility constraints; test:conversation passed patch scope, compatibility dependencies, explanation immutability, optimization and explicit rebuild routing.</x:v>
      </x:c>
    </x:row>
    <x:row r="17" ht="28" customHeight="1">
      <x:c r="A17" s="30" t="str">
        <x:v>Source title</x:v>
      </x:c>
      <x:c r="B17" s="31" t="str">
        <x:v>URL</x:v>
      </x:c>
      <x:c r="C17" s="31" t="str">
        <x:v>Used for</x:v>
      </x:c>
      <x:c r="D17" s="31" t="str">
        <x:v>Type</x:v>
      </x:c>
      <x:c r="E17" s="31" t="str">
        <x:v>Price caveat</x:v>
      </x:c>
      <x:c r="F17" s="32" t="str">
        <x:v>Accessed</x:v>
      </x:c>
    </x:row>
    <x:row r="18">
      <x:c r="A18" s="33" t="str">
        <x:v>GeForce RTX 5080 Founders Edition price source</x:v>
      </x:c>
      <x:c r="B18" s="34" t="str">
        <x:v>https://www.nvidia.com/en-us/geforce/graphics-cards/50-series/rtx-5080/</x:v>
      </x:c>
      <x:c r="C18" s="34" t="str">
        <x:v>gpu price seed</x:v>
      </x:c>
      <x:c r="D18" s="34" t="str">
        <x:v>Price/reference</x:v>
      </x:c>
      <x:c r="E18" s="34" t="str">
        <x:v>msrp</x:v>
      </x:c>
      <x:c r="F18" s="35" t="str">
        <x:v>2026-06-28</x:v>
      </x:c>
    </x:row>
    <x:row r="19">
      <x:c r="A19" s="33" t="str">
        <x:v>GeForce RTX 5070 Founders Edition price source</x:v>
      </x:c>
      <x:c r="B19" s="34" t="str">
        <x:v>https://www.nvidia.com/en-us/geforce/graphics-cards/50-series/rtx-5070-family/</x:v>
      </x:c>
      <x:c r="C19" s="34" t="str">
        <x:v>gpu price seed</x:v>
      </x:c>
      <x:c r="D19" s="34" t="str">
        <x:v>Price/reference</x:v>
      </x:c>
      <x:c r="E19" s="34" t="str">
        <x:v>msrp</x:v>
      </x:c>
      <x:c r="F19" s="35" t="str">
        <x:v>2026-06-28</x:v>
      </x:c>
    </x:row>
    <x:row r="20">
      <x:c r="A20" s="33" t="str">
        <x:v>GeForce RTX 5060 Ti 16GB price source</x:v>
      </x:c>
      <x:c r="B20" s="34" t="str">
        <x:v>https://www.nvidia.com/en-us/geforce/graphics-cards/50-series/rtx-5060-family/</x:v>
      </x:c>
      <x:c r="C20" s="34" t="str">
        <x:v>gpu price seed</x:v>
      </x:c>
      <x:c r="D20" s="34" t="str">
        <x:v>Price/reference</x:v>
      </x:c>
      <x:c r="E20" s="34" t="str">
        <x:v>reference</x:v>
      </x:c>
      <x:c r="F20" s="35" t="str">
        <x:v>2026-06-28</x:v>
      </x:c>
    </x:row>
    <x:row r="21">
      <x:c r="A21" s="33" t="str">
        <x:v>Radeon RX 9070 XT</x:v>
      </x:c>
      <x:c r="B21" s="34" t="str">
        <x:v>https://www.amd.com/en/products/graphics/desktops/radeon/9000-series/amd-radeon-rx-9070xt.html</x:v>
      </x:c>
      <x:c r="C21" s="34" t="str">
        <x:v>gpu specifications</x:v>
      </x:c>
      <x:c r="D21" s="34" t="str">
        <x:v>Manufacturer/specification</x:v>
      </x:c>
      <x:c r="E21" s="34" t="str">
        <x:v>msrp</x:v>
      </x:c>
      <x:c r="F21" s="35" t="str">
        <x:v>2026-06-28</x:v>
      </x:c>
    </x:row>
    <x:row r="22">
      <x:c r="A22" s="33" t="str">
        <x:v>Intel Arc B580 Limited Edition price source</x:v>
      </x:c>
      <x:c r="B22" s="34" t="str">
        <x:v>https://www.intel.com/content/www/us/en/products/sku/241598/intel-arc-b580-graphics/ordering.html</x:v>
      </x:c>
      <x:c r="C22" s="34" t="str">
        <x:v>gpu price seed</x:v>
      </x:c>
      <x:c r="D22" s="34" t="str">
        <x:v>Price/reference</x:v>
      </x:c>
      <x:c r="E22" s="34" t="str">
        <x:v>msrp</x:v>
      </x:c>
      <x:c r="F22" s="35" t="str">
        <x:v>2026-06-28</x:v>
      </x:c>
    </x:row>
    <x:row r="23">
      <x:c r="A23" s="33" t="str">
        <x:v>Ryzen 9 9950X3D2 Dual Edition price source</x:v>
      </x:c>
      <x:c r="B23" s="34" t="str">
        <x:v>https://www.amd.com/en/newsroom/press-releases/2026-4-22-amd-launches-ryzen-9-9950x3d2-dual-edition-processor.html</x:v>
      </x:c>
      <x:c r="C23" s="34" t="str">
        <x:v>cpu price seed</x:v>
      </x:c>
      <x:c r="D23" s="34" t="str">
        <x:v>Price/reference</x:v>
      </x:c>
      <x:c r="E23" s="34" t="str">
        <x:v>msrp</x:v>
      </x:c>
      <x:c r="F23" s="35" t="str">
        <x:v>2026-06-28</x:v>
      </x:c>
    </x:row>
    <x:row r="24">
      <x:c r="A24" s="33" t="str">
        <x:v>AMD Ryzen desktop processor specifications</x:v>
      </x:c>
      <x:c r="B24" s="34" t="str">
        <x:v>https://www.amd.com/en/products/processors/desktops/ryzen.html</x:v>
      </x:c>
      <x:c r="C24" s="34" t="str">
        <x:v>Ryzen 9 9950X3D mixed gaming and creation profile</x:v>
      </x:c>
      <x:c r="D24" s="34" t="str">
        <x:v>Knowledge source</x:v>
      </x:c>
      <x:c r="E24" s="34" t="str">
        <x:v>No live price asserted</x:v>
      </x:c>
      <x:c r="F24" s="35" t="str">
        <x:v>2026-06-29</x:v>
      </x:c>
    </x:row>
    <x:row r="25">
      <x:c r="A25" s="33" t="str">
        <x:v>Core Ultra 7 265K price source</x:v>
      </x:c>
      <x:c r="B25" s="34" t="str">
        <x:v>https://www.intel.com/content/www/us/en/products/sku/241063/intel-core-ultra-7-processor-265k-30m-cache-up-to-5-50-ghz/specifications.html</x:v>
      </x:c>
      <x:c r="C25" s="34" t="str">
        <x:v>cpu price seed</x:v>
      </x:c>
      <x:c r="D25" s="34" t="str">
        <x:v>Price/reference</x:v>
      </x:c>
      <x:c r="E25" s="34" t="str">
        <x:v>msrp</x:v>
      </x:c>
      <x:c r="F25" s="35" t="str">
        <x:v>2026-06-28</x:v>
      </x:c>
    </x:row>
    <x:row r="26">
      <x:c r="A26" s="33" t="str">
        <x:v>MSI MAG X870 Tomahawk WiFi price source</x:v>
      </x:c>
      <x:c r="B26" s="34" t="str">
        <x:v>https://www.msi.com/Motherboard/MAG-X870-TOMAHAWK-WIFI/Specification</x:v>
      </x:c>
      <x:c r="C26" s="34" t="str">
        <x:v>motherboard price seed</x:v>
      </x:c>
      <x:c r="D26" s="34" t="str">
        <x:v>Price/reference</x:v>
      </x:c>
      <x:c r="E26" s="34" t="str">
        <x:v>reference</x:v>
      </x:c>
      <x:c r="F26" s="35" t="str">
        <x:v>2026-06-28</x:v>
      </x:c>
    </x:row>
    <x:row r="27">
      <x:c r="A27" s="33" t="str">
        <x:v>Intel Core Ultra desktop processor product brief</x:v>
      </x:c>
      <x:c r="B27" s="34" t="str">
        <x:v>https://www.intel.com/content/dam/www/central-libraries/us/en/documents/2024-09/core-ultra-desktop-processors-series-2-product-brief.pdf</x:v>
      </x:c>
      <x:c r="C27" s="34" t="str">
        <x:v>LGA1851 and Z890 compatibility boundary</x:v>
      </x:c>
      <x:c r="D27" s="34" t="str">
        <x:v>Knowledge source</x:v>
      </x:c>
      <x:c r="E27" s="34" t="str">
        <x:v>No live price asserted</x:v>
      </x:c>
      <x:c r="F27" s="35" t="str">
        <x:v>2026-06-29</x:v>
      </x:c>
    </x:row>
    <x:row r="28">
      <x:c r="A28" s="33" t="str">
        <x:v>Samsung 9100 Pro 4TB</x:v>
      </x:c>
      <x:c r="B28" s="34" t="str">
        <x:v>https://www.samsung.com/us/memory-storage/nvme-ssd/9100-pro-nvme-ssd-sku-mz-vap4t0b-am/</x:v>
      </x:c>
      <x:c r="C28" s="34" t="str">
        <x:v>storage specifications</x:v>
      </x:c>
      <x:c r="D28" s="34" t="str">
        <x:v>Manufacturer/specification</x:v>
      </x:c>
      <x:c r="E28" s="34" t="str">
        <x:v>msrp</x:v>
      </x:c>
      <x:c r="F28" s="35" t="str">
        <x:v>2026-06-28</x:v>
      </x:c>
    </x:row>
    <x:row r="29">
      <x:c r="A29" s="33" t="str">
        <x:v>Corsair RM1200x SHIFT White ATX 3.1 price source</x:v>
      </x:c>
      <x:c r="B29" s="34" t="str">
        <x:v>https://www.corsair.com/us/en/p/psu/cp-9020276-na/rm1200x-shift-80-plus-gold-fully-modular-atx-power-supply-white-na-cp-9020276-na</x:v>
      </x:c>
      <x:c r="C29" s="34" t="str">
        <x:v>psu price seed</x:v>
      </x:c>
      <x:c r="D29" s="34" t="str">
        <x:v>Price/reference</x:v>
      </x:c>
      <x:c r="E29" s="34" t="str">
        <x:v>retail</x:v>
      </x:c>
      <x:c r="F29" s="35" t="str">
        <x:v>2026-06-28</x:v>
      </x:c>
    </x:row>
    <x:row r="30">
      <x:c r="A30" s="33" t="str">
        <x:v>NZXT H9 Flow RGB White price source</x:v>
      </x:c>
      <x:c r="B30" s="34" t="str">
        <x:v>https://nzxt.com/products/h9-flow-rgb?variant=40595201032264</x:v>
      </x:c>
      <x:c r="C30" s="34" t="str">
        <x:v>case price seed</x:v>
      </x:c>
      <x:c r="D30" s="34" t="str">
        <x:v>Price/reference</x:v>
      </x:c>
      <x:c r="E30" s="34" t="str">
        <x:v>retail</x:v>
      </x:c>
      <x:c r="F30" s="35" t="str">
        <x:v>2026-06-28</x:v>
      </x:c>
    </x:row>
    <x:row r="31">
      <x:c r="A31" s="33" t="str">
        <x:v>Fractal Design Terra price source</x:v>
      </x:c>
      <x:c r="B31" s="34" t="str">
        <x:v>https://www.fractal-design.com/products/cases/terra/terra/</x:v>
      </x:c>
      <x:c r="C31" s="34" t="str">
        <x:v>case price seed</x:v>
      </x:c>
      <x:c r="D31" s="34" t="str">
        <x:v>Price/reference</x:v>
      </x:c>
      <x:c r="E31" s="34" t="str">
        <x:v>reference</x:v>
      </x:c>
      <x:c r="F31" s="35" t="str">
        <x:v>2026-06-28</x:v>
      </x:c>
    </x:row>
    <x:row r="32">
      <x:c r="A32" s="33" t="str">
        <x:v>Ryzen 7 9700X</x:v>
      </x:c>
      <x:c r="B32" s="34" t="str">
        <x:v>https://www.amd.com/en/products/processors/desktops/ryzen/9000-series/amd-ryzen-7-9700x.html</x:v>
      </x:c>
      <x:c r="C32" s="34" t="str">
        <x:v>cpu specifications</x:v>
      </x:c>
      <x:c r="D32" s="34" t="str">
        <x:v>Manufacturer/specification</x:v>
      </x:c>
      <x:c r="E32" s="34" t="str">
        <x:v>msrp</x:v>
      </x:c>
      <x:c r="F32" s="35" t="str">
        <x:v>2026-06-28</x:v>
      </x:c>
    </x:row>
    <x:row r="33">
      <x:c r="A33" s="33" t="str">
        <x:v>Ryzen 7 9700X price source</x:v>
      </x:c>
      <x:c r="B33" s="34" t="str">
        <x:v>https://www.amd.com/en/newsroom/press-releases/2024-8-7-amd-ryzen-9000-series-processors-are-ready-to-del.html</x:v>
      </x:c>
      <x:c r="C33" s="34" t="str">
        <x:v>cpu price seed</x:v>
      </x:c>
      <x:c r="D33" s="34" t="str">
        <x:v>Price/reference</x:v>
      </x:c>
      <x:c r="E33" s="34" t="str">
        <x:v>msrp</x:v>
      </x:c>
      <x:c r="F33" s="35" t="str">
        <x:v>2026-06-28</x:v>
      </x:c>
    </x:row>
    <x:row r="34">
      <x:c r="A34" s="33" t="str">
        <x:v>Ryzen 9 9900X3D price source</x:v>
      </x:c>
      <x:c r="B34" s="34" t="str">
        <x:v>https://www.amd.com/en/products/processors/desktops/ryzen/9000-series/amd-ryzen-9-9900x3d.html</x:v>
      </x:c>
      <x:c r="C34" s="34" t="str">
        <x:v>cpu price seed</x:v>
      </x:c>
      <x:c r="D34" s="34" t="str">
        <x:v>Price/reference</x:v>
      </x:c>
      <x:c r="E34" s="34" t="str">
        <x:v>msrp</x:v>
      </x:c>
      <x:c r="F34" s="35" t="str">
        <x:v>2026-06-28</x:v>
      </x:c>
    </x:row>
    <x:row r="35">
      <x:c r="A35" s="33" t="str">
        <x:v>Ryzen 9 9950X3D price source</x:v>
      </x:c>
      <x:c r="B35" s="34" t="str">
        <x:v>https://www.amd.com/en/products/processors/desktops/ryzen/9000-series/amd-ryzen-9-9950x3d.html</x:v>
      </x:c>
      <x:c r="C35" s="34" t="str">
        <x:v>cpu price seed</x:v>
      </x:c>
      <x:c r="D35" s="34" t="str">
        <x:v>Price/reference</x:v>
      </x:c>
      <x:c r="E35" s="34" t="str">
        <x:v>msrp</x:v>
      </x:c>
      <x:c r="F35" s="35" t="str">
        <x:v>2026-06-28</x:v>
      </x:c>
    </x:row>
    <x:row r="36">
      <x:c r="A36" s="33" t="str">
        <x:v>Core Ultra 5 245K price source</x:v>
      </x:c>
      <x:c r="B36" s="34" t="str">
        <x:v>https://www.intel.com/content/www/us/en/products/sku/241067/intel-core-ultra-5-processor-245k-24m-cache-up-to-5-20-ghz/specifications.html</x:v>
      </x:c>
      <x:c r="C36" s="34" t="str">
        <x:v>cpu price seed</x:v>
      </x:c>
      <x:c r="D36" s="34" t="str">
        <x:v>Price/reference</x:v>
      </x:c>
      <x:c r="E36" s="34" t="str">
        <x:v>msrp</x:v>
      </x:c>
      <x:c r="F36" s="35" t="str">
        <x:v>2026-06-28</x:v>
      </x:c>
    </x:row>
    <x:row r="37">
      <x:c r="A37" s="33" t="str">
        <x:v>Core Ultra 9 285K price source</x:v>
      </x:c>
      <x:c r="B37" s="34" t="str">
        <x:v>https://www.intel.com/content/www/us/en/products/sku/241060/intel-core-ultra-9-processor-285k-36m-cache-up-to-5-70-ghz/specifications.html</x:v>
      </x:c>
      <x:c r="C37" s="34" t="str">
        <x:v>cpu price seed</x:v>
      </x:c>
      <x:c r="D37" s="34" t="str">
        <x:v>Price/reference</x:v>
      </x:c>
      <x:c r="E37" s="34" t="str">
        <x:v>msrp</x:v>
      </x:c>
      <x:c r="F37" s="35" t="str">
        <x:v>2026-06-28</x:v>
      </x:c>
    </x:row>
    <x:row r="38">
      <x:c r="A38" s="33" t="str">
        <x:v>AMD Ryzen 5 3600 price source</x:v>
      </x:c>
      <x:c r="B38" s="34" t="str">
        <x:v>https://fr.pcpartpicker.com/product/9nm323/amd-ryzen-5-3600-36-thz-6-core-processor-100-100000031box</x:v>
      </x:c>
      <x:c r="C38" s="34" t="str">
        <x:v>cpu price seed</x:v>
      </x:c>
      <x:c r="D38" s="34" t="str">
        <x:v>Price/reference</x:v>
      </x:c>
      <x:c r="E38" s="34" t="str">
        <x:v>reference</x:v>
      </x:c>
      <x:c r="F38" s="35" t="str">
        <x:v>2026-06-28</x:v>
      </x:c>
    </x:row>
    <x:row r="39">
      <x:c r="A39" s="33" t="str">
        <x:v>AMD Ryzen 5 5600X price source</x:v>
      </x:c>
      <x:c r="B39" s="34" t="str">
        <x:v>https://fr.pcpartpicker.com/product/g94BD3/amd-ryzen-5-5600x-37-ghz-6-core-processor-100-100000065box</x:v>
      </x:c>
      <x:c r="C39" s="34" t="str">
        <x:v>cpu price seed</x:v>
      </x:c>
      <x:c r="D39" s="34" t="str">
        <x:v>Price/reference</x:v>
      </x:c>
      <x:c r="E39" s="34" t="str">
        <x:v>reference</x:v>
      </x:c>
      <x:c r="F39" s="35" t="str">
        <x:v>2026-06-28</x:v>
      </x:c>
    </x:row>
    <x:row r="40">
      <x:c r="A40" s="33" t="str">
        <x:v>AMD Ryzen 7 3700X price source</x:v>
      </x:c>
      <x:c r="B40" s="34" t="str">
        <x:v>https://fr.pcpartpicker.com/product/QKJtt6/amd-ryzen-7-3700x-36-ghz-8-core-processor-100-100000071box</x:v>
      </x:c>
      <x:c r="C40" s="34" t="str">
        <x:v>cpu price seed</x:v>
      </x:c>
      <x:c r="D40" s="34" t="str">
        <x:v>Price/reference</x:v>
      </x:c>
      <x:c r="E40" s="34" t="str">
        <x:v>reference</x:v>
      </x:c>
      <x:c r="F40" s="35" t="str">
        <x:v>2026-06-28</x:v>
      </x:c>
    </x:row>
    <x:row r="41">
      <x:c r="A41" s="33" t="str">
        <x:v>Intel Core i7-4790K price source</x:v>
      </x:c>
      <x:c r="B41" s="34" t="str">
        <x:v>https://fr.pcpartpicker.com/product/6vzv6h/intel-cpu-bx80646i74790k</x:v>
      </x:c>
      <x:c r="C41" s="34" t="str">
        <x:v>cpu price seed</x:v>
      </x:c>
      <x:c r="D41" s="34" t="str">
        <x:v>Price/reference</x:v>
      </x:c>
      <x:c r="E41" s="34" t="str">
        <x:v>reference</x:v>
      </x:c>
      <x:c r="F41" s="35" t="str">
        <x:v>2026-06-28</x:v>
      </x:c>
    </x:row>
    <x:row r="42">
      <x:c r="A42" s="33" t="str">
        <x:v>Intel Core i7-6700K price source</x:v>
      </x:c>
      <x:c r="B42" s="34" t="str">
        <x:v>https://fr.pcpartpicker.com/product/tdmxFT/intel-cpu-bx80662i76700k</x:v>
      </x:c>
      <x:c r="C42" s="34" t="str">
        <x:v>cpu price seed</x:v>
      </x:c>
      <x:c r="D42" s="34" t="str">
        <x:v>Price/reference</x:v>
      </x:c>
      <x:c r="E42" s="34" t="str">
        <x:v>reference</x:v>
      </x:c>
      <x:c r="F42" s="35" t="str">
        <x:v>2026-06-28</x:v>
      </x:c>
    </x:row>
    <x:row r="43">
      <x:c r="A43" s="33" t="str">
        <x:v>Intel Core i7-4770K price source</x:v>
      </x:c>
      <x:c r="B43" s="34" t="str">
        <x:v>https://fr.pcpartpicker.com/product/yT2kcf/intel-cpu-bx80646i74770k</x:v>
      </x:c>
      <x:c r="C43" s="34" t="str">
        <x:v>cpu price seed</x:v>
      </x:c>
      <x:c r="D43" s="34" t="str">
        <x:v>Price/reference</x:v>
      </x:c>
      <x:c r="E43" s="34" t="str">
        <x:v>reference</x:v>
      </x:c>
      <x:c r="F43" s="35" t="str">
        <x:v>2026-06-28</x:v>
      </x:c>
    </x:row>
    <x:row r="44">
      <x:c r="A44" s="33" t="str">
        <x:v>Intel Core i5-6600K price source</x:v>
      </x:c>
      <x:c r="B44" s="34" t="str">
        <x:v>https://fr.pcpartpicker.com/product/gx648d/intel-cpu-bx80662i56600k</x:v>
      </x:c>
      <x:c r="C44" s="34" t="str">
        <x:v>cpu price seed</x:v>
      </x:c>
      <x:c r="D44" s="34" t="str">
        <x:v>Price/reference</x:v>
      </x:c>
      <x:c r="E44" s="34" t="str">
        <x:v>reference</x:v>
      </x:c>
      <x:c r="F44" s="35" t="str">
        <x:v>2026-06-28</x:v>
      </x:c>
    </x:row>
    <x:row r="45">
      <x:c r="A45" s="33" t="str">
        <x:v>AMD Ryzen 7 5800X price source</x:v>
      </x:c>
      <x:c r="B45" s="34" t="str">
        <x:v>https://fr.pcpartpicker.com/product/qtvqqs/amd-ryzen-7-5800x-38-ghz-8-core-processor-100-100000063wof</x:v>
      </x:c>
      <x:c r="C45" s="34" t="str">
        <x:v>cpu price seed</x:v>
      </x:c>
      <x:c r="D45" s="34" t="str">
        <x:v>Price/reference</x:v>
      </x:c>
      <x:c r="E45" s="34" t="str">
        <x:v>reference</x:v>
      </x:c>
      <x:c r="F45" s="35" t="str">
        <x:v>2026-06-28</x:v>
      </x:c>
    </x:row>
    <x:row r="46">
      <x:c r="A46" s="33" t="str">
        <x:v>AMD Ryzen 7 2700X price source</x:v>
      </x:c>
      <x:c r="B46" s="34" t="str">
        <x:v>https://fr.pcpartpicker.com/product/bddxFT/amd-ryzen-7-2700x-37ghz-8-core-processor-yd270xbgafbox</x:v>
      </x:c>
      <x:c r="C46" s="34" t="str">
        <x:v>cpu price seed</x:v>
      </x:c>
      <x:c r="D46" s="34" t="str">
        <x:v>Price/reference</x:v>
      </x:c>
      <x:c r="E46" s="34" t="str">
        <x:v>reference</x:v>
      </x:c>
      <x:c r="F46" s="35" t="str">
        <x:v>2026-06-28</x:v>
      </x:c>
    </x:row>
    <x:row r="47">
      <x:c r="A47" s="33" t="str">
        <x:v>AMD Ryzen 5 1600 (14nm) price source</x:v>
      </x:c>
      <x:c r="B47" s="34" t="str">
        <x:v>https://fr.pcpartpicker.com/product/mV98TW/amd-ryzen-5-1600-32ghz-6-core-processor-yd1600bbaebox</x:v>
      </x:c>
      <x:c r="C47" s="34" t="str">
        <x:v>cpu price seed</x:v>
      </x:c>
      <x:c r="D47" s="34" t="str">
        <x:v>Price/reference</x:v>
      </x:c>
      <x:c r="E47" s="34" t="str">
        <x:v>reference</x:v>
      </x:c>
      <x:c r="F47" s="35" t="str">
        <x:v>2026-06-28</x:v>
      </x:c>
    </x:row>
    <x:row r="48">
      <x:c r="A48" s="33" t="str">
        <x:v>AMD Ryzen 5 7600X price source</x:v>
      </x:c>
      <x:c r="B48" s="34" t="str">
        <x:v>https://fr.pcpartpicker.com/product/66C48d/amd-ryzen-5-7600x-47-ghz-6-core-processor-100-100000593wof</x:v>
      </x:c>
      <x:c r="C48" s="34" t="str">
        <x:v>cpu price seed</x:v>
      </x:c>
      <x:c r="D48" s="34" t="str">
        <x:v>Price/reference</x:v>
      </x:c>
      <x:c r="E48" s="34" t="str">
        <x:v>reference</x:v>
      </x:c>
      <x:c r="F48" s="35" t="str">
        <x:v>2026-06-28</x:v>
      </x:c>
    </x:row>
    <x:row r="49">
      <x:c r="A49" s="33" t="str">
        <x:v>Intel Core i7-8700K price source</x:v>
      </x:c>
      <x:c r="B49" s="34" t="str">
        <x:v>https://fr.pcpartpicker.com/product/sxDzK8/intel-core-i7-8700k-37ghz-6-core-processor-bx80684i78700k</x:v>
      </x:c>
      <x:c r="C49" s="34" t="str">
        <x:v>cpu price seed</x:v>
      </x:c>
      <x:c r="D49" s="34" t="str">
        <x:v>Price/reference</x:v>
      </x:c>
      <x:c r="E49" s="34" t="str">
        <x:v>reference</x:v>
      </x:c>
      <x:c r="F49" s="35" t="str">
        <x:v>2026-06-28</x:v>
      </x:c>
    </x:row>
    <x:row r="50">
      <x:c r="A50" s="33" t="str">
        <x:v>Intel Core i7-7700K price source</x:v>
      </x:c>
      <x:c r="B50" s="34" t="str">
        <x:v>https://fr.pcpartpicker.com/product/VKx9TW/intel-core-i7-7700k-42ghz-quad-core-processor-bx80677i77700k</x:v>
      </x:c>
      <x:c r="C50" s="34" t="str">
        <x:v>cpu price seed</x:v>
      </x:c>
      <x:c r="D50" s="34" t="str">
        <x:v>Price/reference</x:v>
      </x:c>
      <x:c r="E50" s="34" t="str">
        <x:v>reference</x:v>
      </x:c>
      <x:c r="F50" s="35" t="str">
        <x:v>2026-06-28</x:v>
      </x:c>
    </x:row>
    <x:row r="51">
      <x:c r="A51" s="33" t="str">
        <x:v>AMD Ryzen 9 5900X price source</x:v>
      </x:c>
      <x:c r="B51" s="34" t="str">
        <x:v>https://fr.pcpartpicker.com/product/KwLwrH/amd-ryzen-9-5900x-37-ghz-12-core-processor-100-100000061wof</x:v>
      </x:c>
      <x:c r="C51" s="34" t="str">
        <x:v>cpu price seed</x:v>
      </x:c>
      <x:c r="D51" s="34" t="str">
        <x:v>Price/reference</x:v>
      </x:c>
      <x:c r="E51" s="34" t="str">
        <x:v>reference</x:v>
      </x:c>
      <x:c r="F51" s="35" t="str">
        <x:v>2026-06-28</x:v>
      </x:c>
    </x:row>
    <x:row r="52">
      <x:c r="A52" s="33" t="str">
        <x:v>Intel Core i5-6500 price source</x:v>
      </x:c>
      <x:c r="B52" s="34" t="str">
        <x:v>https://fr.pcpartpicker.com/product/xwhj4D/intel-cpu-bx80662i56500</x:v>
      </x:c>
      <x:c r="C52" s="34" t="str">
        <x:v>cpu price seed</x:v>
      </x:c>
      <x:c r="D52" s="34" t="str">
        <x:v>Price/reference</x:v>
      </x:c>
      <x:c r="E52" s="34" t="str">
        <x:v>reference</x:v>
      </x:c>
      <x:c r="F52" s="35" t="str">
        <x:v>2026-06-28</x:v>
      </x:c>
    </x:row>
    <x:row r="53">
      <x:c r="A53" s="33" t="str">
        <x:v>Intel Core i7-9700K price source</x:v>
      </x:c>
      <x:c r="B53" s="34" t="str">
        <x:v>https://fr.pcpartpicker.com/product/WtyV3C/intel-core-i7-9700k-36ghz-8-core-processor-bx80684i79700k</x:v>
      </x:c>
      <x:c r="C53" s="34" t="str">
        <x:v>cpu price seed</x:v>
      </x:c>
      <x:c r="D53" s="34" t="str">
        <x:v>Price/reference</x:v>
      </x:c>
      <x:c r="E53" s="34" t="str">
        <x:v>reference</x:v>
      </x:c>
      <x:c r="F53" s="35" t="str">
        <x:v>2026-06-28</x:v>
      </x:c>
    </x:row>
    <x:row r="54">
      <x:c r="A54" s="33" t="str">
        <x:v>Intel Core i7-3770K price source</x:v>
      </x:c>
      <x:c r="B54" s="34" t="str">
        <x:v>https://fr.pcpartpicker.com/product/7KjG3C/intel-cpu-bx80637i73770k</x:v>
      </x:c>
      <x:c r="C54" s="34" t="str">
        <x:v>cpu price seed</x:v>
      </x:c>
      <x:c r="D54" s="34" t="str">
        <x:v>Price/reference</x:v>
      </x:c>
      <x:c r="E54" s="34" t="str">
        <x:v>reference</x:v>
      </x:c>
      <x:c r="F54" s="35" t="str">
        <x:v>2026-06-28</x:v>
      </x:c>
    </x:row>
    <x:row r="55">
      <x:c r="A55" s="33" t="str">
        <x:v>AMD Ryzen 7 7700X price source</x:v>
      </x:c>
      <x:c r="B55" s="34" t="str">
        <x:v>https://fr.pcpartpicker.com/product/WfqPxr/amd-ryzen-7-7700x-45-ghz-8-core-processor-100-100000591wof</x:v>
      </x:c>
      <x:c r="C55" s="34" t="str">
        <x:v>cpu price seed</x:v>
      </x:c>
      <x:c r="D55" s="34" t="str">
        <x:v>Price/reference</x:v>
      </x:c>
      <x:c r="E55" s="34" t="str">
        <x:v>reference</x:v>
      </x:c>
      <x:c r="F55" s="35" t="str">
        <x:v>2026-06-28</x:v>
      </x:c>
    </x:row>
    <x:row r="56">
      <x:c r="A56" s="33" t="str">
        <x:v>Intel Core i9-9900K price source</x:v>
      </x:c>
      <x:c r="B56" s="34" t="str">
        <x:v>https://fr.pcpartpicker.com/product/jHZFf7/intel-core-i9-9900k-36ghz-8-core-processor-bx80684i99900k</x:v>
      </x:c>
      <x:c r="C56" s="34" t="str">
        <x:v>cpu price seed</x:v>
      </x:c>
      <x:c r="D56" s="34" t="str">
        <x:v>Price/reference</x:v>
      </x:c>
      <x:c r="E56" s="34" t="str">
        <x:v>reference</x:v>
      </x:c>
      <x:c r="F56" s="35" t="str">
        <x:v>2026-06-28</x:v>
      </x:c>
    </x:row>
    <x:row r="57">
      <x:c r="A57" s="33" t="str">
        <x:v>AMD Ryzen 5 3600X price source</x:v>
      </x:c>
      <x:c r="B57" s="34" t="str">
        <x:v>https://fr.pcpartpicker.com/product/3WYLrH/amd-ryzen-5-3600x-38-ghz-6-core-processor-100-100000022box</x:v>
      </x:c>
      <x:c r="C57" s="34" t="str">
        <x:v>cpu price seed</x:v>
      </x:c>
      <x:c r="D57" s="34" t="str">
        <x:v>Price/reference</x:v>
      </x:c>
      <x:c r="E57" s="34" t="str">
        <x:v>reference</x:v>
      </x:c>
      <x:c r="F57" s="35" t="str">
        <x:v>2026-06-28</x:v>
      </x:c>
    </x:row>
    <x:row r="58">
      <x:c r="A58" s="33" t="str">
        <x:v>AMD Ryzen 5 5600 price source</x:v>
      </x:c>
      <x:c r="B58" s="34" t="str">
        <x:v>https://fr.pcpartpicker.com/product/PgcG3C/amd-ryzen-5-5600-36-ghz-6-core-processor-100-100000927box</x:v>
      </x:c>
      <x:c r="C58" s="34" t="str">
        <x:v>cpu price seed</x:v>
      </x:c>
      <x:c r="D58" s="34" t="str">
        <x:v>Price/reference</x:v>
      </x:c>
      <x:c r="E58" s="34" t="str">
        <x:v>reference</x:v>
      </x:c>
      <x:c r="F58" s="35" t="str">
        <x:v>2026-06-28</x:v>
      </x:c>
    </x:row>
    <x:row r="59">
      <x:c r="A59" s="33" t="str">
        <x:v>AMD Ryzen 7 1700 price source</x:v>
      </x:c>
      <x:c r="B59" s="34" t="str">
        <x:v>https://fr.pcpartpicker.com/product/3kPzK8/amd-ryzen-7-1700-30ghz-8-core-processor-yd1700bbaebox</x:v>
      </x:c>
      <x:c r="C59" s="34" t="str">
        <x:v>cpu price seed</x:v>
      </x:c>
      <x:c r="D59" s="34" t="str">
        <x:v>Price/reference</x:v>
      </x:c>
      <x:c r="E59" s="34" t="str">
        <x:v>reference</x:v>
      </x:c>
      <x:c r="F59" s="35" t="str">
        <x:v>2026-06-28</x:v>
      </x:c>
    </x:row>
    <x:row r="60">
      <x:c r="A60" s="33" t="str">
        <x:v>Intel Core i5-12600K price source</x:v>
      </x:c>
      <x:c r="B60" s="34" t="str">
        <x:v>https://fr.pcpartpicker.com/product/BB4Ycf/intel-core-i5-12600k-37-ghz-6-core-processor-bx8071512600k</x:v>
      </x:c>
      <x:c r="C60" s="34" t="str">
        <x:v>cpu price seed</x:v>
      </x:c>
      <x:c r="D60" s="34" t="str">
        <x:v>Price/reference</x:v>
      </x:c>
      <x:c r="E60" s="34" t="str">
        <x:v>reference</x:v>
      </x:c>
      <x:c r="F60" s="35" t="str">
        <x:v>2026-06-28</x:v>
      </x:c>
    </x:row>
    <x:row r="61">
      <x:c r="A61" s="33" t="str">
        <x:v>Intel Core i3-6100 price source</x:v>
      </x:c>
      <x:c r="B61" s="34" t="str">
        <x:v>https://fr.pcpartpicker.com/product/hV7CmG/intel-cpu-bx80662i36100</x:v>
      </x:c>
      <x:c r="C61" s="34" t="str">
        <x:v>cpu price seed</x:v>
      </x:c>
      <x:c r="D61" s="34" t="str">
        <x:v>Price/reference</x:v>
      </x:c>
      <x:c r="E61" s="34" t="str">
        <x:v>reference</x:v>
      </x:c>
      <x:c r="F61" s="35" t="str">
        <x:v>2026-06-28</x:v>
      </x:c>
    </x:row>
    <x:row r="62">
      <x:c r="A62" s="33" t="str">
        <x:v>Intel Core i7-12700K price source</x:v>
      </x:c>
      <x:c r="B62" s="34" t="str">
        <x:v>https://fr.pcpartpicker.com/product/ZbddnQ/intel-core-i7-12700k-36-ghz-8-core-processor-bx8071512700k</x:v>
      </x:c>
      <x:c r="C62" s="34" t="str">
        <x:v>cpu price seed</x:v>
      </x:c>
      <x:c r="D62" s="34" t="str">
        <x:v>Price/reference</x:v>
      </x:c>
      <x:c r="E62" s="34" t="str">
        <x:v>reference</x:v>
      </x:c>
      <x:c r="F62" s="35" t="str">
        <x:v>2026-06-28</x:v>
      </x:c>
    </x:row>
    <x:row r="63">
      <x:c r="A63" s="33" t="str">
        <x:v>AMD Ryzen 5 5600G price source</x:v>
      </x:c>
      <x:c r="B63" s="34" t="str">
        <x:v>https://fr.pcpartpicker.com/product/sYmmP6/amd-ryzen-5-5600g-39-ghz-6-core-processor-100-100000252box</x:v>
      </x:c>
      <x:c r="C63" s="34" t="str">
        <x:v>cpu price seed</x:v>
      </x:c>
      <x:c r="D63" s="34" t="str">
        <x:v>Price/reference</x:v>
      </x:c>
      <x:c r="E63" s="34" t="str">
        <x:v>reference</x:v>
      </x:c>
      <x:c r="F63" s="35" t="str">
        <x:v>2026-06-28</x:v>
      </x:c>
    </x:row>
    <x:row r="64">
      <x:c r="A64" s="33" t="str">
        <x:v>AMD Ryzen 7 3800X price source</x:v>
      </x:c>
      <x:c r="B64" s="34" t="str">
        <x:v>https://fr.pcpartpicker.com/product/qryV3C/amd-ryzen-7-3800x-39-ghz-8-core-processor-100-100000025box</x:v>
      </x:c>
      <x:c r="C64" s="34" t="str">
        <x:v>cpu price seed</x:v>
      </x:c>
      <x:c r="D64" s="34" t="str">
        <x:v>Price/reference</x:v>
      </x:c>
      <x:c r="E64" s="34" t="str">
        <x:v>reference</x:v>
      </x:c>
      <x:c r="F64" s="35" t="str">
        <x:v>2026-06-28</x:v>
      </x:c>
    </x:row>
    <x:row r="65">
      <x:c r="A65" s="33" t="str">
        <x:v>AMD Ryzen 7 5700X price source</x:v>
      </x:c>
      <x:c r="B65" s="34" t="str">
        <x:v>https://fr.pcpartpicker.com/product/JmhFf7/amd-ryzen-7-5700x-34-ghz-8-core-processor-100-100000926wof</x:v>
      </x:c>
      <x:c r="C65" s="34" t="str">
        <x:v>cpu price seed</x:v>
      </x:c>
      <x:c r="D65" s="34" t="str">
        <x:v>Price/reference</x:v>
      </x:c>
      <x:c r="E65" s="34" t="str">
        <x:v>reference</x:v>
      </x:c>
      <x:c r="F65" s="35" t="str">
        <x:v>2026-06-28</x:v>
      </x:c>
    </x:row>
    <x:row r="66">
      <x:c r="A66" s="33" t="str">
        <x:v>AMD Ryzen 5 9600X price source</x:v>
      </x:c>
      <x:c r="B66" s="34" t="str">
        <x:v>https://fr.pcpartpicker.com/product/4r4Zxr/amd-ryzen-5-9600x-39-ghz-6-core-processor-100-100001405wof</x:v>
      </x:c>
      <x:c r="C66" s="34" t="str">
        <x:v>cpu price seed</x:v>
      </x:c>
      <x:c r="D66" s="34" t="str">
        <x:v>Price/reference</x:v>
      </x:c>
      <x:c r="E66" s="34" t="str">
        <x:v>reference</x:v>
      </x:c>
      <x:c r="F66" s="35" t="str">
        <x:v>2026-06-28</x:v>
      </x:c>
    </x:row>
    <x:row r="67">
      <x:c r="A67" s="33" t="str">
        <x:v>AMD Ryzen 9 5950X price source</x:v>
      </x:c>
      <x:c r="B67" s="34" t="str">
        <x:v>https://fr.pcpartpicker.com/product/Qk2bt6/amd-ryzen-9-5950x-34-ghz-16-core-processor-100-100000059wof</x:v>
      </x:c>
      <x:c r="C67" s="34" t="str">
        <x:v>cpu price seed</x:v>
      </x:c>
      <x:c r="D67" s="34" t="str">
        <x:v>Price/reference</x:v>
      </x:c>
      <x:c r="E67" s="34" t="str">
        <x:v>reference</x:v>
      </x:c>
      <x:c r="F67" s="35" t="str">
        <x:v>2026-06-28</x:v>
      </x:c>
    </x:row>
    <x:row r="68">
      <x:c r="A68" s="33" t="str">
        <x:v>Intel Core i5-12400F price source</x:v>
      </x:c>
      <x:c r="B68" s="34" t="str">
        <x:v>https://fr.pcpartpicker.com/product/pQNxFT/intel-core-i5-12400f-25-ghz-6-core-processor-bx8071512400f</x:v>
      </x:c>
      <x:c r="C68" s="34" t="str">
        <x:v>cpu price seed</x:v>
      </x:c>
      <x:c r="D68" s="34" t="str">
        <x:v>Price/reference</x:v>
      </x:c>
      <x:c r="E68" s="34" t="str">
        <x:v>reference</x:v>
      </x:c>
      <x:c r="F68" s="35" t="str">
        <x:v>2026-06-28</x:v>
      </x:c>
    </x:row>
    <x:row r="69">
      <x:c r="A69" s="33" t="str">
        <x:v>Intel Core i5-4460 price source</x:v>
      </x:c>
      <x:c r="B69" s="34" t="str">
        <x:v>https://fr.pcpartpicker.com/product/F63RsY/intel-cpu-bx80646i54460</x:v>
      </x:c>
      <x:c r="C69" s="34" t="str">
        <x:v>cpu price seed</x:v>
      </x:c>
      <x:c r="D69" s="34" t="str">
        <x:v>Price/reference</x:v>
      </x:c>
      <x:c r="E69" s="34" t="str">
        <x:v>reference</x:v>
      </x:c>
      <x:c r="F69" s="35" t="str">
        <x:v>2026-06-28</x:v>
      </x:c>
    </x:row>
    <x:row r="70">
      <x:c r="A70" s="33" t="str">
        <x:v>Intel Core i5-12600KF price source</x:v>
      </x:c>
      <x:c r="B70" s="34" t="str">
        <x:v>https://fr.pcpartpicker.com/product/Tk8bt6/intel-core-i5-12600kf-37-ghz-6-core-processor-bx8071512600kf</x:v>
      </x:c>
      <x:c r="C70" s="34" t="str">
        <x:v>cpu price seed</x:v>
      </x:c>
      <x:c r="D70" s="34" t="str">
        <x:v>Price/reference</x:v>
      </x:c>
      <x:c r="E70" s="34" t="str">
        <x:v>reference</x:v>
      </x:c>
      <x:c r="F70" s="35" t="str">
        <x:v>2026-06-28</x:v>
      </x:c>
    </x:row>
    <x:row r="71">
      <x:c r="A71" s="33" t="str">
        <x:v>AMD Ryzen 5 5500 price source</x:v>
      </x:c>
      <x:c r="B71" s="34" t="str">
        <x:v>https://fr.pcpartpicker.com/product/yq2WGX/amd-ryzen-5-5500-36-ghz-6-core-processor-100-100000457box</x:v>
      </x:c>
      <x:c r="C71" s="34" t="str">
        <x:v>cpu price seed</x:v>
      </x:c>
      <x:c r="D71" s="34" t="str">
        <x:v>Price/reference</x:v>
      </x:c>
      <x:c r="E71" s="34" t="str">
        <x:v>reference</x:v>
      </x:c>
      <x:c r="F71" s="35" t="str">
        <x:v>2026-06-28</x:v>
      </x:c>
    </x:row>
    <x:row r="72">
      <x:c r="A72" s="33" t="str">
        <x:v>Intel Core i5-4590 price source</x:v>
      </x:c>
      <x:c r="B72" s="34" t="str">
        <x:v>https://fr.pcpartpicker.com/product/7bNp99/intel-cpu-bx80646i54590</x:v>
      </x:c>
      <x:c r="C72" s="34" t="str">
        <x:v>cpu price seed</x:v>
      </x:c>
      <x:c r="D72" s="34" t="str">
        <x:v>Price/reference</x:v>
      </x:c>
      <x:c r="E72" s="34" t="str">
        <x:v>reference</x:v>
      </x:c>
      <x:c r="F72" s="35" t="str">
        <x:v>2026-06-28</x:v>
      </x:c>
    </x:row>
    <x:row r="73">
      <x:c r="A73" s="33" t="str">
        <x:v>Intel Core i5-8400 price source</x:v>
      </x:c>
      <x:c r="B73" s="34" t="str">
        <x:v>https://fr.pcpartpicker.com/product/LHYWGX/intel-core-i5-8400-28ghz-6-core-processor-bx80684i58400</x:v>
      </x:c>
      <x:c r="C73" s="34" t="str">
        <x:v>cpu price seed</x:v>
      </x:c>
      <x:c r="D73" s="34" t="str">
        <x:v>Price/reference</x:v>
      </x:c>
      <x:c r="E73" s="34" t="str">
        <x:v>reference</x:v>
      </x:c>
      <x:c r="F73" s="35" t="str">
        <x:v>2026-06-28</x:v>
      </x:c>
    </x:row>
    <x:row r="74">
      <x:c r="A74" s="33" t="str">
        <x:v>Intel Core Ultra 9 285K, Arrow Lake 24-Core (8P+16E), LGA 1851, 125W Desktop Processor - BX80768285K price source</x:v>
      </x:c>
      <x:c r="B74" s="34" t="str">
        <x:v>https://www.newegg.ca/p/19-118-505</x:v>
      </x:c>
      <x:c r="C74" s="34" t="str">
        <x:v>cpu price seed</x:v>
      </x:c>
      <x:c r="D74" s="34" t="str">
        <x:v>Price/reference</x:v>
      </x:c>
      <x:c r="E74" s="34" t="str">
        <x:v>retail</x:v>
      </x:c>
      <x:c r="F74" s="35" t="str">
        <x:v>2026-06-29</x:v>
      </x:c>
    </x:row>
    <x:row r="75">
      <x:c r="A75" s="33" t="str">
        <x:v>Intel Core Ultra 7 265K, Arrow Lake 20-Core (8P+12E), LGA 1851, 125W Desktop Processor - BX80768265K price source</x:v>
      </x:c>
      <x:c r="B75" s="34" t="str">
        <x:v>https://www.newegg.ca/p/9SIA9H5KWJ1274</x:v>
      </x:c>
      <x:c r="C75" s="34" t="str">
        <x:v>cpu price seed</x:v>
      </x:c>
      <x:c r="D75" s="34" t="str">
        <x:v>Price/reference</x:v>
      </x:c>
      <x:c r="E75" s="34" t="str">
        <x:v>retail</x:v>
      </x:c>
      <x:c r="F75" s="35" t="str">
        <x:v>2026-06-29</x:v>
      </x:c>
    </x:row>
    <x:row r="76">
      <x:c r="A76" s="33" t="str">
        <x:v>Intel Core Ultra 7 270K Plus Processor 24 cores (8 P-cores + 16 E-cores) up to 5.5 GHz BX80768270K price source</x:v>
      </x:c>
      <x:c r="B76" s="34" t="str">
        <x:v>https://www.newegg.ca/p/19-118-628</x:v>
      </x:c>
      <x:c r="C76" s="34" t="str">
        <x:v>cpu price seed</x:v>
      </x:c>
      <x:c r="D76" s="34" t="str">
        <x:v>Price/reference</x:v>
      </x:c>
      <x:c r="E76" s="34" t="str">
        <x:v>retail</x:v>
      </x:c>
      <x:c r="F76" s="35" t="str">
        <x:v>2026-06-29</x:v>
      </x:c>
    </x:row>
    <x:row r="77">
      <x:c r="A77" s="33" t="str">
        <x:v>Intel Core Ultra 5 245K, Arrow Lake 14-Core (6P+8E), LGA 1851, 125W Desktop Processor - BX80768245K price source</x:v>
      </x:c>
      <x:c r="B77" s="34" t="str">
        <x:v>https://www.newegg.ca/p/19-118-508</x:v>
      </x:c>
      <x:c r="C77" s="34" t="str">
        <x:v>cpu price seed</x:v>
      </x:c>
      <x:c r="D77" s="34" t="str">
        <x:v>Price/reference</x:v>
      </x:c>
      <x:c r="E77" s="34" t="str">
        <x:v>retail</x:v>
      </x:c>
      <x:c r="F77" s="35" t="str">
        <x:v>2026-06-29</x:v>
      </x:c>
    </x:row>
    <x:row r="78">
      <x:c r="A78" s="33" t="str">
        <x:v>Intel Core Ultra 5 250K Plus Processor 18 cores (6 P-cores + 12 E-cores) up to 5.3 GHz BX80768250K price source</x:v>
      </x:c>
      <x:c r="B78" s="34" t="str">
        <x:v>https://www.newegg.ca/p/19-118-629</x:v>
      </x:c>
      <x:c r="C78" s="34" t="str">
        <x:v>cpu price seed</x:v>
      </x:c>
      <x:c r="D78" s="34" t="str">
        <x:v>Price/reference</x:v>
      </x:c>
      <x:c r="E78" s="34" t="str">
        <x:v>retail</x:v>
      </x:c>
      <x:c r="F78" s="35" t="str">
        <x:v>2026-06-29</x:v>
      </x:c>
    </x:row>
    <x:row r="79">
      <x:c r="A79" s="33" t="str">
        <x:v>Intel Core Ultra 5 235 - Core Ultra 5 (Series 2) Arrow Lake 14-Core (6P+8E) 2.9 GHz (E-core base) / 3.4 GHz (P-core base) LGA 1851 65W Intel Graphics Desktop CPU Processor - BX80768235 price source</x:v>
      </x:c>
      <x:c r="B79" s="34" t="str">
        <x:v>https://www.newegg.ca/p/19-118-584</x:v>
      </x:c>
      <x:c r="C79" s="34" t="str">
        <x:v>cpu price seed</x:v>
      </x:c>
      <x:c r="D79" s="34" t="str">
        <x:v>Price/reference</x:v>
      </x:c>
      <x:c r="E79" s="34" t="str">
        <x:v>retail</x:v>
      </x:c>
      <x:c r="F79" s="35" t="str">
        <x:v>2026-06-29</x:v>
      </x:c>
    </x:row>
    <x:row r="80">
      <x:c r="A80" s="33" t="str">
        <x:v>Intel Core Ultra 5 225 - Core Ultra 5 (Series 2) Arrow Lake 10-Core (6P+4E) Performance-core Base Frequency: 3.3 GHz Efficient-core Base Frequency: 2.7 GHz LGA 1851 65W Intel Graphics Desktop CPU Proc price source</x:v>
      </x:c>
      <x:c r="B80" s="34" t="str">
        <x:v>https://www.newegg.ca/p/19-118-577</x:v>
      </x:c>
      <x:c r="C80" s="34" t="str">
        <x:v>cpu price seed</x:v>
      </x:c>
      <x:c r="D80" s="34" t="str">
        <x:v>Price/reference</x:v>
      </x:c>
      <x:c r="E80" s="34" t="str">
        <x:v>retail</x:v>
      </x:c>
      <x:c r="F80" s="35" t="str">
        <x:v>2026-06-29</x:v>
      </x:c>
    </x:row>
    <x:row r="81">
      <x:c r="A81" s="33" t="str">
        <x:v>AMD Ryzen 9 9950X3D - Ryzen 9 9000 Series Granite Ridge (Zen 5) 16-Core 4.3 GHz Socket AM5 170W AMD Radeon Graphics Desktop CPU Processor - 100-100000719WOF price source</x:v>
      </x:c>
      <x:c r="B81" s="34" t="str">
        <x:v>https://www.newegg.ca/p/19-113-884</x:v>
      </x:c>
      <x:c r="C81" s="34" t="str">
        <x:v>cpu price seed</x:v>
      </x:c>
      <x:c r="D81" s="34" t="str">
        <x:v>Price/reference</x:v>
      </x:c>
      <x:c r="E81" s="34" t="str">
        <x:v>retail</x:v>
      </x:c>
      <x:c r="F81" s="35" t="str">
        <x:v>2026-06-29</x:v>
      </x:c>
    </x:row>
    <x:row r="82">
      <x:c r="A82" s="33" t="str">
        <x:v>AMD Ryzen 9 9950X3D2 Dual Edition - Ryzen 9 9000 Series Granite Ridge 16-Core 4.3 GHz Socket AM5 200W AMD Radeon Graphics Desktop CPU Processor - 100-100001978WOF price source</x:v>
      </x:c>
      <x:c r="B82" s="34" t="str">
        <x:v>https://www.newegg.ca/p/19-113-938</x:v>
      </x:c>
      <x:c r="C82" s="34" t="str">
        <x:v>cpu price seed</x:v>
      </x:c>
      <x:c r="D82" s="34" t="str">
        <x:v>Price/reference</x:v>
      </x:c>
      <x:c r="E82" s="34" t="str">
        <x:v>retail</x:v>
      </x:c>
      <x:c r="F82" s="35" t="str">
        <x:v>2026-06-29</x:v>
      </x:c>
    </x:row>
    <x:row r="83">
      <x:c r="A83" s="33" t="str">
        <x:v>AMD Ryzen 9 9900X3D - Ryzen 9 9000 Series Granite Ridge (Zen 5) 12-Core 4.4 GHz Socket AM5 120W AMD Radeon Graphics Processor - 100-100001368WOF price source</x:v>
      </x:c>
      <x:c r="B83" s="34" t="str">
        <x:v>https://www.newegg.ca/p/19-113-886</x:v>
      </x:c>
      <x:c r="C83" s="34" t="str">
        <x:v>cpu price seed</x:v>
      </x:c>
      <x:c r="D83" s="34" t="str">
        <x:v>Price/reference</x:v>
      </x:c>
      <x:c r="E83" s="34" t="str">
        <x:v>retail</x:v>
      </x:c>
      <x:c r="F83" s="35" t="str">
        <x:v>2026-06-29</x:v>
      </x:c>
    </x:row>
    <x:row r="84">
      <x:c r="A84" s="33" t="str">
        <x:v>AMD Ryzen 9 9950X - Ryzen 9 9000 Series Granite Ridge (Zen 5) 16-Core 4.3 GHz - Socket AM5 170W - Radeon Graphics Processor - 100-100001277WOF price source</x:v>
      </x:c>
      <x:c r="B84" s="34" t="str">
        <x:v>https://www.newegg.ca/p/9SIADGEKD29106</x:v>
      </x:c>
      <x:c r="C84" s="34" t="str">
        <x:v>cpu price seed</x:v>
      </x:c>
      <x:c r="D84" s="34" t="str">
        <x:v>Price/reference</x:v>
      </x:c>
      <x:c r="E84" s="34" t="str">
        <x:v>retail</x:v>
      </x:c>
      <x:c r="F84" s="35" t="str">
        <x:v>2026-06-29</x:v>
      </x:c>
    </x:row>
    <x:row r="85">
      <x:c r="A85" s="33" t="str">
        <x:v>AMD Ryzen 9 9900X - Ryzen 9 9000 Series Granite Ridge (Zen 5) 12-Core 4.4 GHz - Socket AM5 120W - Radeon Graphics Processor - 100-100000662WOF price source</x:v>
      </x:c>
      <x:c r="B85" s="34" t="str">
        <x:v>https://www.newegg.ca/p/9SIADGEKDJ7863</x:v>
      </x:c>
      <x:c r="C85" s="34" t="str">
        <x:v>cpu price seed</x:v>
      </x:c>
      <x:c r="D85" s="34" t="str">
        <x:v>Price/reference</x:v>
      </x:c>
      <x:c r="E85" s="34" t="str">
        <x:v>retail</x:v>
      </x:c>
      <x:c r="F85" s="35" t="str">
        <x:v>2026-06-29</x:v>
      </x:c>
    </x:row>
    <x:row r="86">
      <x:c r="A86" s="33" t="str">
        <x:v>AMD Ryzen 7 9850X3D - Ryzen 7 9000 Series 8-Core 5.6GHz - Socket AM5 120W - AMD Radeon Graphics Desktop Processor - 100-100001973WOF price source</x:v>
      </x:c>
      <x:c r="B86" s="34" t="str">
        <x:v>https://www.newegg.ca/p/19-113-934</x:v>
      </x:c>
      <x:c r="C86" s="34" t="str">
        <x:v>cpu price seed</x:v>
      </x:c>
      <x:c r="D86" s="34" t="str">
        <x:v>Price/reference</x:v>
      </x:c>
      <x:c r="E86" s="34" t="str">
        <x:v>retail</x:v>
      </x:c>
      <x:c r="F86" s="35" t="str">
        <x:v>2026-06-29</x:v>
      </x:c>
    </x:row>
    <x:row r="87">
      <x:c r="A87" s="33" t="str">
        <x:v>AMD Ryzen 7 9800X3D - Ryzen 7 9000 Series Zen 5 8-Core 5.2 GHz - Socket AM5 120W - AMD Radeon Graphics Desktop Processor - 100-100001084WOF price source</x:v>
      </x:c>
      <x:c r="B87" s="34" t="str">
        <x:v>https://www.newegg.ca/p/9SIADGEKF87287</x:v>
      </x:c>
      <x:c r="C87" s="34" t="str">
        <x:v>cpu price seed</x:v>
      </x:c>
      <x:c r="D87" s="34" t="str">
        <x:v>Price/reference</x:v>
      </x:c>
      <x:c r="E87" s="34" t="str">
        <x:v>retail</x:v>
      </x:c>
      <x:c r="F87" s="35" t="str">
        <x:v>2026-06-29</x:v>
      </x:c>
    </x:row>
    <x:row r="88">
      <x:c r="A88" s="33" t="str">
        <x:v>AMD Ryzen 7 9800X3D - Ryzen 7 9000 Series 8-Core Socket AM5 120W AMD Radeon Graphics Processor - 100-000001084 - OEM price source</x:v>
      </x:c>
      <x:c r="B88" s="34" t="str">
        <x:v>https://www.newegg.ca/p/9SIADDZKJV7483</x:v>
      </x:c>
      <x:c r="C88" s="34" t="str">
        <x:v>cpu price seed</x:v>
      </x:c>
      <x:c r="D88" s="34" t="str">
        <x:v>Price/reference</x:v>
      </x:c>
      <x:c r="E88" s="34" t="str">
        <x:v>retail</x:v>
      </x:c>
      <x:c r="F88" s="35" t="str">
        <x:v>2026-06-29</x:v>
      </x:c>
    </x:row>
    <x:row r="89">
      <x:c r="A89" s="33" t="str">
        <x:v>AMD Ryzen 7 9800X3D - Ryzen 7 9000 Series Zen 5 8-Core 5.2 GHz - Socket AM5 120W - AMD Radeon Graphics Desktop Processor - 100-100001084WOZ--International Version With Warranty Of Three Years price source</x:v>
      </x:c>
      <x:c r="B89" s="34" t="str">
        <x:v>https://www.newegg.ca/p/9SIADDZKJV7488</x:v>
      </x:c>
      <x:c r="C89" s="34" t="str">
        <x:v>cpu price seed</x:v>
      </x:c>
      <x:c r="D89" s="34" t="str">
        <x:v>Price/reference</x:v>
      </x:c>
      <x:c r="E89" s="34" t="str">
        <x:v>retail</x:v>
      </x:c>
      <x:c r="F89" s="35" t="str">
        <x:v>2026-06-29</x:v>
      </x:c>
    </x:row>
    <x:row r="90">
      <x:c r="A90" s="33" t="str">
        <x:v>Intel Core Ultra 9 285K Desktop Processor 24 cores (8P+16E) LGA1851 price source</x:v>
      </x:c>
      <x:c r="B90" s="34" t="str">
        <x:v>https://www.canadacomputers.com/en/intel-desktop-processors/263476/intel-core-ultra-9-285k-desktop-processor-24-cores-8p-16e-lga1851-bx80768285k.html</x:v>
      </x:c>
      <x:c r="C90" s="34" t="str">
        <x:v>cpu price seed</x:v>
      </x:c>
      <x:c r="D90" s="34" t="str">
        <x:v>Price/reference</x:v>
      </x:c>
      <x:c r="E90" s="34" t="str">
        <x:v>retail</x:v>
      </x:c>
      <x:c r="F90" s="35" t="str">
        <x:v>2026-06-29</x:v>
      </x:c>
    </x:row>
    <x:row r="91">
      <x:c r="A91" s="33" t="str">
        <x:v>Intel Core Ultra 7 265K Desktop Processor 20 cores (8P+12E) LGA1851 price source</x:v>
      </x:c>
      <x:c r="B91" s="34" t="str">
        <x:v>https://www.canadacomputers.com/en/intel-desktop-processors/263477/intel-core-ultra-7-265k-desktop-processor-20-cores-8p-12e-lga1851-bx80768265k.html</x:v>
      </x:c>
      <x:c r="C91" s="34" t="str">
        <x:v>cpu price seed</x:v>
      </x:c>
      <x:c r="D91" s="34" t="str">
        <x:v>Price/reference</x:v>
      </x:c>
      <x:c r="E91" s="34" t="str">
        <x:v>retail</x:v>
      </x:c>
      <x:c r="F91" s="35" t="str">
        <x:v>2026-06-29</x:v>
      </x:c>
    </x:row>
    <x:row r="92">
      <x:c r="A92" s="33" t="str">
        <x:v>Intel Core Ultra 7 270K Plus Desktop Processor 24 cores (8P+16E) price source</x:v>
      </x:c>
      <x:c r="B92" s="34" t="str">
        <x:v>https://www.canadacomputers.com/en/intel-desktop-processors/287708/intel-core-ultra-7-270k-plus-desktop-processor-24-cores-8p-16e-bx80768270k.html</x:v>
      </x:c>
      <x:c r="C92" s="34" t="str">
        <x:v>cpu price seed</x:v>
      </x:c>
      <x:c r="D92" s="34" t="str">
        <x:v>Price/reference</x:v>
      </x:c>
      <x:c r="E92" s="34" t="str">
        <x:v>retail</x:v>
      </x:c>
      <x:c r="F92" s="35" t="str">
        <x:v>2026-06-29</x:v>
      </x:c>
    </x:row>
    <x:row r="93">
      <x:c r="A93" s="33" t="str">
        <x:v>Intel Core Ultra 5 245K Desktop Processor 14 cores (6P+8E) LGA1851 price source</x:v>
      </x:c>
      <x:c r="B93" s="34" t="str">
        <x:v>https://www.canadacomputers.com/en/intel-desktop-processors/263479/intel-core-ultra-5-245k-desktop-processor-14-cores-6p-8e-lga1851-bx80768245k.html</x:v>
      </x:c>
      <x:c r="C93" s="34" t="str">
        <x:v>cpu price seed</x:v>
      </x:c>
      <x:c r="D93" s="34" t="str">
        <x:v>Price/reference</x:v>
      </x:c>
      <x:c r="E93" s="34" t="str">
        <x:v>retail</x:v>
      </x:c>
      <x:c r="F93" s="35" t="str">
        <x:v>2026-06-29</x:v>
      </x:c>
    </x:row>
    <x:row r="94">
      <x:c r="A94" s="33" t="str">
        <x:v>Intel Core Ultra 5 250K Plus 125W 18 (6P+12E) core CPU price source</x:v>
      </x:c>
      <x:c r="B94" s="34" t="str">
        <x:v>https://www.canadacomputers.com/en/intel-desktop-processors/287709/intel-core-ultra-5-250k-plus-125w-18-6p-12e-core-cpu-bx80768250k.html</x:v>
      </x:c>
      <x:c r="C94" s="34" t="str">
        <x:v>cpu price seed</x:v>
      </x:c>
      <x:c r="D94" s="34" t="str">
        <x:v>Price/reference</x:v>
      </x:c>
      <x:c r="E94" s="34" t="str">
        <x:v>retail</x:v>
      </x:c>
      <x:c r="F94" s="35" t="str">
        <x:v>2026-06-29</x:v>
      </x:c>
    </x:row>
    <x:row r="95">
      <x:c r="A95" s="33" t="str">
        <x:v>INTEL Core Ultra 5 225F 10-Core 65W CPU price source</x:v>
      </x:c>
      <x:c r="B95" s="34" t="str">
        <x:v>https://www.canadacomputers.com/en/intel-desktop-processors/282034/intel-core-ultra-5-225f-10-core-65w-cpu-bx80768225f.html</x:v>
      </x:c>
      <x:c r="C95" s="34" t="str">
        <x:v>cpu price seed</x:v>
      </x:c>
      <x:c r="D95" s="34" t="str">
        <x:v>Price/reference</x:v>
      </x:c>
      <x:c r="E95" s="34" t="str">
        <x:v>retail</x:v>
      </x:c>
      <x:c r="F95" s="35" t="str">
        <x:v>2026-06-29</x:v>
      </x:c>
    </x:row>
    <x:row r="96">
      <x:c r="A96" s="33" t="str">
        <x:v>INTEL Core Ultra 5 225 10-Core 65W CPU price source</x:v>
      </x:c>
      <x:c r="B96" s="34" t="str">
        <x:v>https://www.canadacomputers.com/en/intel-desktop-processors/277376/intel-core-ultra-5-225-10-core-65w-cpu-bx80768225.html</x:v>
      </x:c>
      <x:c r="C96" s="34" t="str">
        <x:v>cpu price seed</x:v>
      </x:c>
      <x:c r="D96" s="34" t="str">
        <x:v>Price/reference</x:v>
      </x:c>
      <x:c r="E96" s="34" t="str">
        <x:v>retail</x:v>
      </x:c>
      <x:c r="F96" s="35" t="str">
        <x:v>2026-06-29</x:v>
      </x:c>
    </x:row>
    <x:row r="97">
      <x:c r="A97" s="33" t="str">
        <x:v>AMD Ryzen 7 9800X3D 8-Core 4nm AM5 104MB Cache 120W ZEN 5 CPU price source</x:v>
      </x:c>
      <x:c r="B97" s="34" t="str">
        <x:v>https://www.canadacomputers.com/en/amd-desktop-processors/264908/amd-ryzen-7-9800x3d-8-core-4nm-am5-104mb-cache-120w-zen-5-cpu-100-100001084wof.html</x:v>
      </x:c>
      <x:c r="C97" s="34" t="str">
        <x:v>cpu price seed</x:v>
      </x:c>
      <x:c r="D97" s="34" t="str">
        <x:v>Price/reference</x:v>
      </x:c>
      <x:c r="E97" s="34" t="str">
        <x:v>retail</x:v>
      </x:c>
      <x:c r="F97" s="35" t="str">
        <x:v>2026-06-29</x:v>
      </x:c>
    </x:row>
    <x:row r="98">
      <x:c r="A98" s="33" t="str">
        <x:v>AMD Ryzen 7 7800X3D 8-Core/16-Thread 5nm 104MB Cache 120W ZEN 4 CPU price source</x:v>
      </x:c>
      <x:c r="B98" s="34" t="str">
        <x:v>https://www.canadacomputers.com/en/amd-desktop-processors/235997/amd-ryzen-7-7800x3d-8-core-16-thread-5nm-104mb-cache-120w-zen-4-cpu-100-100000910wof.html</x:v>
      </x:c>
      <x:c r="C98" s="34" t="str">
        <x:v>cpu price seed</x:v>
      </x:c>
      <x:c r="D98" s="34" t="str">
        <x:v>Price/reference</x:v>
      </x:c>
      <x:c r="E98" s="34" t="str">
        <x:v>retail</x:v>
      </x:c>
      <x:c r="F98" s="35" t="str">
        <x:v>2026-06-29</x:v>
      </x:c>
    </x:row>
    <x:row r="99">
      <x:c r="A99" s="33" t="str">
        <x:v>GeForce RTX 5090 Founders Edition price source</x:v>
      </x:c>
      <x:c r="B99" s="34" t="str">
        <x:v>https://www.nvidia.com/en-us/geforce/graphics-cards/50-series/rtx-5090/</x:v>
      </x:c>
      <x:c r="C99" s="34" t="str">
        <x:v>gpu price seed</x:v>
      </x:c>
      <x:c r="D99" s="34" t="str">
        <x:v>Price/reference</x:v>
      </x:c>
      <x:c r="E99" s="34" t="str">
        <x:v>msrp</x:v>
      </x:c>
      <x:c r="F99" s="35" t="str">
        <x:v>2026-06-28</x:v>
      </x:c>
    </x:row>
    <x:row r="100">
      <x:c r="A100" s="33" t="str">
        <x:v>Radeon RX 9070 price source</x:v>
      </x:c>
      <x:c r="B100" s="34" t="str">
        <x:v>https://www.amd.com/en/newsroom/press-releases/2025-2-28-amd-unveils-next-generation-amd-rdna-4-architectu.html</x:v>
      </x:c>
      <x:c r="C100" s="34" t="str">
        <x:v>gpu price seed</x:v>
      </x:c>
      <x:c r="D100" s="34" t="str">
        <x:v>Price/reference</x:v>
      </x:c>
      <x:c r="E100" s="34" t="str">
        <x:v>msrp</x:v>
      </x:c>
      <x:c r="F100" s="35" t="str">
        <x:v>2026-06-28</x:v>
      </x:c>
    </x:row>
    <x:row r="101">
      <x:c r="A101" s="33" t="str">
        <x:v>Radeon RX 9060 XT 16GB</x:v>
      </x:c>
      <x:c r="B101" s="34" t="str">
        <x:v>https://www.amd.com/en/products/graphics/desktops/radeon.html</x:v>
      </x:c>
      <x:c r="C101" s="34" t="str">
        <x:v>gpu specifications</x:v>
      </x:c>
      <x:c r="D101" s="34" t="str">
        <x:v>Manufacturer/specification</x:v>
      </x:c>
      <x:c r="E101" s="34" t="str">
        <x:v>msrp</x:v>
      </x:c>
      <x:c r="F101" s="35" t="str">
        <x:v>2026-06-28</x:v>
      </x:c>
    </x:row>
    <x:row r="102">
      <x:c r="A102" s="33" t="str">
        <x:v>Radeon RX 9060 XT 16GB price source</x:v>
      </x:c>
      <x:c r="B102" s="34" t="str">
        <x:v>https://www.amd.com/en/newsroom/press-releases/2025-5-20-amd-introduces-new-radeon-graphics-cards-and-ryzen.html</x:v>
      </x:c>
      <x:c r="C102" s="34" t="str">
        <x:v>gpu price seed</x:v>
      </x:c>
      <x:c r="D102" s="34" t="str">
        <x:v>Price/reference</x:v>
      </x:c>
      <x:c r="E102" s="34" t="str">
        <x:v>msrp</x:v>
      </x:c>
      <x:c r="F102" s="35" t="str">
        <x:v>2026-06-28</x:v>
      </x:c>
    </x:row>
    <x:row r="103">
      <x:c r="A103" s="33" t="str">
        <x:v>Intel Arc B580 Limited Edition</x:v>
      </x:c>
      <x:c r="B103" s="34" t="str">
        <x:v>https://www.intel.com/content/www/us/en/products/sku/241598/intel-arc-b580-graphics/specifications.html</x:v>
      </x:c>
      <x:c r="C103" s="34" t="str">
        <x:v>gpu specifications</x:v>
      </x:c>
      <x:c r="D103" s="34" t="str">
        <x:v>Manufacturer/specification</x:v>
      </x:c>
      <x:c r="E103" s="34" t="str">
        <x:v>msrp</x:v>
      </x:c>
      <x:c r="F103" s="35" t="str">
        <x:v>2026-06-28</x:v>
      </x:c>
    </x:row>
    <x:row r="104">
      <x:c r="A104" s="33" t="str">
        <x:v>MSI GAMING price source</x:v>
      </x:c>
      <x:c r="B104" s="34" t="str">
        <x:v>https://fr.pcpartpicker.com/product/2j4NnQ/msi-video-card-gtx970gaming4g</x:v>
      </x:c>
      <x:c r="C104" s="34" t="str">
        <x:v>gpu price seed</x:v>
      </x:c>
      <x:c r="D104" s="34" t="str">
        <x:v>Price/reference</x:v>
      </x:c>
      <x:c r="E104" s="34" t="str">
        <x:v>reference</x:v>
      </x:c>
      <x:c r="F104" s="35" t="str">
        <x:v>2026-06-28</x:v>
      </x:c>
    </x:row>
    <x:row r="105">
      <x:c r="A105" s="33" t="str">
        <x:v>XFX Speedster MERC 310 Black Edition price source</x:v>
      </x:c>
      <x:c r="B105" s="34" t="str">
        <x:v>https://fr.pcpartpicker.com/product/GtXJ7P/xfx-speedster-merc-310-black-edition-radeon-rx-7900-xtx-24-gb-video-card-rx-79xmercb9</x:v>
      </x:c>
      <x:c r="C105" s="34" t="str">
        <x:v>gpu price seed</x:v>
      </x:c>
      <x:c r="D105" s="34" t="str">
        <x:v>Price/reference</x:v>
      </x:c>
      <x:c r="E105" s="34" t="str">
        <x:v>reference</x:v>
      </x:c>
      <x:c r="F105" s="35" t="str">
        <x:v>2026-06-28</x:v>
      </x:c>
    </x:row>
    <x:row r="106">
      <x:c r="A106" s="33" t="str">
        <x:v>EVGA XC GAMING price source</x:v>
      </x:c>
      <x:c r="B106" s="34" t="str">
        <x:v>https://fr.pcpartpicker.com/product/LpbTwP/evga-geforce-rtx-3060-12-gb-xc-gaming-video-card-12g-p5-3657-kr</x:v>
      </x:c>
      <x:c r="C106" s="34" t="str">
        <x:v>gpu price seed</x:v>
      </x:c>
      <x:c r="D106" s="34" t="str">
        <x:v>Price/reference</x:v>
      </x:c>
      <x:c r="E106" s="34" t="str">
        <x:v>reference</x:v>
      </x:c>
      <x:c r="F106" s="35" t="str">
        <x:v>2026-06-28</x:v>
      </x:c>
    </x:row>
    <x:row r="107">
      <x:c r="A107" s="33" t="str">
        <x:v>EVGA SC GAMING ACX 3.0 Black Edition price source</x:v>
      </x:c>
      <x:c r="B107" s="34" t="str">
        <x:v>https://fr.pcpartpicker.com/product/ph38TW/evga-geforce-gtx-1070-8gb-sc-gaming-video-card-08g-p4-5173-kr</x:v>
      </x:c>
      <x:c r="C107" s="34" t="str">
        <x:v>gpu price seed</x:v>
      </x:c>
      <x:c r="D107" s="34" t="str">
        <x:v>Price/reference</x:v>
      </x:c>
      <x:c r="E107" s="34" t="str">
        <x:v>reference</x:v>
      </x:c>
      <x:c r="F107" s="35" t="str">
        <x:v>2026-06-28</x:v>
      </x:c>
    </x:row>
    <x:row r="108">
      <x:c r="A108" s="33" t="str">
        <x:v>PowerColor Red Devil price source</x:v>
      </x:c>
      <x:c r="B108" s="34" t="str">
        <x:v>https://fr.pcpartpicker.com/product/vK4BD3/powercolor-radeon-rx-5700-xt-8-gb-red-devil-video-card-axrx-5700xt-8gbd6-3dheoc</x:v>
      </x:c>
      <x:c r="C108" s="34" t="str">
        <x:v>gpu price seed</x:v>
      </x:c>
      <x:c r="D108" s="34" t="str">
        <x:v>Price/reference</x:v>
      </x:c>
      <x:c r="E108" s="34" t="str">
        <x:v>reference</x:v>
      </x:c>
      <x:c r="F108" s="35" t="str">
        <x:v>2026-06-28</x:v>
      </x:c>
    </x:row>
    <x:row r="109">
      <x:c r="A109" s="33" t="str">
        <x:v>Gigabyte OC price source</x:v>
      </x:c>
      <x:c r="B109" s="34" t="str">
        <x:v>https://fr.pcpartpicker.com/product/CnpmP6/gigabyte-geforce-gtx-1660-super-6-gb-oc-video-card-gv-n166soc-6gd</x:v>
      </x:c>
      <x:c r="C109" s="34" t="str">
        <x:v>gpu price seed</x:v>
      </x:c>
      <x:c r="D109" s="34" t="str">
        <x:v>Price/reference</x:v>
      </x:c>
      <x:c r="E109" s="34" t="str">
        <x:v>reference</x:v>
      </x:c>
      <x:c r="F109" s="35" t="str">
        <x:v>2026-06-28</x:v>
      </x:c>
    </x:row>
    <x:row r="110">
      <x:c r="A110" s="33" t="str">
        <x:v>Sapphire NITRO+ price source</x:v>
      </x:c>
      <x:c r="B110" s="34" t="str">
        <x:v>https://fr.pcpartpicker.com/product/F3fnTW/sapphire-nitro-radeon-rx-7900-xtx-24-gb-video-card-11322-01-20g</x:v>
      </x:c>
      <x:c r="C110" s="34" t="str">
        <x:v>gpu price seed</x:v>
      </x:c>
      <x:c r="D110" s="34" t="str">
        <x:v>Price/reference</x:v>
      </x:c>
      <x:c r="E110" s="34" t="str">
        <x:v>reference</x:v>
      </x:c>
      <x:c r="F110" s="35" t="str">
        <x:v>2026-06-28</x:v>
      </x:c>
    </x:row>
    <x:row r="111">
      <x:c r="A111" s="33" t="str">
        <x:v>MSI GAMING X price source</x:v>
      </x:c>
      <x:c r="B111" s="34" t="str">
        <x:v>https://fr.pcpartpicker.com/product/Wzyqqs/msi-geforce-rtx-2060-super-8-gb-gaming-x-video-card-rtx-2060-super-gaming-x</x:v>
      </x:c>
      <x:c r="C111" s="34" t="str">
        <x:v>gpu price seed</x:v>
      </x:c>
      <x:c r="D111" s="34" t="str">
        <x:v>Price/reference</x:v>
      </x:c>
      <x:c r="E111" s="34" t="str">
        <x:v>reference</x:v>
      </x:c>
      <x:c r="F111" s="35" t="str">
        <x:v>2026-06-28</x:v>
      </x:c>
    </x:row>
    <x:row r="112">
      <x:c r="A112" s="33" t="str">
        <x:v>EVGA KO ULTRA GAMING price source</x:v>
      </x:c>
      <x:c r="B112" s="34" t="str">
        <x:v>https://fr.pcpartpicker.com/product/2H7p99/evga-geforce-rtx-2060-6-gb-ko-ultra-gaming-video-card-06g-p4-2068-kr</x:v>
      </x:c>
      <x:c r="C112" s="34" t="str">
        <x:v>gpu price seed</x:v>
      </x:c>
      <x:c r="D112" s="34" t="str">
        <x:v>Price/reference</x:v>
      </x:c>
      <x:c r="E112" s="34" t="str">
        <x:v>reference</x:v>
      </x:c>
      <x:c r="F112" s="35" t="str">
        <x:v>2026-06-28</x:v>
      </x:c>
    </x:row>
    <x:row r="113">
      <x:c r="A113" s="33" t="str">
        <x:v>XFX GTS XXX price source</x:v>
      </x:c>
      <x:c r="B113" s="34" t="str">
        <x:v>https://fr.pcpartpicker.com/product/MsWfrH/xfx-gts-xxx-radeon-rx-580-8-gb-video-card-rx-580p8dfd6</x:v>
      </x:c>
      <x:c r="C113" s="34" t="str">
        <x:v>gpu price seed</x:v>
      </x:c>
      <x:c r="D113" s="34" t="str">
        <x:v>Price/reference</x:v>
      </x:c>
      <x:c r="E113" s="34" t="str">
        <x:v>reference</x:v>
      </x:c>
      <x:c r="F113" s="35" t="str">
        <x:v>2026-06-28</x:v>
      </x:c>
    </x:row>
    <x:row r="114">
      <x:c r="A114" s="33" t="str">
        <x:v>Gigabyte GAMING OC price source</x:v>
      </x:c>
      <x:c r="B114" s="34" t="str">
        <x:v>https://fr.pcpartpicker.com/product/mHpQzy/gigabyte-gaming-oc-radeon-rx-7800-xt-16-gb-video-card-gv-r78xtgaming-oc-16gd</x:v>
      </x:c>
      <x:c r="C114" s="34" t="str">
        <x:v>gpu price seed</x:v>
      </x:c>
      <x:c r="D114" s="34" t="str">
        <x:v>Price/reference</x:v>
      </x:c>
      <x:c r="E114" s="34" t="str">
        <x:v>reference</x:v>
      </x:c>
      <x:c r="F114" s="35" t="str">
        <x:v>2026-06-28</x:v>
      </x:c>
    </x:row>
    <x:row r="115">
      <x:c r="A115" s="33" t="str">
        <x:v>ASRock Challenger D price source</x:v>
      </x:c>
      <x:c r="B115" s="34" t="str">
        <x:v>https://fr.pcpartpicker.com/product/D9ytt6/asrock-radeon-rx-6600-8-gb-challenger-d-video-card-rx6600-cld-8g</x:v>
      </x:c>
      <x:c r="C115" s="34" t="str">
        <x:v>gpu price seed</x:v>
      </x:c>
      <x:c r="D115" s="34" t="str">
        <x:v>Price/reference</x:v>
      </x:c>
      <x:c r="E115" s="34" t="str">
        <x:v>reference</x:v>
      </x:c>
      <x:c r="F115" s="35" t="str">
        <x:v>2026-06-28</x:v>
      </x:c>
    </x:row>
    <x:row r="116">
      <x:c r="A116" s="33" t="str">
        <x:v>Sapphire PULSE price source</x:v>
      </x:c>
      <x:c r="B116" s="34" t="str">
        <x:v>https://fr.pcpartpicker.com/product/fcBzK8/sapphire-pulse-radeon-rx-7800-xt-16-gb-video-card-11330-02-20g</x:v>
      </x:c>
      <x:c r="C116" s="34" t="str">
        <x:v>gpu price seed</x:v>
      </x:c>
      <x:c r="D116" s="34" t="str">
        <x:v>Price/reference</x:v>
      </x:c>
      <x:c r="E116" s="34" t="str">
        <x:v>reference</x:v>
      </x:c>
      <x:c r="F116" s="35" t="str">
        <x:v>2026-06-28</x:v>
      </x:c>
    </x:row>
    <x:row r="117">
      <x:c r="A117" s="33" t="str">
        <x:v>EVGA FTW3 ULTRA GAMING LE iCX3 price source</x:v>
      </x:c>
      <x:c r="B117" s="34" t="str">
        <x:v>https://fr.pcpartpicker.com/product/FFPQzy/evga-geforce-rtx-3080-ti-12-gb-ftw3-ultra-gaming-le-icx3-video-card-12g-p5-3967-kr</x:v>
      </x:c>
      <x:c r="C117" s="34" t="str">
        <x:v>gpu price seed</x:v>
      </x:c>
      <x:c r="D117" s="34" t="str">
        <x:v>Price/reference</x:v>
      </x:c>
      <x:c r="E117" s="34" t="str">
        <x:v>reference</x:v>
      </x:c>
      <x:c r="F117" s="35" t="str">
        <x:v>2026-06-28</x:v>
      </x:c>
    </x:row>
    <x:row r="118">
      <x:c r="A118" s="33" t="str">
        <x:v>EVGA FTW3 ULTRA GAMING price source</x:v>
      </x:c>
      <x:c r="B118" s="34" t="str">
        <x:v>https://fr.pcpartpicker.com/product/M2rRsY/evga-geforce-rtx-3070-ti-8-gb-ftw3-ultra-gaming-video-card-08g-p5-3797-kl</x:v>
      </x:c>
      <x:c r="C118" s="34" t="str">
        <x:v>gpu price seed</x:v>
      </x:c>
      <x:c r="D118" s="34" t="str">
        <x:v>Price/reference</x:v>
      </x:c>
      <x:c r="E118" s="34" t="str">
        <x:v>reference</x:v>
      </x:c>
      <x:c r="F118" s="35" t="str">
        <x:v>2026-06-28</x:v>
      </x:c>
    </x:row>
    <x:row r="119">
      <x:c r="A119" s="33" t="str">
        <x:v>EVGA Superclocked price source</x:v>
      </x:c>
      <x:c r="B119" s="34" t="str">
        <x:v>https://fr.pcpartpicker.com/product/BtMFf7/evga-video-card-03gp42783kr</x:v>
      </x:c>
      <x:c r="C119" s="34" t="str">
        <x:v>gpu price seed</x:v>
      </x:c>
      <x:c r="D119" s="34" t="str">
        <x:v>Price/reference</x:v>
      </x:c>
      <x:c r="E119" s="34" t="str">
        <x:v>reference</x:v>
      </x:c>
      <x:c r="F119" s="35" t="str">
        <x:v>2026-06-28</x:v>
      </x:c>
    </x:row>
    <x:row r="120">
      <x:c r="A120" s="33" t="str">
        <x:v>ASRock Steel Legend price source</x:v>
      </x:c>
      <x:c r="B120" s="34" t="str">
        <x:v>https://fr.pcpartpicker.com/product/RVWmP6/asrock-steel-legend-radeon-rx-9070-xt-16-gb-video-card-rx9070xt-sl-16g</x:v>
      </x:c>
      <x:c r="C120" s="34" t="str">
        <x:v>gpu price seed</x:v>
      </x:c>
      <x:c r="D120" s="34" t="str">
        <x:v>Price/reference</x:v>
      </x:c>
      <x:c r="E120" s="34" t="str">
        <x:v>reference</x:v>
      </x:c>
      <x:c r="F120" s="35" t="str">
        <x:v>2026-06-28</x:v>
      </x:c>
    </x:row>
    <x:row r="121">
      <x:c r="A121" s="33" t="str">
        <x:v>Gigabyte WINDFORCE OC price source</x:v>
      </x:c>
      <x:c r="B121" s="34" t="str">
        <x:v>https://fr.pcpartpicker.com/product/FnLdnQ/gigabyte-windforce-oc-geforce-rtx-4070-12-gb-video-card-gv-n4070wf3oc-12gd</x:v>
      </x:c>
      <x:c r="C121" s="34" t="str">
        <x:v>gpu price seed</x:v>
      </x:c>
      <x:c r="D121" s="34" t="str">
        <x:v>Price/reference</x:v>
      </x:c>
      <x:c r="E121" s="34" t="str">
        <x:v>reference</x:v>
      </x:c>
      <x:c r="F121" s="35" t="str">
        <x:v>2026-06-28</x:v>
      </x:c>
    </x:row>
    <x:row r="122">
      <x:c r="A122" s="33" t="str">
        <x:v>NVIDIA Founders Edition price source</x:v>
      </x:c>
      <x:c r="B122" s="34" t="str">
        <x:v>https://fr.pcpartpicker.com/product/87WmP6/nvidia-founders-edition-geforce-rtx-5080-16-gb-video-card-900-1g144-2545-000</x:v>
      </x:c>
      <x:c r="C122" s="34" t="str">
        <x:v>gpu price seed</x:v>
      </x:c>
      <x:c r="D122" s="34" t="str">
        <x:v>Price/reference</x:v>
      </x:c>
      <x:c r="E122" s="34" t="str">
        <x:v>reference</x:v>
      </x:c>
      <x:c r="F122" s="35" t="str">
        <x:v>2026-06-28</x:v>
      </x:c>
    </x:row>
    <x:row r="123">
      <x:c r="A123" s="33" t="str">
        <x:v>Asus PRIME OC price source</x:v>
      </x:c>
      <x:c r="B123" s="34" t="str">
        <x:v>https://fr.pcpartpicker.com/product/WcHp99/asus-prime-oc-radeon-rx-9070-xt-16-gb-video-card-prime-rx9070xt-o16g</x:v>
      </x:c>
      <x:c r="C123" s="34" t="str">
        <x:v>gpu price seed</x:v>
      </x:c>
      <x:c r="D123" s="34" t="str">
        <x:v>Price/reference</x:v>
      </x:c>
      <x:c r="E123" s="34" t="str">
        <x:v>reference</x:v>
      </x:c>
      <x:c r="F123" s="35" t="str">
        <x:v>2026-06-28</x:v>
      </x:c>
    </x:row>
    <x:row r="124">
      <x:c r="A124" s="33" t="str">
        <x:v>EVGA SC ULTRA GAMING price source</x:v>
      </x:c>
      <x:c r="B124" s="34" t="str">
        <x:v>https://fr.pcpartpicker.com/product/LBrYcf/evga-geforce-gtx-1650-super-4-gb-sc-ultra-gaming-video-card-04g-p4-1357-kr</x:v>
      </x:c>
      <x:c r="C124" s="34" t="str">
        <x:v>gpu price seed</x:v>
      </x:c>
      <x:c r="D124" s="34" t="str">
        <x:v>Price/reference</x:v>
      </x:c>
      <x:c r="E124" s="34" t="str">
        <x:v>reference</x:v>
      </x:c>
      <x:c r="F124" s="35" t="str">
        <x:v>2026-06-28</x:v>
      </x:c>
    </x:row>
    <x:row r="125">
      <x:c r="A125" s="33" t="str">
        <x:v>EVGA SSC GAMING ACX 3.0 price source</x:v>
      </x:c>
      <x:c r="B125" s="34" t="str">
        <x:v>https://fr.pcpartpicker.com/product/D44NnQ/evga-geforce-gtx-1050-ti-4gb-ssc-gaming-acx-30-video-card-04g-p4-6255-kr</x:v>
      </x:c>
      <x:c r="C125" s="34" t="str">
        <x:v>gpu price seed</x:v>
      </x:c>
      <x:c r="D125" s="34" t="str">
        <x:v>Price/reference</x:v>
      </x:c>
      <x:c r="E125" s="34" t="str">
        <x:v>reference</x:v>
      </x:c>
      <x:c r="F125" s="35" t="str">
        <x:v>2026-06-28</x:v>
      </x:c>
    </x:row>
    <x:row r="126">
      <x:c r="A126" s="33" t="str">
        <x:v>XFX Speedster MERC 310 price source</x:v>
      </x:c>
      <x:c r="B126" s="34" t="str">
        <x:v>https://fr.pcpartpicker.com/product/7dNxFT/xfx-speedster-merc-310-radeon-rx-7900-xt-20-gb-video-card-rx-79tmercu9</x:v>
      </x:c>
      <x:c r="C126" s="34" t="str">
        <x:v>gpu price seed</x:v>
      </x:c>
      <x:c r="D126" s="34" t="str">
        <x:v>Price/reference</x:v>
      </x:c>
      <x:c r="E126" s="34" t="str">
        <x:v>reference</x:v>
      </x:c>
      <x:c r="F126" s="35" t="str">
        <x:v>2026-06-28</x:v>
      </x:c>
    </x:row>
    <x:row r="127">
      <x:c r="A127" s="33" t="str">
        <x:v>XFX Swift OC price source</x:v>
      </x:c>
      <x:c r="B127" s="34" t="str">
        <x:v>https://fr.pcpartpicker.com/product/cD7MnQ/xfx-swift-oc-radeon-rx-9060-xt-16-gb-video-card-rx-96ts316b7</x:v>
      </x:c>
      <x:c r="C127" s="34" t="str">
        <x:v>gpu price seed</x:v>
      </x:c>
      <x:c r="D127" s="34" t="str">
        <x:v>Price/reference</x:v>
      </x:c>
      <x:c r="E127" s="34" t="str">
        <x:v>reference</x:v>
      </x:c>
      <x:c r="F127" s="35" t="str">
        <x:v>2026-06-28</x:v>
      </x:c>
    </x:row>
    <x:row r="128">
      <x:c r="A128" s="33" t="str">
        <x:v>Gigabyte GAMING OC Rev 2.0 price source</x:v>
      </x:c>
      <x:c r="B128" s="34" t="str">
        <x:v>https://fr.pcpartpicker.com/product/GzgFf7/gigabyte-gaming-oc-rev-20-geforce-rtx-3060-12gb-12-gb-video-card-gv-n3060gaming-oc-12gd-rev-20</x:v>
      </x:c>
      <x:c r="C128" s="34" t="str">
        <x:v>gpu price seed</x:v>
      </x:c>
      <x:c r="D128" s="34" t="str">
        <x:v>Price/reference</x:v>
      </x:c>
      <x:c r="E128" s="34" t="str">
        <x:v>reference</x:v>
      </x:c>
      <x:c r="F128" s="35" t="str">
        <x:v>2026-06-28</x:v>
      </x:c>
    </x:row>
    <x:row r="129">
      <x:c r="A129" s="33" t="str">
        <x:v>Asus STRIX GAMING OC price source</x:v>
      </x:c>
      <x:c r="B129" s="34" t="str">
        <x:v>https://fr.pcpartpicker.com/product/fzVG3C/asus-geforce-rtx-3090-24-gb-strix-gaming-oc-video-card-rog-strix-rtx3090-o24g-gaming</x:v>
      </x:c>
      <x:c r="C129" s="34" t="str">
        <x:v>gpu price seed</x:v>
      </x:c>
      <x:c r="D129" s="34" t="str">
        <x:v>Price/reference</x:v>
      </x:c>
      <x:c r="E129" s="34" t="str">
        <x:v>reference</x:v>
      </x:c>
      <x:c r="F129" s="35" t="str">
        <x:v>2026-06-28</x:v>
      </x:c>
    </x:row>
    <x:row r="130">
      <x:c r="A130" s="33" t="str">
        <x:v>XFX Swift price source</x:v>
      </x:c>
      <x:c r="B130" s="34" t="str">
        <x:v>https://fr.pcpartpicker.com/product/T7RnTW/xfx-swift-radeon-rx-9070-xt-16-gb-video-card-rx-97tswf3b9</x:v>
      </x:c>
      <x:c r="C130" s="34" t="str">
        <x:v>gpu price seed</x:v>
      </x:c>
      <x:c r="D130" s="34" t="str">
        <x:v>Price/reference</x:v>
      </x:c>
      <x:c r="E130" s="34" t="str">
        <x:v>reference</x:v>
      </x:c>
      <x:c r="F130" s="35" t="str">
        <x:v>2026-06-28</x:v>
      </x:c>
    </x:row>
    <x:row r="131">
      <x:c r="A131" s="33" t="str">
        <x:v>Asus DUAL OC price source</x:v>
      </x:c>
      <x:c r="B131" s="34" t="str">
        <x:v>https://fr.pcpartpicker.com/product/Hc7scf/asus-dual-oc-geforce-rtx-4070-super-12-gb-video-card-dual-rtx4070s-o12g</x:v>
      </x:c>
      <x:c r="C131" s="34" t="str">
        <x:v>gpu price seed</x:v>
      </x:c>
      <x:c r="D131" s="34" t="str">
        <x:v>Price/reference</x:v>
      </x:c>
      <x:c r="E131" s="34" t="str">
        <x:v>reference</x:v>
      </x:c>
      <x:c r="F131" s="35" t="str">
        <x:v>2026-06-28</x:v>
      </x:c>
    </x:row>
    <x:row r="132">
      <x:c r="A132" s="33" t="str">
        <x:v>Asus TURBO-GTX1070-8G price source</x:v>
      </x:c>
      <x:c r="B132" s="34" t="str">
        <x:v>https://fr.pcpartpicker.com/product/jygPxr/asus-geforce-gtx-1070-8gb-video-card-turbo-gtx1070-8g</x:v>
      </x:c>
      <x:c r="C132" s="34" t="str">
        <x:v>gpu price seed</x:v>
      </x:c>
      <x:c r="D132" s="34" t="str">
        <x:v>Price/reference</x:v>
      </x:c>
      <x:c r="E132" s="34" t="str">
        <x:v>reference</x:v>
      </x:c>
      <x:c r="F132" s="35" t="str">
        <x:v>2026-06-28</x:v>
      </x:c>
    </x:row>
    <x:row r="133">
      <x:c r="A133" s="33" t="str">
        <x:v>Zotac GAMING Twin Edge OC price source</x:v>
      </x:c>
      <x:c r="B133" s="34" t="str">
        <x:v>https://fr.pcpartpicker.com/product/sM8bt6/zotac-geforce-rtx-3060-12-gb-gaming-twin-edge-oc-video-card-zt-a30600h-10m</x:v>
      </x:c>
      <x:c r="C133" s="34" t="str">
        <x:v>gpu price seed</x:v>
      </x:c>
      <x:c r="D133" s="34" t="str">
        <x:v>Price/reference</x:v>
      </x:c>
      <x:c r="E133" s="34" t="str">
        <x:v>reference</x:v>
      </x:c>
      <x:c r="F133" s="35" t="str">
        <x:v>2026-06-28</x:v>
      </x:c>
    </x:row>
    <x:row r="134">
      <x:c r="A134" s="33" t="str">
        <x:v>PNY OC price source</x:v>
      </x:c>
      <x:c r="B134" s="34" t="str">
        <x:v>https://fr.pcpartpicker.com/product/P89nTW/pny-oc-geforce-rtx-5070-12-gb-video-card-vcg507012tfxpb1-o</x:v>
      </x:c>
      <x:c r="C134" s="34" t="str">
        <x:v>gpu price seed</x:v>
      </x:c>
      <x:c r="D134" s="34" t="str">
        <x:v>Price/reference</x:v>
      </x:c>
      <x:c r="E134" s="34" t="str">
        <x:v>reference</x:v>
      </x:c>
      <x:c r="F134" s="35" t="str">
        <x:v>2026-06-28</x:v>
      </x:c>
    </x:row>
    <x:row r="135">
      <x:c r="A135" s="33" t="str">
        <x:v>ASUS ROG Astral GeForce RTX 5090 32GB GDDR7 OC Edition ROG-ASTRAL-RTX5090-O32G-GAMING DLSS 4.0 PCI Express 5.0 Graphics Card price source</x:v>
      </x:c>
      <x:c r="B135" s="34" t="str">
        <x:v>https://www.newegg.ca/p/14-126-751</x:v>
      </x:c>
      <x:c r="C135" s="34" t="str">
        <x:v>gpu price seed</x:v>
      </x:c>
      <x:c r="D135" s="34" t="str">
        <x:v>Price/reference</x:v>
      </x:c>
      <x:c r="E135" s="34" t="str">
        <x:v>retail</x:v>
      </x:c>
      <x:c r="F135" s="35" t="str">
        <x:v>2026-06-29</x:v>
      </x:c>
    </x:row>
    <x:row r="136">
      <x:c r="A136" s="33" t="str">
        <x:v>MSI Suprim GeForce RTX 5090 Graphics Card RTX 5090 32G SUPRIM LIQUID SOC price source</x:v>
      </x:c>
      <x:c r="B136" s="34" t="str">
        <x:v>https://www.newegg.ca/p/14-137-916</x:v>
      </x:c>
      <x:c r="C136" s="34" t="str">
        <x:v>gpu price seed</x:v>
      </x:c>
      <x:c r="D136" s="34" t="str">
        <x:v>Price/reference</x:v>
      </x:c>
      <x:c r="E136" s="34" t="str">
        <x:v>retail</x:v>
      </x:c>
      <x:c r="F136" s="35" t="str">
        <x:v>2026-06-29</x:v>
      </x:c>
    </x:row>
    <x:row r="137">
      <x:c r="A137" s="33" t="str">
        <x:v>GIGABYTE AORUS GeForce RTX 5090 Graphics Card GV-N5090AORUS M-32GD price source</x:v>
      </x:c>
      <x:c r="B137" s="34" t="str">
        <x:v>https://www.newegg.ca/p/9SIAHEBKS13780</x:v>
      </x:c>
      <x:c r="C137" s="34" t="str">
        <x:v>gpu price seed</x:v>
      </x:c>
      <x:c r="D137" s="34" t="str">
        <x:v>Price/reference</x:v>
      </x:c>
      <x:c r="E137" s="34" t="str">
        <x:v>retail</x:v>
      </x:c>
      <x:c r="F137" s="35" t="str">
        <x:v>2026-06-29</x:v>
      </x:c>
    </x:row>
    <x:row r="138">
      <x:c r="A138" s="33" t="str">
        <x:v>GIGABYTE AORUS GeForce RTX 5090 Graphics Card GV-N5090AORUSST ICE-32GD price source</x:v>
      </x:c>
      <x:c r="B138" s="34" t="str">
        <x:v>https://www.newegg.ca/p/9SIAHEBKJM4161</x:v>
      </x:c>
      <x:c r="C138" s="34" t="str">
        <x:v>gpu price seed</x:v>
      </x:c>
      <x:c r="D138" s="34" t="str">
        <x:v>Price/reference</x:v>
      </x:c>
      <x:c r="E138" s="34" t="str">
        <x:v>retail</x:v>
      </x:c>
      <x:c r="F138" s="35" t="str">
        <x:v>2026-06-29</x:v>
      </x:c>
    </x:row>
    <x:row r="139">
      <x:c r="A139" s="33" t="str">
        <x:v>ASUS ROG Astral GeForce RTX 5090 Graphics Card ROG-ASTRAL-RTX5090-O32G-WHITE price source</x:v>
      </x:c>
      <x:c r="B139" s="34" t="str">
        <x:v>https://www.newegg.ca/p/9SIC5R2KTF4827</x:v>
      </x:c>
      <x:c r="C139" s="34" t="str">
        <x:v>gpu price seed</x:v>
      </x:c>
      <x:c r="D139" s="34" t="str">
        <x:v>Price/reference</x:v>
      </x:c>
      <x:c r="E139" s="34" t="str">
        <x:v>retail</x:v>
      </x:c>
      <x:c r="F139" s="35" t="str">
        <x:v>2026-06-29</x:v>
      </x:c>
    </x:row>
    <x:row r="140">
      <x:c r="A140" s="33" t="str">
        <x:v>PNY GeForce RTX 5090 OC 32GB 512-Bit GDDR7 DLSS 4.0 PCI Express 5.0 x16 Graphics Card VCG509032TFXPB1-O price source</x:v>
      </x:c>
      <x:c r="B140" s="34" t="str">
        <x:v>https://www.newegg.ca/p/1FT-000P-00662</x:v>
      </x:c>
      <x:c r="C140" s="34" t="str">
        <x:v>gpu price seed</x:v>
      </x:c>
      <x:c r="D140" s="34" t="str">
        <x:v>Price/reference</x:v>
      </x:c>
      <x:c r="E140" s="34" t="str">
        <x:v>retail</x:v>
      </x:c>
      <x:c r="F140" s="35" t="str">
        <x:v>2026-06-29</x:v>
      </x:c>
    </x:row>
    <x:row r="141">
      <x:c r="A141" s="33" t="str">
        <x:v>MSI Suprim GeForce RTX 5090 Graphics Card RTX 5090 32G SUPRIM SOC price source</x:v>
      </x:c>
      <x:c r="B141" s="34" t="str">
        <x:v>https://www.newegg.ca/p/9SIC3DSKNH2655</x:v>
      </x:c>
      <x:c r="C141" s="34" t="str">
        <x:v>gpu price seed</x:v>
      </x:c>
      <x:c r="D141" s="34" t="str">
        <x:v>Price/reference</x:v>
      </x:c>
      <x:c r="E141" s="34" t="str">
        <x:v>retail</x:v>
      </x:c>
      <x:c r="F141" s="35" t="str">
        <x:v>2026-06-29</x:v>
      </x:c>
    </x:row>
    <x:row r="142">
      <x:c r="A142" s="33" t="str">
        <x:v>ASUS ROG Astral with Detachable GC-HPWR Adapter GeForce RTX 5090 32GB GDDR7 PCI Express 5.0 ATX Graphics Card ROG-ASTRAL-RTX5090-O32G-BTF-GAMING price source</x:v>
      </x:c>
      <x:c r="B142" s="34" t="str">
        <x:v>https://www.newegg.ca/p/14-126-824</x:v>
      </x:c>
      <x:c r="C142" s="34" t="str">
        <x:v>gpu price seed</x:v>
      </x:c>
      <x:c r="D142" s="34" t="str">
        <x:v>Price/reference</x:v>
      </x:c>
      <x:c r="E142" s="34" t="str">
        <x:v>retail</x:v>
      </x:c>
      <x:c r="F142" s="35" t="str">
        <x:v>2026-06-29</x:v>
      </x:c>
    </x:row>
    <x:row r="143">
      <x:c r="A143" s="33" t="str">
        <x:v>ZOTAC SOLID OC White Edition GeForce RTX 5090 32GB 512-Bit GDDR7 PCI Express 5.0 x16 DLSS 4.0 Graphics Card ZT-B50900Q-10P SOLID OC White Edition price source</x:v>
      </x:c>
      <x:c r="B143" s="34" t="str">
        <x:v>https://www.newegg.ca/p/9SIBP4ZKFR0649</x:v>
      </x:c>
      <x:c r="C143" s="34" t="str">
        <x:v>gpu price seed</x:v>
      </x:c>
      <x:c r="D143" s="34" t="str">
        <x:v>Price/reference</x:v>
      </x:c>
      <x:c r="E143" s="34" t="str">
        <x:v>retail</x:v>
      </x:c>
      <x:c r="F143" s="35" t="str">
        <x:v>2026-06-29</x:v>
      </x:c>
    </x:row>
    <x:row r="144">
      <x:c r="A144" s="33" t="str">
        <x:v>PNY ARGB OC GeForce RTX 5090 32GB 512-Bit GDDR7 DLSS 4.0 PCI Express 5.0 x16 Graphics Card VCG509032TFXXPB1-O price source</x:v>
      </x:c>
      <x:c r="B144" s="34" t="str">
        <x:v>https://www.newegg.ca/p/9SIC3DSKNH2635</x:v>
      </x:c>
      <x:c r="C144" s="34" t="str">
        <x:v>gpu price seed</x:v>
      </x:c>
      <x:c r="D144" s="34" t="str">
        <x:v>Price/reference</x:v>
      </x:c>
      <x:c r="E144" s="34" t="str">
        <x:v>retail</x:v>
      </x:c>
      <x:c r="F144" s="35" t="str">
        <x:v>2026-06-29</x:v>
      </x:c>
    </x:row>
    <x:row r="145">
      <x:c r="A145" s="33" t="str">
        <x:v>MSI LIGHTNING GeForce RTX 5090 Graphics RTX 5090 32G LIGHTNING Z price source</x:v>
      </x:c>
      <x:c r="B145" s="34" t="str">
        <x:v>https://www.newegg.ca/p/9SIAHEBKUM2201</x:v>
      </x:c>
      <x:c r="C145" s="34" t="str">
        <x:v>gpu price seed</x:v>
      </x:c>
      <x:c r="D145" s="34" t="str">
        <x:v>Price/reference</x:v>
      </x:c>
      <x:c r="E145" s="34" t="str">
        <x:v>retail</x:v>
      </x:c>
      <x:c r="F145" s="35" t="str">
        <x:v>2026-06-29</x:v>
      </x:c>
    </x:row>
    <x:row r="146">
      <x:c r="A146" s="33" t="str">
        <x:v>GIGABYTE AORUS GeForce RTX 5090 Graphics Card GV-N5090AORUSX WB-32GD price source</x:v>
      </x:c>
      <x:c r="B146" s="34" t="str">
        <x:v>https://www.newegg.ca/p/9SIAHEBKKH0686</x:v>
      </x:c>
      <x:c r="C146" s="34" t="str">
        <x:v>gpu price seed</x:v>
      </x:c>
      <x:c r="D146" s="34" t="str">
        <x:v>Price/reference</x:v>
      </x:c>
      <x:c r="E146" s="34" t="str">
        <x:v>retail</x:v>
      </x:c>
      <x:c r="F146" s="35" t="str">
        <x:v>2026-06-29</x:v>
      </x:c>
    </x:row>
    <x:row r="147">
      <x:c r="A147" s="33" t="str">
        <x:v>GIGABYTE WINDFORCE GeForce RTX 5090 Graphics Card GV-N5090WF3OC-32GD price source</x:v>
      </x:c>
      <x:c r="B147" s="34" t="str">
        <x:v>https://www.newegg.ca/p/9SIBP4ZKYN1766</x:v>
      </x:c>
      <x:c r="C147" s="34" t="str">
        <x:v>gpu price seed</x:v>
      </x:c>
      <x:c r="D147" s="34" t="str">
        <x:v>Price/reference</x:v>
      </x:c>
      <x:c r="E147" s="34" t="str">
        <x:v>retail</x:v>
      </x:c>
      <x:c r="F147" s="35" t="str">
        <x:v>2026-06-29</x:v>
      </x:c>
    </x:row>
    <x:row r="148">
      <x:c r="A148" s="33" t="str">
        <x:v>GIGABYTE AORUS GeForce RTX 5090 Graphics Card AORUS RTX 5090 AI BOX price source</x:v>
      </x:c>
      <x:c r="B148" s="34" t="str">
        <x:v>https://www.newegg.ca/p/9SIAHEBKRY2925</x:v>
      </x:c>
      <x:c r="C148" s="34" t="str">
        <x:v>gpu price seed</x:v>
      </x:c>
      <x:c r="D148" s="34" t="str">
        <x:v>Price/reference</x:v>
      </x:c>
      <x:c r="E148" s="34" t="str">
        <x:v>retail</x:v>
      </x:c>
      <x:c r="F148" s="35" t="str">
        <x:v>2026-06-29</x:v>
      </x:c>
    </x:row>
    <x:row r="149">
      <x:c r="A149" s="33" t="str">
        <x:v>GIGABYTE AORUS GeForce RTX 5090 Graphics Card GV-N5090AORUSX W-32GD price source</x:v>
      </x:c>
      <x:c r="B149" s="34" t="str">
        <x:v>https://www.newegg.ca/p/9SIAHEBKJY4234</x:v>
      </x:c>
      <x:c r="C149" s="34" t="str">
        <x:v>gpu price seed</x:v>
      </x:c>
      <x:c r="D149" s="34" t="str">
        <x:v>Price/reference</x:v>
      </x:c>
      <x:c r="E149" s="34" t="str">
        <x:v>retail</x:v>
      </x:c>
      <x:c r="F149" s="35" t="str">
        <x:v>2026-06-29</x:v>
      </x:c>
    </x:row>
    <x:row r="150">
      <x:c r="A150" s="33" t="str">
        <x:v>ASUS ROG Astral LC GeForce RTX 5090 32GB GDDR7 OC Edition ROG-ASTRAL-LC-RTX5090-O32G-GAMING DLSS 4.0 PCI Express 5.0 Graphics Card</x:v>
      </x:c>
      <x:c r="B150" s="34" t="str">
        <x:v>https://www.newegg.ca/p/9SIC6VJKX70555</x:v>
      </x:c>
      <x:c r="C150" s="34" t="str">
        <x:v>gpu specifications</x:v>
      </x:c>
      <x:c r="D150" s="34" t="str">
        <x:v>Manufacturer/specification</x:v>
      </x:c>
      <x:c r="E150" s="34" t="str">
        <x:v>retail</x:v>
      </x:c>
      <x:c r="F150" s="35" t="str">
        <x:v>2026-06-29</x:v>
      </x:c>
    </x:row>
    <x:row r="151">
      <x:c r="A151" s="33" t="str">
        <x:v>ASUS ROG Astral LC GeForce RTX 5090 32GB GDDR7 OC Edition ROG-ASTRAL-LC-RTX5090-O32G-GAMING DLSS 4.0 PCI Express 5.0 Graphics Card price source</x:v>
      </x:c>
      <x:c r="B151" s="34" t="str">
        <x:v>https://www.newegg.ca/p/9SIC6VJKX70784</x:v>
      </x:c>
      <x:c r="C151" s="34" t="str">
        <x:v>gpu price seed</x:v>
      </x:c>
      <x:c r="D151" s="34" t="str">
        <x:v>Price/reference</x:v>
      </x:c>
      <x:c r="E151" s="34" t="str">
        <x:v>retail</x:v>
      </x:c>
      <x:c r="F151" s="35" t="str">
        <x:v>2026-06-29</x:v>
      </x:c>
    </x:row>
    <x:row r="152">
      <x:c r="A152" s="33" t="str">
        <x:v>GIGABYTE AORUS GeForce RTX 5090 Graphics Card GV-N5090AORUSM ICE-32GD price source</x:v>
      </x:c>
      <x:c r="B152" s="34" t="str">
        <x:v>https://www.newegg.ca/p/14-932-765</x:v>
      </x:c>
      <x:c r="C152" s="34" t="str">
        <x:v>gpu price seed</x:v>
      </x:c>
      <x:c r="D152" s="34" t="str">
        <x:v>Price/reference</x:v>
      </x:c>
      <x:c r="E152" s="34" t="str">
        <x:v>retail</x:v>
      </x:c>
      <x:c r="F152" s="35" t="str">
        <x:v>2026-06-29</x:v>
      </x:c>
    </x:row>
    <x:row r="153">
      <x:c r="A153" s="33" t="str">
        <x:v>GIGABYTE Gaming GeForce RTX 5090 Graphics Card GV-N5090GAMING OC-32GD</x:v>
      </x:c>
      <x:c r="B153" s="34" t="str">
        <x:v>https://www.newegg.ca/p/14-932-761</x:v>
      </x:c>
      <x:c r="C153" s="34" t="str">
        <x:v>gpu specifications</x:v>
      </x:c>
      <x:c r="D153" s="34" t="str">
        <x:v>Manufacturer/specification</x:v>
      </x:c>
      <x:c r="E153" s="34" t="str">
        <x:v>retail</x:v>
      </x:c>
      <x:c r="F153" s="35" t="str">
        <x:v>2026-06-29</x:v>
      </x:c>
    </x:row>
    <x:row r="154">
      <x:c r="A154" s="33" t="str">
        <x:v>GIGABYTE Gaming GeForce RTX 5090 Graphics Card GV-N5090GAMING OC-32GD price source</x:v>
      </x:c>
      <x:c r="B154" s="34" t="str">
        <x:v>https://www.newegg.ca/p/14-932-761R</x:v>
      </x:c>
      <x:c r="C154" s="34" t="str">
        <x:v>gpu price seed</x:v>
      </x:c>
      <x:c r="D154" s="34" t="str">
        <x:v>Price/reference</x:v>
      </x:c>
      <x:c r="E154" s="34" t="str">
        <x:v>retail</x:v>
      </x:c>
      <x:c r="F154" s="35" t="str">
        <x:v>2026-06-29</x:v>
      </x:c>
    </x:row>
    <x:row r="155">
      <x:c r="A155" s="33" t="str">
        <x:v>MSI Gaming GeForce RTX 5090 Graphics Card RTX 5090 32G GAMING TRIO OC price source</x:v>
      </x:c>
      <x:c r="B155" s="34" t="str">
        <x:v>https://www.newegg.ca/p/14-137-919</x:v>
      </x:c>
      <x:c r="C155" s="34" t="str">
        <x:v>gpu price seed</x:v>
      </x:c>
      <x:c r="D155" s="34" t="str">
        <x:v>Price/reference</x:v>
      </x:c>
      <x:c r="E155" s="34" t="str">
        <x:v>retail</x:v>
      </x:c>
      <x:c r="F155" s="35" t="str">
        <x:v>2026-06-29</x:v>
      </x:c>
    </x:row>
    <x:row r="156">
      <x:c r="A156" s="33" t="str">
        <x:v>MSI Ventus GeForce RTX 5090 Graphics Card RTX 5090 32G VENTUS 3X OC price source</x:v>
      </x:c>
      <x:c r="B156" s="34" t="str">
        <x:v>https://www.newegg.ca/p/14-137-920</x:v>
      </x:c>
      <x:c r="C156" s="34" t="str">
        <x:v>gpu price seed</x:v>
      </x:c>
      <x:c r="D156" s="34" t="str">
        <x:v>Price/reference</x:v>
      </x:c>
      <x:c r="E156" s="34" t="str">
        <x:v>retail</x:v>
      </x:c>
      <x:c r="F156" s="35" t="str">
        <x:v>2026-06-29</x:v>
      </x:c>
    </x:row>
    <x:row r="157">
      <x:c r="A157" s="33" t="str">
        <x:v>ZOTAC SOLID OC GeForce RTX 5090 Graphics Card RTX 5090 SOLID OC price source</x:v>
      </x:c>
      <x:c r="B157" s="34" t="str">
        <x:v>https://www.newegg.ca/p/9SIADGEKYH7721</x:v>
      </x:c>
      <x:c r="C157" s="34" t="str">
        <x:v>gpu price seed</x:v>
      </x:c>
      <x:c r="D157" s="34" t="str">
        <x:v>Price/reference</x:v>
      </x:c>
      <x:c r="E157" s="34" t="str">
        <x:v>retail</x:v>
      </x:c>
      <x:c r="F157" s="35" t="str">
        <x:v>2026-06-29</x:v>
      </x:c>
    </x:row>
    <x:row r="158">
      <x:c r="A158" s="33" t="str">
        <x:v>GIGABYTE WINDFORCE GeForce RTX 5090 Graphics Card GV-N5090WF3-32GD price source</x:v>
      </x:c>
      <x:c r="B158" s="34" t="str">
        <x:v>https://www.newegg.ca/p/9SIBP4ZKYN1759</x:v>
      </x:c>
      <x:c r="C158" s="34" t="str">
        <x:v>gpu price seed</x:v>
      </x:c>
      <x:c r="D158" s="34" t="str">
        <x:v>Price/reference</x:v>
      </x:c>
      <x:c r="E158" s="34" t="str">
        <x:v>retail</x:v>
      </x:c>
      <x:c r="F158" s="35" t="str">
        <x:v>2026-06-29</x:v>
      </x:c>
    </x:row>
    <x:row r="159">
      <x:c r="A159" s="33" t="str">
        <x:v>ASUS ROG Astral GeForce RTX 5090 32GB GDDR7 PCI Express 5.0 Graphics Card ROG-ASTRAL-RTX5090-32G-WHITE price source</x:v>
      </x:c>
      <x:c r="B159" s="34" t="str">
        <x:v>https://www.newegg.ca/p/9SIBP4ZKNX1617</x:v>
      </x:c>
      <x:c r="C159" s="34" t="str">
        <x:v>gpu price seed</x:v>
      </x:c>
      <x:c r="D159" s="34" t="str">
        <x:v>Price/reference</x:v>
      </x:c>
      <x:c r="E159" s="34" t="str">
        <x:v>retail</x:v>
      </x:c>
      <x:c r="F159" s="35" t="str">
        <x:v>2026-06-29</x:v>
      </x:c>
    </x:row>
    <x:row r="160">
      <x:c r="A160" s="33" t="str">
        <x:v>MSI Ventus GeForce RTX 5090 Graphics Card RTX 5090 32G VENTUS 3X price source</x:v>
      </x:c>
      <x:c r="B160" s="34" t="str">
        <x:v>https://www.newegg.ca/p/9SIC3DSKNH2658</x:v>
      </x:c>
      <x:c r="C160" s="34" t="str">
        <x:v>gpu price seed</x:v>
      </x:c>
      <x:c r="D160" s="34" t="str">
        <x:v>Price/reference</x:v>
      </x:c>
      <x:c r="E160" s="34" t="str">
        <x:v>retail</x:v>
      </x:c>
      <x:c r="F160" s="35" t="str">
        <x:v>2026-06-29</x:v>
      </x:c>
    </x:row>
    <x:row r="161">
      <x:c r="A161" s="33" t="str">
        <x:v>MSI VANGUARD GeForce RTX 5090 Graphics Card RTX 5090 32G VANGUARD SOC price source</x:v>
      </x:c>
      <x:c r="B161" s="34" t="str">
        <x:v>https://www.newegg.ca/p/9SIC3DSKNH2654</x:v>
      </x:c>
      <x:c r="C161" s="34" t="str">
        <x:v>gpu price seed</x:v>
      </x:c>
      <x:c r="D161" s="34" t="str">
        <x:v>Price/reference</x:v>
      </x:c>
      <x:c r="E161" s="34" t="str">
        <x:v>retail</x:v>
      </x:c>
      <x:c r="F161" s="35" t="str">
        <x:v>2026-06-29</x:v>
      </x:c>
    </x:row>
    <x:row r="162">
      <x:c r="A162" s="33" t="str">
        <x:v>Gigabyte AORUS GeForce RTX 5090 MASTER ICE 32G GV-N5090AORUSM ICE-32GD GDDR7 video card price source</x:v>
      </x:c>
      <x:c r="B162" s="34" t="str">
        <x:v>https://www.newegg.ca/p/9SIAHEBKNZ5108</x:v>
      </x:c>
      <x:c r="C162" s="34" t="str">
        <x:v>gpu price seed</x:v>
      </x:c>
      <x:c r="D162" s="34" t="str">
        <x:v>Price/reference</x:v>
      </x:c>
      <x:c r="E162" s="34" t="str">
        <x:v>retail</x:v>
      </x:c>
      <x:c r="F162" s="35" t="str">
        <x:v>2026-06-29</x:v>
      </x:c>
    </x:row>
    <x:row r="163">
      <x:c r="A163" s="33" t="str">
        <x:v>ASUS ROG Astral GeForce RTX 5090 32GB GDDR7 OC DHAHAB Edition ROG-ASTRAL-RTX5090-O32G-DHAHAB-EDITION DLSS 4.0 PCI Express 5.0 Graphics Card price source</x:v>
      </x:c>
      <x:c r="B163" s="34" t="str">
        <x:v>https://www.newegg.ca/p/9SIC6VJKX71165</x:v>
      </x:c>
      <x:c r="C163" s="34" t="str">
        <x:v>gpu price seed</x:v>
      </x:c>
      <x:c r="D163" s="34" t="str">
        <x:v>Price/reference</x:v>
      </x:c>
      <x:c r="E163" s="34" t="str">
        <x:v>retail</x:v>
      </x:c>
      <x:c r="F163" s="35" t="str">
        <x:v>2026-06-29</x:v>
      </x:c>
    </x:row>
    <x:row r="164">
      <x:c r="A164" s="33" t="str">
        <x:v>ASUS ROG Astral BTF GeForce RTX 5090 24GB GDDR7 BTF OC Edition Graphics Card,  ROG-ASTRAL-RTX5090DV2-O24G-BTF,  DLSS 4.0 PCI Express 5.0 Video Card, OpenGL® 4.6 price source</x:v>
      </x:c>
      <x:c r="B164" s="34" t="str">
        <x:v>https://www.newegg.ca/p/9SIBP4ZKUP1351</x:v>
      </x:c>
      <x:c r="C164" s="34" t="str">
        <x:v>gpu price seed</x:v>
      </x:c>
      <x:c r="D164" s="34" t="str">
        <x:v>Price/reference</x:v>
      </x:c>
      <x:c r="E164" s="34" t="str">
        <x:v>retail</x:v>
      </x:c>
      <x:c r="F164" s="35" t="str">
        <x:v>2026-06-29</x:v>
      </x:c>
    </x:row>
    <x:row r="165">
      <x:c r="A165" s="33" t="str">
        <x:v>ASUS ROG Astral LC GeForce RTX 5090 32GB GDDR7  Edition ROG-ASTRAL-LC-RTX5090-32G-GAMING DLSS 4.0 PCI Express 5.0 Graphics Card price source</x:v>
      </x:c>
      <x:c r="B165" s="34" t="str">
        <x:v>https://www.newegg.ca/p/9SIC6VJKX78354</x:v>
      </x:c>
      <x:c r="C165" s="34" t="str">
        <x:v>gpu price seed</x:v>
      </x:c>
      <x:c r="D165" s="34" t="str">
        <x:v>Price/reference</x:v>
      </x:c>
      <x:c r="E165" s="34" t="str">
        <x:v>retail</x:v>
      </x:c>
      <x:c r="F165" s="35" t="str">
        <x:v>2026-06-29</x:v>
      </x:c>
    </x:row>
    <x:row r="166">
      <x:c r="A166" s="33" t="str">
        <x:v>ASUS ROG Astral BTF GeForce RTX 5090 24GB GDDR7 BTF Edition Graphics Card,  ROG-ASTRAL-RTX5090DV2-O24G-BTF,  DLSS 4.0 PCI Express 5.0 Video Card, OpenGL® 4.6 price source</x:v>
      </x:c>
      <x:c r="B166" s="34" t="str">
        <x:v>https://www.newegg.ca/p/9SIBP4ZKUP1348</x:v>
      </x:c>
      <x:c r="C166" s="34" t="str">
        <x:v>gpu price seed</x:v>
      </x:c>
      <x:c r="D166" s="34" t="str">
        <x:v>Price/reference</x:v>
      </x:c>
      <x:c r="E166" s="34" t="str">
        <x:v>retail</x:v>
      </x:c>
      <x:c r="F166" s="35" t="str">
        <x:v>2026-06-29</x:v>
      </x:c>
    </x:row>
    <x:row r="167">
      <x:c r="A167" s="33" t="str">
        <x:v>ZOTAC SOLID  White Edition GeForce RTX 5090 32GB 512-Bit GDDR7 PCI Express 5.0 x16 DLSS 4.0 Graphics Card  SOLID  White Edition price source</x:v>
      </x:c>
      <x:c r="B167" s="34" t="str">
        <x:v>https://www.newegg.ca/p/9SIBP4ZKS87027</x:v>
      </x:c>
      <x:c r="C167" s="34" t="str">
        <x:v>gpu price seed</x:v>
      </x:c>
      <x:c r="D167" s="34" t="str">
        <x:v>Price/reference</x:v>
      </x:c>
      <x:c r="E167" s="34" t="str">
        <x:v>retail</x:v>
      </x:c>
      <x:c r="F167" s="35" t="str">
        <x:v>2026-06-29</x:v>
      </x:c>
    </x:row>
    <x:row r="168">
      <x:c r="A168" s="33" t="str">
        <x:v>GIGABYTE AORUS GeForce RTX 5090 STEALTH ICE 32G GDDR7 PCI Express 5.0 ATX Graphics Card GV-N5090AORUSM ICE-32GD price source</x:v>
      </x:c>
      <x:c r="B168" s="34" t="str">
        <x:v>https://www.newegg.ca/p/9SIBP4ZKYN1749</x:v>
      </x:c>
      <x:c r="C168" s="34" t="str">
        <x:v>gpu price seed</x:v>
      </x:c>
      <x:c r="D168" s="34" t="str">
        <x:v>Price/reference</x:v>
      </x:c>
      <x:c r="E168" s="34" t="str">
        <x:v>retail</x:v>
      </x:c>
      <x:c r="F168" s="35" t="str">
        <x:v>2026-06-29</x:v>
      </x:c>
    </x:row>
    <x:row r="169">
      <x:c r="A169" s="33" t="str">
        <x:v>ASUS TUF Gaming GeForce RTX 5090D 24GB GDDR7Graphics Card , PCI-Express 5.0 DLSS 4.0 Graphics Card, TUF-RTX5090DV2-O24G-GAMING price source</x:v>
      </x:c>
      <x:c r="B169" s="34" t="str">
        <x:v>https://www.newegg.ca/p/9SIBP4ZKV13974</x:v>
      </x:c>
      <x:c r="C169" s="34" t="str">
        <x:v>gpu price seed</x:v>
      </x:c>
      <x:c r="D169" s="34" t="str">
        <x:v>Price/reference</x:v>
      </x:c>
      <x:c r="E169" s="34" t="str">
        <x:v>retail</x:v>
      </x:c>
      <x:c r="F169" s="35" t="str">
        <x:v>2026-06-29</x:v>
      </x:c>
    </x:row>
    <x:row r="170">
      <x:c r="A170" s="33" t="str">
        <x:v>ASUS TUF Gaming GeForce RTX 5090D 24GB GDDR7Graphics Card , PCI-Express 5.0 DLSS 4.0 Graphics Card, TUF-RTX5090DV2-24G-GAMING price source</x:v>
      </x:c>
      <x:c r="B170" s="34" t="str">
        <x:v>https://www.newegg.ca/p/9SIBP4ZKV13970</x:v>
      </x:c>
      <x:c r="C170" s="34" t="str">
        <x:v>gpu price seed</x:v>
      </x:c>
      <x:c r="D170" s="34" t="str">
        <x:v>Price/reference</x:v>
      </x:c>
      <x:c r="E170" s="34" t="str">
        <x:v>retail</x:v>
      </x:c>
      <x:c r="F170" s="35" t="str">
        <x:v>2026-06-29</x:v>
      </x:c>
    </x:row>
    <x:row r="171">
      <x:c r="A171" s="33" t="str">
        <x:v>GIGABYTE AORUS GeForce RTX 5090 MASTER AI Gaming Graphics Card price source</x:v>
      </x:c>
      <x:c r="B171" s="34" t="str">
        <x:v>https://www.canadacomputers.com/en/powered-by-nvidia/268188/gigabyte-aorus-geforce-rtx-5090-master-ai-gaming-graphics-card-gv-n5090aorus-m-32gd.html</x:v>
      </x:c>
      <x:c r="C171" s="34" t="str">
        <x:v>gpu price seed</x:v>
      </x:c>
      <x:c r="D171" s="34" t="str">
        <x:v>Price/reference</x:v>
      </x:c>
      <x:c r="E171" s="34" t="str">
        <x:v>retail</x:v>
      </x:c>
      <x:c r="F171" s="35" t="str">
        <x:v>2026-06-29</x:v>
      </x:c>
    </x:row>
    <x:row r="172">
      <x:c r="A172" s="33" t="str">
        <x:v>GIGABYTE GeForce RTX 5080 WINDFORCE OC SFF 16G Graphics Card price source</x:v>
      </x:c>
      <x:c r="B172" s="34" t="str">
        <x:v>https://www.canadacomputers.com/en/powered-by-nvidia/268141/gigabyte-geforce-rtx-5080-windforce-oc-sff-16g-graphics-card-gv-n5080wf3oc-16gd.html</x:v>
      </x:c>
      <x:c r="C172" s="34" t="str">
        <x:v>gpu price seed</x:v>
      </x:c>
      <x:c r="D172" s="34" t="str">
        <x:v>Price/reference</x:v>
      </x:c>
      <x:c r="E172" s="34" t="str">
        <x:v>retail</x:v>
      </x:c>
      <x:c r="F172" s="35" t="str">
        <x:v>2026-06-29</x:v>
      </x:c>
    </x:row>
    <x:row r="173">
      <x:c r="A173" s="33" t="str">
        <x:v>GIGABYTE GeForce RTX 5070 Ti WINDFORCE OC SFF 16G Graphics Card price source</x:v>
      </x:c>
      <x:c r="B173" s="34" t="str">
        <x:v>https://www.canadacomputers.com/en/powered-by-nvidia/268823/gigabyte-geforce-rtx-5070-ti-windforce-oc-sff-16g-graphics-card-gv-n507twf3oc-16gd.html</x:v>
      </x:c>
      <x:c r="C173" s="34" t="str">
        <x:v>gpu price seed</x:v>
      </x:c>
      <x:c r="D173" s="34" t="str">
        <x:v>Price/reference</x:v>
      </x:c>
      <x:c r="E173" s="34" t="str">
        <x:v>retail</x:v>
      </x:c>
      <x:c r="F173" s="35" t="str">
        <x:v>2026-06-29</x:v>
      </x:c>
    </x:row>
    <x:row r="174">
      <x:c r="A174" s="33" t="str">
        <x:v>GIGABYTE GeForce RTX 5070 Ti GAMING OC 16G  Graphics Card price source</x:v>
      </x:c>
      <x:c r="B174" s="34" t="str">
        <x:v>https://www.canadacomputers.com/en/powered-by-nvidia/268819/gigabyte-geforce-rtx-5070-ti-gaming-oc-16g-graphics-card-gv-n507tgaming-oc-16gd.html</x:v>
      </x:c>
      <x:c r="C174" s="34" t="str">
        <x:v>gpu price seed</x:v>
      </x:c>
      <x:c r="D174" s="34" t="str">
        <x:v>Price/reference</x:v>
      </x:c>
      <x:c r="E174" s="34" t="str">
        <x:v>retail</x:v>
      </x:c>
      <x:c r="F174" s="35" t="str">
        <x:v>2026-06-29</x:v>
      </x:c>
    </x:row>
    <x:row r="175">
      <x:c r="A175" s="33" t="str">
        <x:v>ASUS Prime GeForce RTX 5070 12GB GDDR7 Graphics Card price source</x:v>
      </x:c>
      <x:c r="B175" s="34" t="str">
        <x:v>https://www.canadacomputers.com/en/powered-by-nvidia/268300/asus-prime-geforce-rtx-5070-12gb-gddr7-graphics-card-prime-rtx5070-12g.html</x:v>
      </x:c>
      <x:c r="C175" s="34" t="str">
        <x:v>gpu price seed</x:v>
      </x:c>
      <x:c r="D175" s="34" t="str">
        <x:v>Price/reference</x:v>
      </x:c>
      <x:c r="E175" s="34" t="str">
        <x:v>retail</x:v>
      </x:c>
      <x:c r="F175" s="35" t="str">
        <x:v>2026-06-29</x:v>
      </x:c>
    </x:row>
    <x:row r="176">
      <x:c r="A176" s="33" t="str">
        <x:v>GIGABYTE GeForce RTX 5070 GAMING OC 12G Graphics Card price source</x:v>
      </x:c>
      <x:c r="B176" s="34" t="str">
        <x:v>https://www.canadacomputers.com/en/powered-by-nvidia/268826/gigabyte-geforce-rtx-5070-gaming-oc-12g-graphics-card-gv-n5070gaming-oc-12gd.html</x:v>
      </x:c>
      <x:c r="C176" s="34" t="str">
        <x:v>gpu price seed</x:v>
      </x:c>
      <x:c r="D176" s="34" t="str">
        <x:v>Price/reference</x:v>
      </x:c>
      <x:c r="E176" s="34" t="str">
        <x:v>retail</x:v>
      </x:c>
      <x:c r="F176" s="35" t="str">
        <x:v>2026-06-29</x:v>
      </x:c>
    </x:row>
    <x:row r="177">
      <x:c r="A177" s="33" t="str">
        <x:v>GIGABYTE GeForce RTX 5060 WINDFORCE 8G Graphics Card price source</x:v>
      </x:c>
      <x:c r="B177" s="34" t="str">
        <x:v>https://www.canadacomputers.com/en/powered-by-nvidia/273663/gigabyte-geforce-rtx-5060-windforce-8g-graphics-card-gv-n5060wf2-8gd.html</x:v>
      </x:c>
      <x:c r="C177" s="34" t="str">
        <x:v>gpu price seed</x:v>
      </x:c>
      <x:c r="D177" s="34" t="str">
        <x:v>Price/reference</x:v>
      </x:c>
      <x:c r="E177" s="34" t="str">
        <x:v>retail</x:v>
      </x:c>
      <x:c r="F177" s="35" t="str">
        <x:v>2026-06-29</x:v>
      </x:c>
    </x:row>
    <x:row r="178">
      <x:c r="A178" s="33" t="str">
        <x:v>ASUS TUF Gaming B850-Plus WiFi price source</x:v>
      </x:c>
      <x:c r="B178" s="34" t="str">
        <x:v>https://www.asus.com/motherboards-components/motherboards/tuf-gaming/tuf-gaming-b850-plus-wifi/techspec/</x:v>
      </x:c>
      <x:c r="C178" s="34" t="str">
        <x:v>motherboard price seed</x:v>
      </x:c>
      <x:c r="D178" s="34" t="str">
        <x:v>Price/reference</x:v>
      </x:c>
      <x:c r="E178" s="34" t="str">
        <x:v>reference</x:v>
      </x:c>
      <x:c r="F178" s="35" t="str">
        <x:v>2026-06-28</x:v>
      </x:c>
    </x:row>
    <x:row r="179">
      <x:c r="A179" s="33" t="str">
        <x:v>ASUS ROG Strix X870-A Gaming WiFi price source</x:v>
      </x:c>
      <x:c r="B179" s="34" t="str">
        <x:v>https://rog.asus.com/motherboards/rog-strix/rog-strix-x870-a-gaming-wifi/spec/</x:v>
      </x:c>
      <x:c r="C179" s="34" t="str">
        <x:v>motherboard price seed</x:v>
      </x:c>
      <x:c r="D179" s="34" t="str">
        <x:v>Price/reference</x:v>
      </x:c>
      <x:c r="E179" s="34" t="str">
        <x:v>reference</x:v>
      </x:c>
      <x:c r="F179" s="35" t="str">
        <x:v>2026-06-28</x:v>
      </x:c>
    </x:row>
    <x:row r="180">
      <x:c r="A180" s="33" t="str">
        <x:v>ASUS ROG Strix Z890-A Gaming WiFi price source</x:v>
      </x:c>
      <x:c r="B180" s="34" t="str">
        <x:v>https://rog.asus.com/us/motherboards/rog-strix/rog-strix-z890-a-gaming-wifi/spec/</x:v>
      </x:c>
      <x:c r="C180" s="34" t="str">
        <x:v>motherboard price seed</x:v>
      </x:c>
      <x:c r="D180" s="34" t="str">
        <x:v>Price/reference</x:v>
      </x:c>
      <x:c r="E180" s="34" t="str">
        <x:v>reference</x:v>
      </x:c>
      <x:c r="F180" s="35" t="str">
        <x:v>2026-06-28</x:v>
      </x:c>
    </x:row>
    <x:row r="181">
      <x:c r="A181" s="33" t="str">
        <x:v>ASRock Z890M Riptide WiFi price source</x:v>
      </x:c>
      <x:c r="B181" s="34" t="str">
        <x:v>https://www.asrock.com/mb/Intel/Z890M%20Riptide%20WiFi/index.asp</x:v>
      </x:c>
      <x:c r="C181" s="34" t="str">
        <x:v>motherboard price seed</x:v>
      </x:c>
      <x:c r="D181" s="34" t="str">
        <x:v>Price/reference</x:v>
      </x:c>
      <x:c r="E181" s="34" t="str">
        <x:v>reference</x:v>
      </x:c>
      <x:c r="F181" s="35" t="str">
        <x:v>2026-06-28</x:v>
      </x:c>
    </x:row>
    <x:row r="182">
      <x:c r="A182" s="33" t="str">
        <x:v>MSI MAG B650 TOMAHAWK WIFI price source</x:v>
      </x:c>
      <x:c r="B182" s="34" t="str">
        <x:v>https://fr.pcpartpicker.com/product/LwNxFT/msi-mag-b650-tomahawk-wifi-atx-am5-motherboard-mag-b650-tomahawk-wifi</x:v>
      </x:c>
      <x:c r="C182" s="34" t="str">
        <x:v>motherboard price seed</x:v>
      </x:c>
      <x:c r="D182" s="34" t="str">
        <x:v>Price/reference</x:v>
      </x:c>
      <x:c r="E182" s="34" t="str">
        <x:v>reference</x:v>
      </x:c>
      <x:c r="F182" s="35" t="str">
        <x:v>2026-06-28</x:v>
      </x:c>
    </x:row>
    <x:row r="183">
      <x:c r="A183" s="33" t="str">
        <x:v>MSI B550M PRO-VDH WIFI price source</x:v>
      </x:c>
      <x:c r="B183" s="34" t="str">
        <x:v>https://fr.pcpartpicker.com/product/PDsnTW/msi-b550m-pro-vdh-wifi-micro-atx-am4-motherboard-b550m-pro-vdh-wifi</x:v>
      </x:c>
      <x:c r="C183" s="34" t="str">
        <x:v>motherboard price seed</x:v>
      </x:c>
      <x:c r="D183" s="34" t="str">
        <x:v>Price/reference</x:v>
      </x:c>
      <x:c r="E183" s="34" t="str">
        <x:v>reference</x:v>
      </x:c>
      <x:c r="F183" s="35" t="str">
        <x:v>2026-06-28</x:v>
      </x:c>
    </x:row>
    <x:row r="184">
      <x:c r="A184" s="33" t="str">
        <x:v>MSI B550-A PRO price source</x:v>
      </x:c>
      <x:c r="B184" s="34" t="str">
        <x:v>https://fr.pcpartpicker.com/product/7gxbt6/msi-b550-a-pro-atx-am4-motherboard-b550-a-pro</x:v>
      </x:c>
      <x:c r="C184" s="34" t="str">
        <x:v>motherboard price seed</x:v>
      </x:c>
      <x:c r="D184" s="34" t="str">
        <x:v>Price/reference</x:v>
      </x:c>
      <x:c r="E184" s="34" t="str">
        <x:v>reference</x:v>
      </x:c>
      <x:c r="F184" s="35" t="str">
        <x:v>2026-06-28</x:v>
      </x:c>
    </x:row>
    <x:row r="185">
      <x:c r="A185" s="33" t="str">
        <x:v>Gigabyte B550I AORUS PRO AX price source</x:v>
      </x:c>
      <x:c r="B185" s="34" t="str">
        <x:v>https://fr.pcpartpicker.com/product/9pn8TW/gigabyte-b550i-aorus-pro-ax-mini-itx-am4-motherboard-b550i-aorus-pro-ax</x:v>
      </x:c>
      <x:c r="C185" s="34" t="str">
        <x:v>motherboard price seed</x:v>
      </x:c>
      <x:c r="D185" s="34" t="str">
        <x:v>Price/reference</x:v>
      </x:c>
      <x:c r="E185" s="34" t="str">
        <x:v>reference</x:v>
      </x:c>
      <x:c r="F185" s="35" t="str">
        <x:v>2026-06-28</x:v>
      </x:c>
    </x:row>
    <x:row r="186">
      <x:c r="A186" s="33" t="str">
        <x:v>Gigabyte B650 AORUS ELITE AX price source</x:v>
      </x:c>
      <x:c r="B186" s="34" t="str">
        <x:v>https://fr.pcpartpicker.com/product/WBwypg/gigabyte-b650-aorus-elite-ax-atx-am5-motherboard-b650-aorus-elite-ax</x:v>
      </x:c>
      <x:c r="C186" s="34" t="str">
        <x:v>motherboard price seed</x:v>
      </x:c>
      <x:c r="D186" s="34" t="str">
        <x:v>Price/reference</x:v>
      </x:c>
      <x:c r="E186" s="34" t="str">
        <x:v>reference</x:v>
      </x:c>
      <x:c r="F186" s="35" t="str">
        <x:v>2026-06-28</x:v>
      </x:c>
    </x:row>
    <x:row r="187">
      <x:c r="A187" s="33" t="str">
        <x:v>MSI MPG B550 GAMING PLUS price source</x:v>
      </x:c>
      <x:c r="B187" s="34" t="str">
        <x:v>https://fr.pcpartpicker.com/product/yKVG3C/msi-mpg-b550-gaming-plus-atx-am4-motherboard-mpg-b550-gaming-plus</x:v>
      </x:c>
      <x:c r="C187" s="34" t="str">
        <x:v>motherboard price seed</x:v>
      </x:c>
      <x:c r="D187" s="34" t="str">
        <x:v>Price/reference</x:v>
      </x:c>
      <x:c r="E187" s="34" t="str">
        <x:v>reference</x:v>
      </x:c>
      <x:c r="F187" s="35" t="str">
        <x:v>2026-06-28</x:v>
      </x:c>
    </x:row>
    <x:row r="188">
      <x:c r="A188" s="33" t="str">
        <x:v>Asus ROG STRIX B650E-I GAMING WIFI price source</x:v>
      </x:c>
      <x:c r="B188" s="34" t="str">
        <x:v>https://fr.pcpartpicker.com/product/WQTp99/asus-rog-strix-b650e-i-gaming-wifi-mini-itx-am5-motherboard-rog-strix-b650e-i-gaming-wifi</x:v>
      </x:c>
      <x:c r="C188" s="34" t="str">
        <x:v>motherboard price seed</x:v>
      </x:c>
      <x:c r="D188" s="34" t="str">
        <x:v>Price/reference</x:v>
      </x:c>
      <x:c r="E188" s="34" t="str">
        <x:v>reference</x:v>
      </x:c>
      <x:c r="F188" s="35" t="str">
        <x:v>2026-06-28</x:v>
      </x:c>
    </x:row>
    <x:row r="189">
      <x:c r="A189" s="33" t="str">
        <x:v>Asus ROG STRIX B550-A GAMING price source</x:v>
      </x:c>
      <x:c r="B189" s="34" t="str">
        <x:v>https://fr.pcpartpicker.com/product/y96qqs/asus-rog-strix-b550-a-gaming-atx-am4-motherboard-rog-strix-b550-a-gaming</x:v>
      </x:c>
      <x:c r="C189" s="34" t="str">
        <x:v>motherboard price seed</x:v>
      </x:c>
      <x:c r="D189" s="34" t="str">
        <x:v>Price/reference</x:v>
      </x:c>
      <x:c r="E189" s="34" t="str">
        <x:v>reference</x:v>
      </x:c>
      <x:c r="F189" s="35" t="str">
        <x:v>2026-06-28</x:v>
      </x:c>
    </x:row>
    <x:row r="190">
      <x:c r="A190" s="33" t="str">
        <x:v>Asus ROG STRIX B550-F GAMING price source</x:v>
      </x:c>
      <x:c r="B190" s="34" t="str">
        <x:v>https://fr.pcpartpicker.com/product/JXBhP6/asus-rog-strix-b550-f-gaming-atx-am4-motherboard-rog-strix-b550-f-gaming</x:v>
      </x:c>
      <x:c r="C190" s="34" t="str">
        <x:v>motherboard price seed</x:v>
      </x:c>
      <x:c r="D190" s="34" t="str">
        <x:v>Price/reference</x:v>
      </x:c>
      <x:c r="E190" s="34" t="str">
        <x:v>reference</x:v>
      </x:c>
      <x:c r="F190" s="35" t="str">
        <x:v>2026-06-28</x:v>
      </x:c>
    </x:row>
    <x:row r="191">
      <x:c r="A191" s="33" t="str">
        <x:v>Gigabyte B650 EAGLE AX price source</x:v>
      </x:c>
      <x:c r="B191" s="34" t="str">
        <x:v>https://fr.pcpartpicker.com/product/CvcgXL/gigabyte-b650-eagle-ax-atx-am5-motherboard-b650-eagle-ax</x:v>
      </x:c>
      <x:c r="C191" s="34" t="str">
        <x:v>motherboard price seed</x:v>
      </x:c>
      <x:c r="D191" s="34" t="str">
        <x:v>Price/reference</x:v>
      </x:c>
      <x:c r="E191" s="34" t="str">
        <x:v>reference</x:v>
      </x:c>
      <x:c r="F191" s="35" t="str">
        <x:v>2026-06-28</x:v>
      </x:c>
    </x:row>
    <x:row r="192">
      <x:c r="A192" s="33" t="str">
        <x:v>Gigabyte B650 GAMING X AX V2 price source</x:v>
      </x:c>
      <x:c r="B192" s="34" t="str">
        <x:v>https://fr.pcpartpicker.com/product/cPNYcf/gigabyte-b650-gaming-x-ax-v2-atx-am5-motherboard-b650-gaming-x-ax-v2</x:v>
      </x:c>
      <x:c r="C192" s="34" t="str">
        <x:v>motherboard price seed</x:v>
      </x:c>
      <x:c r="D192" s="34" t="str">
        <x:v>Price/reference</x:v>
      </x:c>
      <x:c r="E192" s="34" t="str">
        <x:v>reference</x:v>
      </x:c>
      <x:c r="F192" s="35" t="str">
        <x:v>2026-06-28</x:v>
      </x:c>
    </x:row>
    <x:row r="193">
      <x:c r="A193" s="33" t="str">
        <x:v>Asus ROG STRIX B650-A GAMING WIFI price source</x:v>
      </x:c>
      <x:c r="B193" s="34" t="str">
        <x:v>https://fr.pcpartpicker.com/product/Gjt9TW/asus-rog-strix-b650-a-gaming-wifi-atx-am5-motherboard-rog-strix-b650-a-gaming-wifi</x:v>
      </x:c>
      <x:c r="C193" s="34" t="str">
        <x:v>motherboard price seed</x:v>
      </x:c>
      <x:c r="D193" s="34" t="str">
        <x:v>Price/reference</x:v>
      </x:c>
      <x:c r="E193" s="34" t="str">
        <x:v>reference</x:v>
      </x:c>
      <x:c r="F193" s="35" t="str">
        <x:v>2026-06-28</x:v>
      </x:c>
    </x:row>
    <x:row r="194">
      <x:c r="A194" s="33" t="str">
        <x:v>Asus ROG STRIX B650E-F GAMING WIFI price source</x:v>
      </x:c>
      <x:c r="B194" s="34" t="str">
        <x:v>https://fr.pcpartpicker.com/product/s8nypg/asus-rog-strix-b650e-f-gaming-wifi-atx-am5-motherboard-rog-strix-b650e-f-gaming-wifi</x:v>
      </x:c>
      <x:c r="C194" s="34" t="str">
        <x:v>motherboard price seed</x:v>
      </x:c>
      <x:c r="D194" s="34" t="str">
        <x:v>Price/reference</x:v>
      </x:c>
      <x:c r="E194" s="34" t="str">
        <x:v>reference</x:v>
      </x:c>
      <x:c r="F194" s="35" t="str">
        <x:v>2026-06-28</x:v>
      </x:c>
    </x:row>
    <x:row r="195">
      <x:c r="A195" s="33" t="str">
        <x:v>MSI PRO B550M-VC WIFI price source</x:v>
      </x:c>
      <x:c r="B195" s="34" t="str">
        <x:v>https://fr.pcpartpicker.com/product/tr4Ycf/msi-pro-b550m-vc-wifi-micro-atx-am4-motherboard-pro-b550m-vc-wifi</x:v>
      </x:c>
      <x:c r="C195" s="34" t="str">
        <x:v>motherboard price seed</x:v>
      </x:c>
      <x:c r="D195" s="34" t="str">
        <x:v>Price/reference</x:v>
      </x:c>
      <x:c r="E195" s="34" t="str">
        <x:v>reference</x:v>
      </x:c>
      <x:c r="F195" s="35" t="str">
        <x:v>2026-06-28</x:v>
      </x:c>
    </x:row>
    <x:row r="196">
      <x:c r="A196" s="33" t="str">
        <x:v>Gigabyte X570 AORUS ELITE WIFI price source</x:v>
      </x:c>
      <x:c r="B196" s="34" t="str">
        <x:v>https://fr.pcpartpicker.com/product/XV6qqs/gigabyte-x570-aorus-elite-wifi-atx-am4-motherboard-x570-aorus-elite-wifi</x:v>
      </x:c>
      <x:c r="C196" s="34" t="str">
        <x:v>motherboard price seed</x:v>
      </x:c>
      <x:c r="D196" s="34" t="str">
        <x:v>Price/reference</x:v>
      </x:c>
      <x:c r="E196" s="34" t="str">
        <x:v>reference</x:v>
      </x:c>
      <x:c r="F196" s="35" t="str">
        <x:v>2026-06-28</x:v>
      </x:c>
    </x:row>
    <x:row r="197">
      <x:c r="A197" s="33" t="str">
        <x:v>Gigabyte X570 AORUS ELITE price source</x:v>
      </x:c>
      <x:c r="B197" s="34" t="str">
        <x:v>https://fr.pcpartpicker.com/product/nHxbt6/gigabyte-x570-aorus-elite-atx-am4-motherboard-x570-aorus-elite</x:v>
      </x:c>
      <x:c r="C197" s="34" t="str">
        <x:v>motherboard price seed</x:v>
      </x:c>
      <x:c r="D197" s="34" t="str">
        <x:v>Price/reference</x:v>
      </x:c>
      <x:c r="E197" s="34" t="str">
        <x:v>reference</x:v>
      </x:c>
      <x:c r="F197" s="35" t="str">
        <x:v>2026-06-28</x:v>
      </x:c>
    </x:row>
    <x:row r="198">
      <x:c r="A198" s="33" t="str">
        <x:v>Gigabyte B650 AORUS ELITE AX ICE price source</x:v>
      </x:c>
      <x:c r="B198" s="34" t="str">
        <x:v>https://fr.pcpartpicker.com/product/CwjRsY/gigabyte-b650-aorus-elite-ax-ice-atx-am5-motherboard-b650-aorus-elite-ax-ice</x:v>
      </x:c>
      <x:c r="C198" s="34" t="str">
        <x:v>motherboard price seed</x:v>
      </x:c>
      <x:c r="D198" s="34" t="str">
        <x:v>Price/reference</x:v>
      </x:c>
      <x:c r="E198" s="34" t="str">
        <x:v>reference</x:v>
      </x:c>
      <x:c r="F198" s="35" t="str">
        <x:v>2026-06-28</x:v>
      </x:c>
    </x:row>
    <x:row r="199">
      <x:c r="A199" s="33" t="str">
        <x:v>MSI B650 GAMING PLUS WIFI price source</x:v>
      </x:c>
      <x:c r="B199" s="34" t="str">
        <x:v>https://fr.pcpartpicker.com/product/szfxFT/msi-b650-gaming-plus-wifi-atx-am5-motherboard-b650-gaming-plus-wifi</x:v>
      </x:c>
      <x:c r="C199" s="34" t="str">
        <x:v>motherboard price seed</x:v>
      </x:c>
      <x:c r="D199" s="34" t="str">
        <x:v>Price/reference</x:v>
      </x:c>
      <x:c r="E199" s="34" t="str">
        <x:v>reference</x:v>
      </x:c>
      <x:c r="F199" s="35" t="str">
        <x:v>2026-06-28</x:v>
      </x:c>
    </x:row>
    <x:row r="200">
      <x:c r="A200" s="33" t="str">
        <x:v>ASRock B550M Pro4 price source</x:v>
      </x:c>
      <x:c r="B200" s="34" t="str">
        <x:v>https://fr.pcpartpicker.com/product/NT7p99/asrock-b550m-pro4-micro-atx-am4-motherboard-b550m-pro4</x:v>
      </x:c>
      <x:c r="C200" s="34" t="str">
        <x:v>motherboard price seed</x:v>
      </x:c>
      <x:c r="D200" s="34" t="str">
        <x:v>Price/reference</x:v>
      </x:c>
      <x:c r="E200" s="34" t="str">
        <x:v>reference</x:v>
      </x:c>
      <x:c r="F200" s="35" t="str">
        <x:v>2026-06-28</x:v>
      </x:c>
    </x:row>
    <x:row r="201">
      <x:c r="A201" s="33" t="str">
        <x:v>MSI PRO B650M-A WIFI price source</x:v>
      </x:c>
      <x:c r="B201" s="34" t="str">
        <x:v>https://fr.pcpartpicker.com/product/cRQcCJ/msi-pro-b650m-a-wifi-micro-atx-am5-motherboard-pro-b650m-a-wifi</x:v>
      </x:c>
      <x:c r="C201" s="34" t="str">
        <x:v>motherboard price seed</x:v>
      </x:c>
      <x:c r="D201" s="34" t="str">
        <x:v>Price/reference</x:v>
      </x:c>
      <x:c r="E201" s="34" t="str">
        <x:v>reference</x:v>
      </x:c>
      <x:c r="F201" s="35" t="str">
        <x:v>2026-06-28</x:v>
      </x:c>
    </x:row>
    <x:row r="202">
      <x:c r="A202" s="33" t="str">
        <x:v>ASRock B550M-ITX/ac price source</x:v>
      </x:c>
      <x:c r="B202" s="34" t="str">
        <x:v>https://fr.pcpartpicker.com/product/G6VG3C/asrock-b550m-itxac-mini-itx-am4-motherboard-b550m-itxac</x:v>
      </x:c>
      <x:c r="C202" s="34" t="str">
        <x:v>motherboard price seed</x:v>
      </x:c>
      <x:c r="D202" s="34" t="str">
        <x:v>Price/reference</x:v>
      </x:c>
      <x:c r="E202" s="34" t="str">
        <x:v>reference</x:v>
      </x:c>
      <x:c r="F202" s="35" t="str">
        <x:v>2026-06-28</x:v>
      </x:c>
    </x:row>
    <x:row r="203">
      <x:c r="A203" s="33" t="str">
        <x:v>Asus PRIME B550M-A WIFI II price source</x:v>
      </x:c>
      <x:c r="B203" s="34" t="str">
        <x:v>https://fr.pcpartpicker.com/product/jQrRsY/asus-prime-b550m-a-wifi-ii-micro-atx-am4-motherboard-prime-b550m-a-wifi-ii</x:v>
      </x:c>
      <x:c r="C203" s="34" t="str">
        <x:v>motherboard price seed</x:v>
      </x:c>
      <x:c r="D203" s="34" t="str">
        <x:v>Price/reference</x:v>
      </x:c>
      <x:c r="E203" s="34" t="str">
        <x:v>reference</x:v>
      </x:c>
      <x:c r="F203" s="35" t="str">
        <x:v>2026-06-28</x:v>
      </x:c>
    </x:row>
    <x:row r="204">
      <x:c r="A204" s="33" t="str">
        <x:v>Asus TUF GAMING B650-PLUS WIFI price source</x:v>
      </x:c>
      <x:c r="B204" s="34" t="str">
        <x:v>https://fr.pcpartpicker.com/product/Pz2WGX/asus-tuf-gaming-b650-plus-wifi-atx-am5-motherboard-tuf-gaming-b650-plus-wifi</x:v>
      </x:c>
      <x:c r="C204" s="34" t="str">
        <x:v>motherboard price seed</x:v>
      </x:c>
      <x:c r="D204" s="34" t="str">
        <x:v>Price/reference</x:v>
      </x:c>
      <x:c r="E204" s="34" t="str">
        <x:v>reference</x:v>
      </x:c>
      <x:c r="F204" s="35" t="str">
        <x:v>2026-06-28</x:v>
      </x:c>
    </x:row>
    <x:row r="205">
      <x:c r="A205" s="33" t="str">
        <x:v>Asus ROG MAXIMUS XI HERO (WI-FI) price source</x:v>
      </x:c>
      <x:c r="B205" s="34" t="str">
        <x:v>https://fr.pcpartpicker.com/product/zvQG3C/asus-rog-maximus-xi-hero-wi-fi-atx-lga1151-motherboard-rog-maximus-xi-hero-wi-fi</x:v>
      </x:c>
      <x:c r="C205" s="34" t="str">
        <x:v>motherboard price seed</x:v>
      </x:c>
      <x:c r="D205" s="34" t="str">
        <x:v>Price/reference</x:v>
      </x:c>
      <x:c r="E205" s="34" t="str">
        <x:v>reference</x:v>
      </x:c>
      <x:c r="F205" s="35" t="str">
        <x:v>2026-06-28</x:v>
      </x:c>
    </x:row>
    <x:row r="206">
      <x:c r="A206" s="33" t="str">
        <x:v>Gigabyte B650I AORUS ULTRA price source</x:v>
      </x:c>
      <x:c r="B206" s="34" t="str">
        <x:v>https://fr.pcpartpicker.com/product/bYytt6/gigabyte-b650i-aorus-ultra-mini-itx-am5-motherboard-b650i-aorus-ultra</x:v>
      </x:c>
      <x:c r="C206" s="34" t="str">
        <x:v>motherboard price seed</x:v>
      </x:c>
      <x:c r="D206" s="34" t="str">
        <x:v>Price/reference</x:v>
      </x:c>
      <x:c r="E206" s="34" t="str">
        <x:v>reference</x:v>
      </x:c>
      <x:c r="F206" s="35" t="str">
        <x:v>2026-06-28</x:v>
      </x:c>
    </x:row>
    <x:row r="207">
      <x:c r="A207" s="33" t="str">
        <x:v>MSI MAG B550 TOMAHAWK MAX WIFI price source</x:v>
      </x:c>
      <x:c r="B207" s="34" t="str">
        <x:v>https://fr.pcpartpicker.com/product/MfZ9TW/msi-mag-b550-tomahawk-max-wifi-atx-am4-motherboard-mag-b550-tomahawk-max-wifi</x:v>
      </x:c>
      <x:c r="C207" s="34" t="str">
        <x:v>motherboard price seed</x:v>
      </x:c>
      <x:c r="D207" s="34" t="str">
        <x:v>Price/reference</x:v>
      </x:c>
      <x:c r="E207" s="34" t="str">
        <x:v>reference</x:v>
      </x:c>
      <x:c r="F207" s="35" t="str">
        <x:v>2026-06-28</x:v>
      </x:c>
    </x:row>
    <x:row r="208">
      <x:c r="A208" s="33" t="str">
        <x:v>Gigabyte B650 GAMING X AX price source</x:v>
      </x:c>
      <x:c r="B208" s="34" t="str">
        <x:v>https://fr.pcpartpicker.com/product/YZgFf7/gigabyte-b650-gaming-x-ax-atx-am5-motherboard-b650-gaming-x-ax</x:v>
      </x:c>
      <x:c r="C208" s="34" t="str">
        <x:v>motherboard price seed</x:v>
      </x:c>
      <x:c r="D208" s="34" t="str">
        <x:v>Price/reference</x:v>
      </x:c>
      <x:c r="E208" s="34" t="str">
        <x:v>reference</x:v>
      </x:c>
      <x:c r="F208" s="35" t="str">
        <x:v>2026-06-28</x:v>
      </x:c>
    </x:row>
    <x:row r="209">
      <x:c r="A209" s="33" t="str">
        <x:v>Gigabyte B850 AORUS ELITE WIFI7 price source</x:v>
      </x:c>
      <x:c r="B209" s="34" t="str">
        <x:v>https://fr.pcpartpicker.com/product/72RnTW/gigabyte-b850-aorus-elite-wifi7-atx-am5-motherboard-b850-aorus-elite-wifi7</x:v>
      </x:c>
      <x:c r="C209" s="34" t="str">
        <x:v>motherboard price seed</x:v>
      </x:c>
      <x:c r="D209" s="34" t="str">
        <x:v>Price/reference</x:v>
      </x:c>
      <x:c r="E209" s="34" t="str">
        <x:v>reference</x:v>
      </x:c>
      <x:c r="F209" s="35" t="str">
        <x:v>2026-06-28</x:v>
      </x:c>
    </x:row>
    <x:row r="210">
      <x:c r="A210" s="33" t="str">
        <x:v>ASRock B650I Lightning Wifi price source</x:v>
      </x:c>
      <x:c r="B210" s="34" t="str">
        <x:v>https://fr.pcpartpicker.com/product/rVfxFT/asrock-b650i-lightning-wifi-mini-itx-am5-motherboard-b650i-lightning-wifi</x:v>
      </x:c>
      <x:c r="C210" s="34" t="str">
        <x:v>motherboard price seed</x:v>
      </x:c>
      <x:c r="D210" s="34" t="str">
        <x:v>Price/reference</x:v>
      </x:c>
      <x:c r="E210" s="34" t="str">
        <x:v>reference</x:v>
      </x:c>
      <x:c r="F210" s="35" t="str">
        <x:v>2026-06-28</x:v>
      </x:c>
    </x:row>
    <x:row r="211">
      <x:c r="A211" s="33" t="str">
        <x:v>Asus ROG STRIX B550-F GAMING WIFI II price source</x:v>
      </x:c>
      <x:c r="B211" s="34" t="str">
        <x:v>https://fr.pcpartpicker.com/product/K4LFf7/asus-rog-strix-b550-f-gaming-wifi-ii-atx-am4-motherboard-strix-b550-f-gaming-wifi-ii</x:v>
      </x:c>
      <x:c r="C211" s="34" t="str">
        <x:v>motherboard price seed</x:v>
      </x:c>
      <x:c r="D211" s="34" t="str">
        <x:v>Price/reference</x:v>
      </x:c>
      <x:c r="E211" s="34" t="str">
        <x:v>reference</x:v>
      </x:c>
      <x:c r="F211" s="35" t="str">
        <x:v>2026-06-28</x:v>
      </x:c>
    </x:row>
    <x:row r="212">
      <x:c r="A212" s="33" t="str">
        <x:v>ASRock B550M Steel Legend price source</x:v>
      </x:c>
      <x:c r="B212" s="34" t="str">
        <x:v>https://fr.pcpartpicker.com/product/nFhmP6/asrock-b550m-steel-legend-micro-atx-am4-motherboard-b550m-steel-legend</x:v>
      </x:c>
      <x:c r="C212" s="34" t="str">
        <x:v>motherboard price seed</x:v>
      </x:c>
      <x:c r="D212" s="34" t="str">
        <x:v>Price/reference</x:v>
      </x:c>
      <x:c r="E212" s="34" t="str">
        <x:v>reference</x:v>
      </x:c>
      <x:c r="F212" s="35" t="str">
        <x:v>2026-06-28</x:v>
      </x:c>
    </x:row>
    <x:row r="213">
      <x:c r="A213" s="33" t="str">
        <x:v>Gigabyte B550M DS3H price source</x:v>
      </x:c>
      <x:c r="B213" s="34" t="str">
        <x:v>https://fr.pcpartpicker.com/product/VyBhP6/gigabyte-b550m-ds3h-micro-atx-am4-motherboard-b550m-ds3h</x:v>
      </x:c>
      <x:c r="C213" s="34" t="str">
        <x:v>motherboard price seed</x:v>
      </x:c>
      <x:c r="D213" s="34" t="str">
        <x:v>Price/reference</x:v>
      </x:c>
      <x:c r="E213" s="34" t="str">
        <x:v>reference</x:v>
      </x:c>
      <x:c r="F213" s="35" t="str">
        <x:v>2026-06-28</x:v>
      </x:c>
    </x:row>
    <x:row r="214">
      <x:c r="A214" s="33" t="str">
        <x:v>Asus ROG STRIX B450-F GAMING II price source</x:v>
      </x:c>
      <x:c r="B214" s="34" t="str">
        <x:v>https://fr.pcpartpicker.com/product/xYvqqs/asus-rog-strix-b450-f-gaming-ii-atx-am4-motherboard-rog-strix-b450-f-gaming-ii</x:v>
      </x:c>
      <x:c r="C214" s="34" t="str">
        <x:v>motherboard price seed</x:v>
      </x:c>
      <x:c r="D214" s="34" t="str">
        <x:v>Price/reference</x:v>
      </x:c>
      <x:c r="E214" s="34" t="str">
        <x:v>reference</x:v>
      </x:c>
      <x:c r="F214" s="35" t="str">
        <x:v>2026-06-28</x:v>
      </x:c>
    </x:row>
    <x:row r="215">
      <x:c r="A215" s="33" t="str">
        <x:v>MSI PRO B650-P WIFI price source</x:v>
      </x:c>
      <x:c r="B215" s="34" t="str">
        <x:v>https://fr.pcpartpicker.com/product/CFzhP6/msi-pro-b650-p-wifi-atx-am5-motherboard-pro-b650-p-wifi</x:v>
      </x:c>
      <x:c r="C215" s="34" t="str">
        <x:v>motherboard price seed</x:v>
      </x:c>
      <x:c r="D215" s="34" t="str">
        <x:v>Price/reference</x:v>
      </x:c>
      <x:c r="E215" s="34" t="str">
        <x:v>reference</x:v>
      </x:c>
      <x:c r="F215" s="35" t="str">
        <x:v>2026-06-28</x:v>
      </x:c>
    </x:row>
    <x:row r="216">
      <x:c r="A216" s="33" t="str">
        <x:v>MSI PRO Z790-P WIFI price source</x:v>
      </x:c>
      <x:c r="B216" s="34" t="str">
        <x:v>https://fr.pcpartpicker.com/product/k7mmP6/msi-pro-z790-p-wifi-atx-lga1700-motherboard-pro-z790-p-wifi</x:v>
      </x:c>
      <x:c r="C216" s="34" t="str">
        <x:v>motherboard price seed</x:v>
      </x:c>
      <x:c r="D216" s="34" t="str">
        <x:v>Price/reference</x:v>
      </x:c>
      <x:c r="E216" s="34" t="str">
        <x:v>reference</x:v>
      </x:c>
      <x:c r="F216" s="35" t="str">
        <x:v>2026-06-28</x:v>
      </x:c>
    </x:row>
    <x:row r="217">
      <x:c r="A217" s="33" t="str">
        <x:v>MSI MAG B850 TOMAHAWK MAX WIFI price source</x:v>
      </x:c>
      <x:c r="B217" s="34" t="str">
        <x:v>https://fr.pcpartpicker.com/product/vjpD4D/msi-mag-b850-tomahawk-max-wifi-atx-am5-motherboard-mag-b850-tomahawk-max-wifi</x:v>
      </x:c>
      <x:c r="C217" s="34" t="str">
        <x:v>motherboard price seed</x:v>
      </x:c>
      <x:c r="D217" s="34" t="str">
        <x:v>Price/reference</x:v>
      </x:c>
      <x:c r="E217" s="34" t="str">
        <x:v>reference</x:v>
      </x:c>
      <x:c r="F217" s="35" t="str">
        <x:v>2026-06-28</x:v>
      </x:c>
    </x:row>
    <x:row r="218">
      <x:c r="A218" s="33" t="str">
        <x:v>MSI MPG B650I EDGE WIFI price source</x:v>
      </x:c>
      <x:c r="B218" s="34" t="str">
        <x:v>https://fr.pcpartpicker.com/product/DkFbt6/msi-mpg-b650i-edge-wifi-mini-itx-am5-motherboard-mpg-b650i-edge-wifi</x:v>
      </x:c>
      <x:c r="C218" s="34" t="str">
        <x:v>motherboard price seed</x:v>
      </x:c>
      <x:c r="D218" s="34" t="str">
        <x:v>Price/reference</x:v>
      </x:c>
      <x:c r="E218" s="34" t="str">
        <x:v>reference</x:v>
      </x:c>
      <x:c r="F218" s="35" t="str">
        <x:v>2026-06-28</x:v>
      </x:c>
    </x:row>
    <x:row r="219">
      <x:c r="A219" s="33" t="str">
        <x:v>Asus TUF GAMING B550-PLUS WIFI II price source</x:v>
      </x:c>
      <x:c r="B219" s="34" t="str">
        <x:v>https://fr.pcpartpicker.com/product/pLNxFT/asus-tuf-gaming-b550-plus-wifi-ii-atx-am4-motherboard-tuf-gaming-b550-plus-wifi-ii</x:v>
      </x:c>
      <x:c r="C219" s="34" t="str">
        <x:v>motherboard price seed</x:v>
      </x:c>
      <x:c r="D219" s="34" t="str">
        <x:v>Price/reference</x:v>
      </x:c>
      <x:c r="E219" s="34" t="str">
        <x:v>reference</x:v>
      </x:c>
      <x:c r="F219" s="35" t="str">
        <x:v>2026-06-28</x:v>
      </x:c>
    </x:row>
    <x:row r="220">
      <x:c r="A220" s="33" t="str">
        <x:v>GIGABYTE Z890 AORUS MASTER Ultra Core (Series 2) LGA 1851, ATX, DDR5, 5x M.2, PCIe 5.0, Thunderbolt 4, WIFI7, 10GbE LAN, EZ-Latch price source</x:v>
      </x:c>
      <x:c r="B220" s="34" t="str">
        <x:v>https://www.newegg.ca/p/13-145-523</x:v>
      </x:c>
      <x:c r="C220" s="34" t="str">
        <x:v>motherboard price seed</x:v>
      </x:c>
      <x:c r="D220" s="34" t="str">
        <x:v>Price/reference</x:v>
      </x:c>
      <x:c r="E220" s="34" t="str">
        <x:v>retail</x:v>
      </x:c>
      <x:c r="F220" s="35" t="str">
        <x:v>2026-06-29</x:v>
      </x:c>
    </x:row>
    <x:row r="221">
      <x:c r="A221" s="33" t="str">
        <x:v>MSI MAG Z890 TOMAHAWK WIFI II Gaming Motherboard, LGA 1851, Intel Z890, Supports Core Ultra Series 2 Processors, DDR5, PCIe 5.0, M.2 Gen5, Wi-Fi 7, Bluetooth 5.4, 5G LAN, Thunderbolt 4, ATX price source</x:v>
      </x:c>
      <x:c r="B221" s="34" t="str">
        <x:v>https://www.newegg.ca/p/13-144-757</x:v>
      </x:c>
      <x:c r="C221" s="34" t="str">
        <x:v>motherboard price seed</x:v>
      </x:c>
      <x:c r="D221" s="34" t="str">
        <x:v>Price/reference</x:v>
      </x:c>
      <x:c r="E221" s="34" t="str">
        <x:v>retail</x:v>
      </x:c>
      <x:c r="F221" s="35" t="str">
        <x:v>2026-06-29</x:v>
      </x:c>
    </x:row>
    <x:row r="222">
      <x:c r="A222" s="33" t="str">
        <x:v>ASUS TUF GAMING Z890-PLUS WIFI Z890 LGA 1851 ATX motherboard, Intel® Core™ Ultra Series 2 Ready, Advanced AI PC-ready, 16+1+2+1 stages, DDR5, PCIe® 5.0, Thunderbolt™ 4 Type-C®, 4x M.2, Wi-Fi 7, 2.5Gb price source</x:v>
      </x:c>
      <x:c r="B222" s="34" t="str">
        <x:v>https://www.newegg.ca/p/13-119-695</x:v>
      </x:c>
      <x:c r="C222" s="34" t="str">
        <x:v>motherboard price seed</x:v>
      </x:c>
      <x:c r="D222" s="34" t="str">
        <x:v>Price/reference</x:v>
      </x:c>
      <x:c r="E222" s="34" t="str">
        <x:v>retail</x:v>
      </x:c>
      <x:c r="F222" s="35" t="str">
        <x:v>2026-06-29</x:v>
      </x:c>
    </x:row>
    <x:row r="223">
      <x:c r="A223" s="33" t="str">
        <x:v>ASRock Z890 Taichi LGA 1851 ATX Motherboard price source</x:v>
      </x:c>
      <x:c r="B223" s="34" t="str">
        <x:v>https://www.newegg.ca/p/13-162-169</x:v>
      </x:c>
      <x:c r="C223" s="34" t="str">
        <x:v>motherboard price seed</x:v>
      </x:c>
      <x:c r="D223" s="34" t="str">
        <x:v>Price/reference</x:v>
      </x:c>
      <x:c r="E223" s="34" t="str">
        <x:v>retail</x:v>
      </x:c>
      <x:c r="F223" s="35" t="str">
        <x:v>2026-06-29</x:v>
      </x:c>
    </x:row>
    <x:row r="224">
      <x:c r="A224" s="33" t="str">
        <x:v>ASUS ROG STRIX Z890-E GAMING WIFI Intel® Z890 LGA 1851 ATX motherboard, Advanced AI PC-ready, 18+2+1+2 stages, DDR5, WiFi 7, 7x M.2, Thunderbolt™ 4, USB Type-C®, AI Overclocking, Cooling &amp; Networking price source</x:v>
      </x:c>
      <x:c r="B224" s="34" t="str">
        <x:v>https://www.newegg.ca/p/13-119-692</x:v>
      </x:c>
      <x:c r="C224" s="34" t="str">
        <x:v>motherboard price seed</x:v>
      </x:c>
      <x:c r="D224" s="34" t="str">
        <x:v>Price/reference</x:v>
      </x:c>
      <x:c r="E224" s="34" t="str">
        <x:v>retail</x:v>
      </x:c>
      <x:c r="F224" s="35" t="str">
        <x:v>2026-06-29</x:v>
      </x:c>
    </x:row>
    <x:row r="225">
      <x:c r="A225" s="33" t="str">
        <x:v>GIGABYTE Z890 AORUS ELITE WIFI7 Ultra Core (Series 2) LGA 1851, ATX, DDR5, 4x M.2, PCIe 5.0, Thunderbolt 4, WIFI7, 2.5GbE LAN, EZ-Latch price source</x:v>
      </x:c>
      <x:c r="B225" s="34" t="str">
        <x:v>https://www.newegg.ca/p/13-145-527</x:v>
      </x:c>
      <x:c r="C225" s="34" t="str">
        <x:v>motherboard price seed</x:v>
      </x:c>
      <x:c r="D225" s="34" t="str">
        <x:v>Price/reference</x:v>
      </x:c>
      <x:c r="E225" s="34" t="str">
        <x:v>retail</x:v>
      </x:c>
      <x:c r="F225" s="35" t="str">
        <x:v>2026-06-29</x:v>
      </x:c>
    </x:row>
    <x:row r="226">
      <x:c r="A226" s="33" t="str">
        <x:v>ASRock Z890 Pro RS LGA 1851 ATX Motherboard price source</x:v>
      </x:c>
      <x:c r="B226" s="34" t="str">
        <x:v>https://www.newegg.ca/p/13-162-176</x:v>
      </x:c>
      <x:c r="C226" s="34" t="str">
        <x:v>motherboard price seed</x:v>
      </x:c>
      <x:c r="D226" s="34" t="str">
        <x:v>Price/reference</x:v>
      </x:c>
      <x:c r="E226" s="34" t="str">
        <x:v>retail</x:v>
      </x:c>
      <x:c r="F226" s="35" t="str">
        <x:v>2026-06-29</x:v>
      </x:c>
    </x:row>
    <x:row r="227">
      <x:c r="A227" s="33" t="str">
        <x:v>GIGABYTE Z890 AORUS ELITE WIFI7 ICE Ultra Core (Series 2) LGA 1851, ATX, DDR5, 4x M.2, PCIe 5.0, Thunderbolt 4, WIFI7, 2.5GbE LAN, EZ-Latch price source</x:v>
      </x:c>
      <x:c r="B227" s="34" t="str">
        <x:v>https://www.newegg.ca/p/13-145-526</x:v>
      </x:c>
      <x:c r="C227" s="34" t="str">
        <x:v>motherboard price seed</x:v>
      </x:c>
      <x:c r="D227" s="34" t="str">
        <x:v>Price/reference</x:v>
      </x:c>
      <x:c r="E227" s="34" t="str">
        <x:v>retail</x:v>
      </x:c>
      <x:c r="F227" s="35" t="str">
        <x:v>2026-06-29</x:v>
      </x:c>
    </x:row>
    <x:row r="228">
      <x:c r="A228" s="33" t="str">
        <x:v>ASUS ROG MAXIMUS Z890 HERO Intel® Z890 LGA 1851 ATX motherboard, Advanced AI PC-ready, 22+2+1+2 stages, DDR5, WiFi 7, 3x PCIe® 5.0 M.2, Thunderbolt™ 4, USB Type-C®, AI Overclocking/Cooling/Networking price source</x:v>
      </x:c>
      <x:c r="B228" s="34" t="str">
        <x:v>https://www.newegg.ca/p/13-119-691</x:v>
      </x:c>
      <x:c r="C228" s="34" t="str">
        <x:v>motherboard price seed</x:v>
      </x:c>
      <x:c r="D228" s="34" t="str">
        <x:v>Price/reference</x:v>
      </x:c>
      <x:c r="E228" s="34" t="str">
        <x:v>retail</x:v>
      </x:c>
      <x:c r="F228" s="35" t="str">
        <x:v>2026-06-29</x:v>
      </x:c>
    </x:row>
    <x:row r="229">
      <x:c r="A229" s="33" t="str">
        <x:v>ASUS ROG STRIX Z890-A GAMING WIFI Z890 LGA 1851 ATX motherboard, Intel® Core™ Ultra Series 2 Ready, Advanced AI PC-ready, 16+2+1+2 stages, DDR5, WiFi 7, 2.5G, 5x M.2, Thunderbolt™ 4, USB Type-C, AI OC price source</x:v>
      </x:c>
      <x:c r="B229" s="34" t="str">
        <x:v>https://www.newegg.ca/p/9SIAA4YKPV9589</x:v>
      </x:c>
      <x:c r="C229" s="34" t="str">
        <x:v>motherboard price seed</x:v>
      </x:c>
      <x:c r="D229" s="34" t="str">
        <x:v>Price/reference</x:v>
      </x:c>
      <x:c r="E229" s="34" t="str">
        <x:v>retail</x:v>
      </x:c>
      <x:c r="F229" s="35" t="str">
        <x:v>2026-06-29</x:v>
      </x:c>
    </x:row>
    <x:row r="230">
      <x:c r="A230" s="33" t="str">
        <x:v>ASRock Z890 Nova WiFi LGA 1851 ATX Motherboard price source</x:v>
      </x:c>
      <x:c r="B230" s="34" t="str">
        <x:v>https://www.newegg.ca/p/13-162-170</x:v>
      </x:c>
      <x:c r="C230" s="34" t="str">
        <x:v>motherboard price seed</x:v>
      </x:c>
      <x:c r="D230" s="34" t="str">
        <x:v>Price/reference</x:v>
      </x:c>
      <x:c r="E230" s="34" t="str">
        <x:v>retail</x:v>
      </x:c>
      <x:c r="F230" s="35" t="str">
        <x:v>2026-06-29</x:v>
      </x:c>
    </x:row>
    <x:row r="231">
      <x:c r="A231" s="33" t="str">
        <x:v>ASRock Z890 Lightning WiFi LGA 1851 ATX Motherboard price source</x:v>
      </x:c>
      <x:c r="B231" s="34" t="str">
        <x:v>https://www.newegg.ca/p/9SIA7BBKHC3716</x:v>
      </x:c>
      <x:c r="C231" s="34" t="str">
        <x:v>motherboard price seed</x:v>
      </x:c>
      <x:c r="D231" s="34" t="str">
        <x:v>Price/reference</x:v>
      </x:c>
      <x:c r="E231" s="34" t="str">
        <x:v>retail</x:v>
      </x:c>
      <x:c r="F231" s="35" t="str">
        <x:v>2026-06-29</x:v>
      </x:c>
    </x:row>
    <x:row r="232">
      <x:c r="A232" s="33" t="str">
        <x:v>ASRock Z890 Pro RS WiFi LGA 1851 ATX Motherboard price source</x:v>
      </x:c>
      <x:c r="B232" s="34" t="str">
        <x:v>https://www.newegg.ca/p/13-162-177</x:v>
      </x:c>
      <x:c r="C232" s="34" t="str">
        <x:v>motherboard price seed</x:v>
      </x:c>
      <x:c r="D232" s="34" t="str">
        <x:v>Price/reference</x:v>
      </x:c>
      <x:c r="E232" s="34" t="str">
        <x:v>retail</x:v>
      </x:c>
      <x:c r="F232" s="35" t="str">
        <x:v>2026-06-29</x:v>
      </x:c>
    </x:row>
    <x:row r="233">
      <x:c r="A233" s="33" t="str">
        <x:v>Z890M GAMING X LGA 1851 Micro ATX (280) Motherboards - Intel price source</x:v>
      </x:c>
      <x:c r="B233" s="34" t="str">
        <x:v>https://www.newegg.ca/p/13-145-533</x:v>
      </x:c>
      <x:c r="C233" s="34" t="str">
        <x:v>motherboard price seed</x:v>
      </x:c>
      <x:c r="D233" s="34" t="str">
        <x:v>Price/reference</x:v>
      </x:c>
      <x:c r="E233" s="34" t="str">
        <x:v>retail</x:v>
      </x:c>
      <x:c r="F233" s="35" t="str">
        <x:v>2026-06-29</x:v>
      </x:c>
    </x:row>
    <x:row r="234">
      <x:c r="A234" s="33" t="str">
        <x:v>ASRock Z890I Nova WiFi LGA 1851 Mini ITX Motherboard price source</x:v>
      </x:c>
      <x:c r="B234" s="34" t="str">
        <x:v>https://www.newegg.ca/p/13-162-182</x:v>
      </x:c>
      <x:c r="C234" s="34" t="str">
        <x:v>motherboard price seed</x:v>
      </x:c>
      <x:c r="D234" s="34" t="str">
        <x:v>Price/reference</x:v>
      </x:c>
      <x:c r="E234" s="34" t="str">
        <x:v>retail</x:v>
      </x:c>
      <x:c r="F234" s="35" t="str">
        <x:v>2026-06-29</x:v>
      </x:c>
    </x:row>
    <x:row r="235">
      <x:c r="A235" s="33" t="str">
        <x:v>GIGABYTE Z890 AORUS PRO ICE Ultra Core (Series 2) LGA 1851, ATX, DDR5, 5x M.2, PCIe 5.0, Thunderbolt 4, WIFI7, 5GbE LAN, EZ-Latch price source</x:v>
      </x:c>
      <x:c r="B235" s="34" t="str">
        <x:v>https://www.newegg.ca/p/13-145-524</x:v>
      </x:c>
      <x:c r="C235" s="34" t="str">
        <x:v>motherboard price seed</x:v>
      </x:c>
      <x:c r="D235" s="34" t="str">
        <x:v>Price/reference</x:v>
      </x:c>
      <x:c r="E235" s="34" t="str">
        <x:v>retail</x:v>
      </x:c>
      <x:c r="F235" s="35" t="str">
        <x:v>2026-06-29</x:v>
      </x:c>
    </x:row>
    <x:row r="236">
      <x:c r="A236" s="33" t="str">
        <x:v>ASUS Pro WS Z890-ACE SE Z890 LGA 1851 ATX Motherboard - Intel Core Ultra Series 2 Ready - Advanced AI PC-Ready - PCIe 5.0  DDR5 - 10G &amp; 2.5G LAN - 4X M.2 - USB 20Gbp  (PRO WS Z890-ACE SE) price source</x:v>
      </x:c>
      <x:c r="B236" s="34" t="str">
        <x:v>https://www.newegg.ca/p/1JW-000C-01B12</x:v>
      </x:c>
      <x:c r="C236" s="34" t="str">
        <x:v>motherboard price seed</x:v>
      </x:c>
      <x:c r="D236" s="34" t="str">
        <x:v>Price/reference</x:v>
      </x:c>
      <x:c r="E236" s="34" t="str">
        <x:v>retail</x:v>
      </x:c>
      <x:c r="F236" s="35" t="str">
        <x:v>2026-06-29</x:v>
      </x:c>
    </x:row>
    <x:row r="237">
      <x:c r="A237" s="33" t="str">
        <x:v>ASUS PRIME Z890-P WIFI Z890 LGA 1851 ATX motherboard, Intel® Core™ Ultra Series 2 Ready, Advanced AI PC-ready, 14+1+1+2 power stage, DDR5, PCIe® 5.0, Thunderbolt™ 4 USB Type-C®, 4x M.2, Wi-Fi 7, 2.5Gb price source</x:v>
      </x:c>
      <x:c r="B237" s="34" t="str">
        <x:v>https://www.newegg.ca/p/13-119-696</x:v>
      </x:c>
      <x:c r="C237" s="34" t="str">
        <x:v>motherboard price seed</x:v>
      </x:c>
      <x:c r="D237" s="34" t="str">
        <x:v>Price/reference</x:v>
      </x:c>
      <x:c r="E237" s="34" t="str">
        <x:v>retail</x:v>
      </x:c>
      <x:c r="F237" s="35" t="str">
        <x:v>2026-06-29</x:v>
      </x:c>
    </x:row>
    <x:row r="238">
      <x:c r="A238" s="33" t="str">
        <x:v>ASUS ROG STRIX Z890-H GAMING WIFI Z890 LGA 1851 ATX motherboard, Intel Core Ultra Series 2 Ready, Advanced AI PC-ready, 16+2+1+2 stages, DDR5, 5Gb LAN, WiFi 7, 4x M.2, PCIe 5.0, USB Type-C, AI OC price source</x:v>
      </x:c>
      <x:c r="B238" s="34" t="str">
        <x:v>https://www.newegg.ca/p/9SIC6HJKWG2382</x:v>
      </x:c>
      <x:c r="C238" s="34" t="str">
        <x:v>motherboard price seed</x:v>
      </x:c>
      <x:c r="D238" s="34" t="str">
        <x:v>Price/reference</x:v>
      </x:c>
      <x:c r="E238" s="34" t="str">
        <x:v>retail</x:v>
      </x:c>
      <x:c r="F238" s="35" t="str">
        <x:v>2026-06-29</x:v>
      </x:c>
    </x:row>
    <x:row r="239">
      <x:c r="A239" s="33" t="str">
        <x:v>ASUS ROG MAXIMUS Z890 APEX Intel® Z890 LGA 1851 ATX motherboard, Advanced AI PC-ready, 22+2+1+2 stages, DDR5, WiFi 7, 5G LAN, 3x PCIe® 5.0 M.2, Thunderbolt™ 4, USB Type-C®, AI OC, Cooling &amp; Networking price source</x:v>
      </x:c>
      <x:c r="B239" s="34" t="str">
        <x:v>https://www.newegg.ca/p/9SIAMW5KK15965</x:v>
      </x:c>
      <x:c r="C239" s="34" t="str">
        <x:v>motherboard price seed</x:v>
      </x:c>
      <x:c r="D239" s="34" t="str">
        <x:v>Price/reference</x:v>
      </x:c>
      <x:c r="E239" s="34" t="str">
        <x:v>retail</x:v>
      </x:c>
      <x:c r="F239" s="35" t="str">
        <x:v>2026-06-29</x:v>
      </x:c>
    </x:row>
    <x:row r="240">
      <x:c r="A240" s="33" t="str">
        <x:v>MAG Z890 TOMAHAWK WIFI Motherboard, ATX - Supports Intel Core Ultra Processors (Series 2), LGA 1851 - DDR5 Memory Boost 4 x DDR5 (9200+ MT/s OC), 1 x PCIe 5.0 x16, 1 x M.2 Gen5, Wi-Fi 7, 5G LAN price source</x:v>
      </x:c>
      <x:c r="B240" s="34" t="str">
        <x:v>https://www.newegg.ca/p/13-144-669</x:v>
      </x:c>
      <x:c r="C240" s="34" t="str">
        <x:v>motherboard price seed</x:v>
      </x:c>
      <x:c r="D240" s="34" t="str">
        <x:v>Price/reference</x:v>
      </x:c>
      <x:c r="E240" s="34" t="str">
        <x:v>retail</x:v>
      </x:c>
      <x:c r="F240" s="35" t="str">
        <x:v>2026-06-29</x:v>
      </x:c>
    </x:row>
    <x:row r="241">
      <x:c r="A241" s="33" t="str">
        <x:v>MSI MPG Z890 CARBON WIFI Motherboard, ATX - Supports Intel Core Ultra Processors (Series 2), LGA 1851 - 110A SPS VRM, DDR5 Memory Boost 9200+ MT/s (OC), PCIe 5.0 x16 &amp; 4.0 x16, M.2 Gen5, Wi-Fi 7, 5G L price source</x:v>
      </x:c>
      <x:c r="B241" s="34" t="str">
        <x:v>https://www.newegg.ca/p/9SIC72ZKYX1477</x:v>
      </x:c>
      <x:c r="C241" s="34" t="str">
        <x:v>motherboard price seed</x:v>
      </x:c>
      <x:c r="D241" s="34" t="str">
        <x:v>Price/reference</x:v>
      </x:c>
      <x:c r="E241" s="34" t="str">
        <x:v>retail</x:v>
      </x:c>
      <x:c r="F241" s="35" t="str">
        <x:v>2026-06-29</x:v>
      </x:c>
    </x:row>
    <x:row r="242">
      <x:c r="A242" s="33" t="str">
        <x:v>Z890 GAMING PLUS WIFI Motherboard, ATX - Supports Intel Core Ultra Processors (Series 2), LGA 1851 - DDR5 Memory Boost 9200+MT/s OC, 1 x PCIe 5.0 x16, 1 x M.2 Gen5, Intel Killer 5G LAN, Wi-Fi 7 price source</x:v>
      </x:c>
      <x:c r="B242" s="34" t="str">
        <x:v>https://www.newegg.ca/p/9SIC6VJKX64082</x:v>
      </x:c>
      <x:c r="C242" s="34" t="str">
        <x:v>motherboard price seed</x:v>
      </x:c>
      <x:c r="D242" s="34" t="str">
        <x:v>Price/reference</x:v>
      </x:c>
      <x:c r="E242" s="34" t="str">
        <x:v>retail</x:v>
      </x:c>
      <x:c r="F242" s="35" t="str">
        <x:v>2026-06-29</x:v>
      </x:c>
    </x:row>
    <x:row r="243">
      <x:c r="A243" s="33" t="str">
        <x:v>ASUS ProArt Z890-CREATOR WIFI Z890 LGA 1851 ATX Motherboard, Intel® Core™ Ultra Processor Series 2 Ready, 16+2+1+2 stages, PCIe® 5.0, DDR5, Thunderbolt™ 5 Type-C®, 10+2.5 Gb LAN, WiFi 7, 5x M.2, AI OC price source</x:v>
      </x:c>
      <x:c r="B243" s="34" t="str">
        <x:v>https://www.newegg.ca/p/13-119-699</x:v>
      </x:c>
      <x:c r="C243" s="34" t="str">
        <x:v>motherboard price seed</x:v>
      </x:c>
      <x:c r="D243" s="34" t="str">
        <x:v>Price/reference</x:v>
      </x:c>
      <x:c r="E243" s="34" t="str">
        <x:v>retail</x:v>
      </x:c>
      <x:c r="F243" s="35" t="str">
        <x:v>2026-06-29</x:v>
      </x:c>
    </x:row>
    <x:row r="244">
      <x:c r="A244" s="33" t="str">
        <x:v>MSI MEG Z890 UNIFY-X Motherboard, ATX - Supports Intel Core Ultra Processors (Series 2), LGA 1851 - 110A SPS, DDR5 Memory (9600+ MT/s OC), PCIe 5.0 &amp; 4.0 x16, M.2 Gen5, Thunderbolt 4, Wi-Fi 7, 5G LAN price source</x:v>
      </x:c>
      <x:c r="B244" s="34" t="str">
        <x:v>https://www.newegg.ca/p/9SIC6VJKX69239</x:v>
      </x:c>
      <x:c r="C244" s="34" t="str">
        <x:v>motherboard price seed</x:v>
      </x:c>
      <x:c r="D244" s="34" t="str">
        <x:v>Price/reference</x:v>
      </x:c>
      <x:c r="E244" s="34" t="str">
        <x:v>retail</x:v>
      </x:c>
      <x:c r="F244" s="35" t="str">
        <x:v>2026-06-29</x:v>
      </x:c>
    </x:row>
    <x:row r="245">
      <x:c r="A245" s="33" t="str">
        <x:v>MSI PRO Z890-P WIFI Motherboard, ATX - Supports Intel Core Ultra Processors (Series 2), LGA 1851 - 55A DrMOS, DDR5 Memory Boost (9200+ MT/s OC), PCIe 5.0 x16 &amp; 4.0 x16, M.2 Gen5, Wi-Fi 7, 5G LAN price source</x:v>
      </x:c>
      <x:c r="B245" s="34" t="str">
        <x:v>https://www.newegg.ca/p/13-144-672</x:v>
      </x:c>
      <x:c r="C245" s="34" t="str">
        <x:v>motherboard price seed</x:v>
      </x:c>
      <x:c r="D245" s="34" t="str">
        <x:v>Price/reference</x:v>
      </x:c>
      <x:c r="E245" s="34" t="str">
        <x:v>retail</x:v>
      </x:c>
      <x:c r="F245" s="35" t="str">
        <x:v>2026-06-29</x:v>
      </x:c>
    </x:row>
    <x:row r="246">
      <x:c r="A246" s="33" t="str">
        <x:v>GIGABYTE Z890 AORUS ELITE DUO X Intel LGA 1851 ATX Motherboard, Support Core Ultra (Series 2), DDR5, 16+1+2 Power Phase, 5x M.2, PCIe 5.0, USB4, WiFi 7, 5 GbE, EZ-Latch, D5 Bionic Corsa price source</x:v>
      </x:c>
      <x:c r="B246" s="34" t="str">
        <x:v>https://www.newegg.ca/p/13-145-621</x:v>
      </x:c>
      <x:c r="C246" s="34" t="str">
        <x:v>motherboard price seed</x:v>
      </x:c>
      <x:c r="D246" s="34" t="str">
        <x:v>Price/reference</x:v>
      </x:c>
      <x:c r="E246" s="34" t="str">
        <x:v>retail</x:v>
      </x:c>
      <x:c r="F246" s="35" t="str">
        <x:v>2026-06-29</x:v>
      </x:c>
    </x:row>
    <x:row r="247">
      <x:c r="A247" s="33" t="str">
        <x:v>MSI PRO Z890-S WIFI PZ Motherboard, Back-connect ATX - Supports Intel Core Ultra Processors (Series 2), LGA 1851 - DDR5 Memory Boost (8600+ MT/s OC), PCIe 5.0 x16, M.2 Gen5, Wi-Fi 7, 2.5G LAN price source</x:v>
      </x:c>
      <x:c r="B247" s="34" t="str">
        <x:v>https://www.newegg.ca/p/9SIA9H5KS58219</x:v>
      </x:c>
      <x:c r="C247" s="34" t="str">
        <x:v>motherboard price seed</x:v>
      </x:c>
      <x:c r="D247" s="34" t="str">
        <x:v>Price/reference</x:v>
      </x:c>
      <x:c r="E247" s="34" t="str">
        <x:v>retail</x:v>
      </x:c>
      <x:c r="F247" s="35" t="str">
        <x:v>2026-06-29</x:v>
      </x:c>
    </x:row>
    <x:row r="248">
      <x:c r="A248" s="33" t="str">
        <x:v>GIGABYTE Z890 UD WIFI6E Ultra Core (Series 2) LGA 1851, ATX, DDR5, 3x M.2, PCIe 5.0, Front USB Type-C, WIFI6E, 2.5GbE LAN, EZ-Latch price source</x:v>
      </x:c>
      <x:c r="B248" s="34" t="str">
        <x:v>https://www.newegg.ca/p/9SIA7BBKET7267</x:v>
      </x:c>
      <x:c r="C248" s="34" t="str">
        <x:v>motherboard price seed</x:v>
      </x:c>
      <x:c r="D248" s="34" t="str">
        <x:v>Price/reference</x:v>
      </x:c>
      <x:c r="E248" s="34" t="str">
        <x:v>retail</x:v>
      </x:c>
      <x:c r="F248" s="35" t="str">
        <x:v>2026-06-29</x:v>
      </x:c>
    </x:row>
    <x:row r="249">
      <x:c r="A249" s="33" t="str">
        <x:v>ASUS PRIME Z890M-PLUS WIFI Z890 LGA 1851 mATX motherboard, Intel® Core™ Ultra Series 2 Ready, Advanced AI PC-ready, 10+1+2+1 80A power stages, DDR5, PCIe® 5.0, USB Type-C®, 3x M.2, Wi-Fi 7, 2.5Gb LAN price source</x:v>
      </x:c>
      <x:c r="B249" s="34" t="str">
        <x:v>https://www.newegg.ca/p/13-119-698</x:v>
      </x:c>
      <x:c r="C249" s="34" t="str">
        <x:v>motherboard price seed</x:v>
      </x:c>
      <x:c r="D249" s="34" t="str">
        <x:v>Price/reference</x:v>
      </x:c>
      <x:c r="E249" s="34" t="str">
        <x:v>retail</x:v>
      </x:c>
      <x:c r="F249" s="35" t="str">
        <x:v>2026-06-29</x:v>
      </x:c>
    </x:row>
    <x:row r="250">
      <x:c r="A250" s="33" t="str">
        <x:v>GIGABYTE Z890 AORUS ELITE WIFI7 PLUS Intel LGA 1851 ATX Motherboard, Support Core Ultra (Series 2), DDR5, 16+1+2 Power Phase, 4x M.2, PCIe 5.0, USB4, WiFi 7, 5GbE, EZ-Latch, D5 Bionic Corsa price source</x:v>
      </x:c>
      <x:c r="B250" s="34" t="str">
        <x:v>https://www.newegg.ca/p/13-145-615</x:v>
      </x:c>
      <x:c r="C250" s="34" t="str">
        <x:v>motherboard price seed</x:v>
      </x:c>
      <x:c r="D250" s="34" t="str">
        <x:v>Price/reference</x:v>
      </x:c>
      <x:c r="E250" s="34" t="str">
        <x:v>retail</x:v>
      </x:c>
      <x:c r="F250" s="35" t="str">
        <x:v>2026-06-29</x:v>
      </x:c>
    </x:row>
    <x:row r="251">
      <x:c r="A251" s="33" t="str">
        <x:v>MSI MPG Z890 EDGE TI WIFI White Motherboard, ATX - Supports Intel Core Ultra Processors (Series 2), LGA 1851 - 90A SPS VRM, DDR5 Memory Boost (9066+ MT/s OC), PCIe 5.0 x16 &amp; 4.0 x16, M.2 Gen5, Wi-Fi 7 price source</x:v>
      </x:c>
      <x:c r="B251" s="34" t="str">
        <x:v>https://www.newegg.ca/p/9SIC72ZKYX1448</x:v>
      </x:c>
      <x:c r="C251" s="34" t="str">
        <x:v>motherboard price seed</x:v>
      </x:c>
      <x:c r="D251" s="34" t="str">
        <x:v>Price/reference</x:v>
      </x:c>
      <x:c r="E251" s="34" t="str">
        <x:v>retail</x:v>
      </x:c>
      <x:c r="F251" s="35" t="str">
        <x:v>2026-06-29</x:v>
      </x:c>
    </x:row>
    <x:row r="252">
      <x:c r="A252" s="33" t="str">
        <x:v>ASUS ROG MAXIMUS Z890 HERO BTF Z890 LGA 1851 ATX motherboard, hidden-connector design, Advanced AI PC Ready, 22+1+2+2 stages, DDR5, WiFi 7, 2.5G LAN, 6x M.2, PCIe 5.0, Thunderbolt™ 4, USB Type-C®, AI price source</x:v>
      </x:c>
      <x:c r="B252" s="34" t="str">
        <x:v>https://www.newegg.ca/p/9SIC72ZKYX1613</x:v>
      </x:c>
      <x:c r="C252" s="34" t="str">
        <x:v>motherboard price seed</x:v>
      </x:c>
      <x:c r="D252" s="34" t="str">
        <x:v>Price/reference</x:v>
      </x:c>
      <x:c r="E252" s="34" t="str">
        <x:v>retail</x:v>
      </x:c>
      <x:c r="F252" s="35" t="str">
        <x:v>2026-06-29</x:v>
      </x:c>
    </x:row>
    <x:row r="253">
      <x:c r="A253" s="33" t="str">
        <x:v>GIGABYTE Z890 EAGLE WIFI7 Ultra Core (Series 2) LGA 1851, ATX, DDR5, 4x M.2, PCIe 5.0, USB4, WIFI7, 2.5GbE LAN, EZ-Latch price source</x:v>
      </x:c>
      <x:c r="B253" s="34" t="str">
        <x:v>https://www.newegg.ca/p/9SIA7BBKET7264</x:v>
      </x:c>
      <x:c r="C253" s="34" t="str">
        <x:v>motherboard price seed</x:v>
      </x:c>
      <x:c r="D253" s="34" t="str">
        <x:v>Price/reference</x:v>
      </x:c>
      <x:c r="E253" s="34" t="str">
        <x:v>retail</x:v>
      </x:c>
      <x:c r="F253" s="35" t="str">
        <x:v>2026-06-29</x:v>
      </x:c>
    </x:row>
    <x:row r="254">
      <x:c r="A254" s="33" t="str">
        <x:v>MSI MEG Z890 ACE Motherboard, ATX - Supports Intel Core Ultra Processors (Series 2), LGA 1851 - 110A SPS VRM, DDR5 Memory (9200+MT/s OC), PCIe 5.0 &amp; 4.0 x16, M.2 Gen5, Thunderbolt 4, Wi-Fi 7, 10G LAN price source</x:v>
      </x:c>
      <x:c r="B254" s="34" t="str">
        <x:v>https://www.newegg.ca/p/9SIC72ZKYX1473</x:v>
      </x:c>
      <x:c r="C254" s="34" t="str">
        <x:v>motherboard price seed</x:v>
      </x:c>
      <x:c r="D254" s="34" t="str">
        <x:v>Price/reference</x:v>
      </x:c>
      <x:c r="E254" s="34" t="str">
        <x:v>retail</x:v>
      </x:c>
      <x:c r="F254" s="35" t="str">
        <x:v>2026-06-29</x:v>
      </x:c>
    </x:row>
    <x:row r="255">
      <x:c r="A255" s="33" t="str">
        <x:v>ASRock Z890 Taichi OCF LGA 1851 ATX Motherboard price source</x:v>
      </x:c>
      <x:c r="B255" s="34" t="str">
        <x:v>https://www.newegg.ca/p/9SIA7BBKHC3734</x:v>
      </x:c>
      <x:c r="C255" s="34" t="str">
        <x:v>motherboard price seed</x:v>
      </x:c>
      <x:c r="D255" s="34" t="str">
        <x:v>Price/reference</x:v>
      </x:c>
      <x:c r="E255" s="34" t="str">
        <x:v>retail</x:v>
      </x:c>
      <x:c r="F255" s="35" t="str">
        <x:v>2026-06-29</x:v>
      </x:c>
    </x:row>
    <x:row r="256">
      <x:c r="A256" s="33" t="str">
        <x:v>ASRock Z890 Riptide WiFi LGA 1851 ATX Motherboard price source</x:v>
      </x:c>
      <x:c r="B256" s="34" t="str">
        <x:v>https://www.newegg.ca/p/13-162-172</x:v>
      </x:c>
      <x:c r="C256" s="34" t="str">
        <x:v>motherboard price seed</x:v>
      </x:c>
      <x:c r="D256" s="34" t="str">
        <x:v>Price/reference</x:v>
      </x:c>
      <x:c r="E256" s="34" t="str">
        <x:v>retail</x:v>
      </x:c>
      <x:c r="F256" s="35" t="str">
        <x:v>2026-06-29</x:v>
      </x:c>
    </x:row>
    <x:row r="257">
      <x:c r="A257" s="33" t="str">
        <x:v>ASRock Z890M Riptide WiFi LGA 1851 Micro ATX Motherboard price source</x:v>
      </x:c>
      <x:c r="B257" s="34" t="str">
        <x:v>https://www.newegg.ca/p/13-162-181</x:v>
      </x:c>
      <x:c r="C257" s="34" t="str">
        <x:v>motherboard price seed</x:v>
      </x:c>
      <x:c r="D257" s="34" t="str">
        <x:v>Price/reference</x:v>
      </x:c>
      <x:c r="E257" s="34" t="str">
        <x:v>retail</x:v>
      </x:c>
      <x:c r="F257" s="35" t="str">
        <x:v>2026-06-29</x:v>
      </x:c>
    </x:row>
    <x:row r="258">
      <x:c r="A258" s="33" t="str">
        <x:v>ASUS Z890 AYW GAMING WIFI W ATX Z890 motherboard, Intel Core Ultra Series 2 Ready, Advanced AI PC-ready, 16+1+2+1 stages, DDR5, PCIe 5.0, Thunderbolt 4, USB Type-C, 4 x M.2, Wi-Fi 7, 2.5Gb LAN price source</x:v>
      </x:c>
      <x:c r="B258" s="34" t="str">
        <x:v>https://www.newegg.ca/p/9SIC6VJKX68988</x:v>
      </x:c>
      <x:c r="C258" s="34" t="str">
        <x:v>motherboard price seed</x:v>
      </x:c>
      <x:c r="D258" s="34" t="str">
        <x:v>Price/reference</x:v>
      </x:c>
      <x:c r="E258" s="34" t="str">
        <x:v>retail</x:v>
      </x:c>
      <x:c r="F258" s="35" t="str">
        <x:v>2026-06-29</x:v>
      </x:c>
    </x:row>
    <x:row r="259">
      <x:c r="A259" s="33" t="str">
        <x:v>ASRock Z890 LiveMixer WiFi LGA 1851 ATX Motherboard price source</x:v>
      </x:c>
      <x:c r="B259" s="34" t="str">
        <x:v>https://www.newegg.ca/p/13-162-175</x:v>
      </x:c>
      <x:c r="C259" s="34" t="str">
        <x:v>motherboard price seed</x:v>
      </x:c>
      <x:c r="D259" s="34" t="str">
        <x:v>Price/reference</x:v>
      </x:c>
      <x:c r="E259" s="34" t="str">
        <x:v>retail</x:v>
      </x:c>
      <x:c r="F259" s="35" t="str">
        <x:v>2026-06-29</x:v>
      </x:c>
    </x:row>
    <x:row r="260">
      <x:c r="A260" s="33" t="str">
        <x:v>ASUS TUF Gaming Z890-PRO WiFi Z890 LGA 1851 ATX Motherboard, Intel® Core Ultra Series 2 Ready, Advanced AI PC-Ready, 16+1+2+1 Stages, DDR5, PCIe® 5.0, Thunderbolt 4 Type-C, 4X M.2, Wi-Fi 7, 2.5Gb price source</x:v>
      </x:c>
      <x:c r="B260" s="34" t="str">
        <x:v>https://www.newegg.ca/p/9SIC6VJKX70516</x:v>
      </x:c>
      <x:c r="C260" s="34" t="str">
        <x:v>motherboard price seed</x:v>
      </x:c>
      <x:c r="D260" s="34" t="str">
        <x:v>Price/reference</x:v>
      </x:c>
      <x:c r="E260" s="34" t="str">
        <x:v>retail</x:v>
      </x:c>
      <x:c r="F260" s="35" t="str">
        <x:v>2026-06-29</x:v>
      </x:c>
    </x:row>
    <x:row r="261">
      <x:c r="A261" s="33" t="str">
        <x:v>ASRock Z890 Taichi Lite LGA 1851 ATX Motherboard price source</x:v>
      </x:c>
      <x:c r="B261" s="34" t="str">
        <x:v>https://www.newegg.ca/p/13-162-171</x:v>
      </x:c>
      <x:c r="C261" s="34" t="str">
        <x:v>motherboard price seed</x:v>
      </x:c>
      <x:c r="D261" s="34" t="str">
        <x:v>Price/reference</x:v>
      </x:c>
      <x:c r="E261" s="34" t="str">
        <x:v>retail</x:v>
      </x:c>
      <x:c r="F261" s="35" t="str">
        <x:v>2026-06-29</x:v>
      </x:c>
    </x:row>
    <x:row r="262">
      <x:c r="A262" s="33" t="str">
        <x:v>MSI PRO Z890-A WIFI Motherboard, ATX - Supports Intel Core Ultra Processors (Series 2), LGA 1851 - 90A SPS VRM, DDR5 Memory Boost (9066+ MT/s OC), PCIe 5.0 x16 &amp; 4.0 x16, M.2 Gen5, Wi-Fi 7, 5G LAN price source</x:v>
      </x:c>
      <x:c r="B262" s="34" t="str">
        <x:v>https://www.newegg.ca/p/13-144-670</x:v>
      </x:c>
      <x:c r="C262" s="34" t="str">
        <x:v>motherboard price seed</x:v>
      </x:c>
      <x:c r="D262" s="34" t="str">
        <x:v>Price/reference</x:v>
      </x:c>
      <x:c r="E262" s="34" t="str">
        <x:v>retail</x:v>
      </x:c>
      <x:c r="F262" s="35" t="str">
        <x:v>2026-06-29</x:v>
      </x:c>
    </x:row>
    <x:row r="263">
      <x:c r="A263" s="33" t="str">
        <x:v>MSI PRO Z890-S WIFI LGA 1851 ATX Motherboard price source</x:v>
      </x:c>
      <x:c r="B263" s="34" t="str">
        <x:v>https://www.newegg.ca/p/9SIC72ZKZ64662</x:v>
      </x:c>
      <x:c r="C263" s="34" t="str">
        <x:v>motherboard price seed</x:v>
      </x:c>
      <x:c r="D263" s="34" t="str">
        <x:v>Price/reference</x:v>
      </x:c>
      <x:c r="E263" s="34" t="str">
        <x:v>retail</x:v>
      </x:c>
      <x:c r="F263" s="35" t="str">
        <x:v>2026-06-29</x:v>
      </x:c>
    </x:row>
    <x:row r="264">
      <x:c r="A264" s="33" t="str">
        <x:v>ASUS ROG STRIX Z890-F GAMING WIFI Intel Z890 LGA 1851 ATX motherboard, DDR5 slots, DIMM Flex, AEMP III, WiFi 7, 5×M.2 slots,NPU Boost, ASUS AI Advisor, AI Overclocking, AI Cooling II, Polymo Lighting price source</x:v>
      </x:c>
      <x:c r="B264" s="34" t="str">
        <x:v>https://www.newegg.ca/p/9SIC6VJKX72519</x:v>
      </x:c>
      <x:c r="C264" s="34" t="str">
        <x:v>motherboard price seed</x:v>
      </x:c>
      <x:c r="D264" s="34" t="str">
        <x:v>Price/reference</x:v>
      </x:c>
      <x:c r="E264" s="34" t="str">
        <x:v>retail</x:v>
      </x:c>
      <x:c r="F264" s="35" t="str">
        <x:v>2026-06-29</x:v>
      </x:c>
    </x:row>
    <x:row r="265">
      <x:c r="A265" s="33" t="str">
        <x:v>ASRock Z890 Steel Legend WiFi LGA 1851 ATX Motherboard price source</x:v>
      </x:c>
      <x:c r="B265" s="34" t="str">
        <x:v>https://www.newegg.ca/p/9SIA7BBKNF3777</x:v>
      </x:c>
      <x:c r="C265" s="34" t="str">
        <x:v>motherboard price seed</x:v>
      </x:c>
      <x:c r="D265" s="34" t="str">
        <x:v>Price/reference</x:v>
      </x:c>
      <x:c r="E265" s="34" t="str">
        <x:v>retail</x:v>
      </x:c>
      <x:c r="F265" s="35" t="str">
        <x:v>2026-06-29</x:v>
      </x:c>
    </x:row>
    <x:row r="266">
      <x:c r="A266" s="33" t="str">
        <x:v>ASUS ROG STRIX Z890-I GAMING WIFI LGA 1851 Mini ITX Motherboard price source</x:v>
      </x:c>
      <x:c r="B266" s="34" t="str">
        <x:v>https://www.newegg.ca/p/9SIC6VJKX67819</x:v>
      </x:c>
      <x:c r="C266" s="34" t="str">
        <x:v>motherboard price seed</x:v>
      </x:c>
      <x:c r="D266" s="34" t="str">
        <x:v>Price/reference</x:v>
      </x:c>
      <x:c r="E266" s="34" t="str">
        <x:v>retail</x:v>
      </x:c>
      <x:c r="F266" s="35" t="str">
        <x:v>2026-06-29</x:v>
      </x:c>
    </x:row>
    <x:row r="267">
      <x:c r="A267" s="33" t="str">
        <x:v>GIGABYTE Z890 AORUS ELITE X ICE Ultra Core (Series 2) LGA 1851, ATX, DDR5, 5x M.2, PCIe 5.0, Thunderbolt 4, WIFI7, 2.5GbE LAN, EZ-Latch price source</x:v>
      </x:c>
      <x:c r="B267" s="34" t="str">
        <x:v>https://www.newegg.ca/p/13-145-525</x:v>
      </x:c>
      <x:c r="C267" s="34" t="str">
        <x:v>motherboard price seed</x:v>
      </x:c>
      <x:c r="D267" s="34" t="str">
        <x:v>Price/reference</x:v>
      </x:c>
      <x:c r="E267" s="34" t="str">
        <x:v>retail</x:v>
      </x:c>
      <x:c r="F267" s="35" t="str">
        <x:v>2026-06-29</x:v>
      </x:c>
    </x:row>
    <x:row r="268">
      <x:c r="A268" s="33" t="str">
        <x:v>ASUS PRIME Z890-P Intel Z890 (LGA 1851) ATX motherboard, DDR5 slots,PCIe 5.0,DisplayPort,HDMI,USB 20Gbps,4 x M.2 slots,Realtek 2.5 Gb Ethernet,PCIe Slot Q-Release,Pre-mounted I/O shield,Aura Sync price source</x:v>
      </x:c>
      <x:c r="B268" s="34" t="str">
        <x:v>https://www.newegg.ca/p/9SIC6VJKX78281</x:v>
      </x:c>
      <x:c r="C268" s="34" t="str">
        <x:v>motherboard price seed</x:v>
      </x:c>
      <x:c r="D268" s="34" t="str">
        <x:v>Price/reference</x:v>
      </x:c>
      <x:c r="E268" s="34" t="str">
        <x:v>retail</x:v>
      </x:c>
      <x:c r="F268" s="35" t="str">
        <x:v>2026-06-29</x:v>
      </x:c>
    </x:row>
    <x:row r="269">
      <x:c r="A269" s="33" t="str">
        <x:v>MSI MPG Z890I EDGE TI WIFI White Motherboard, Mini-ITX - Supports Intel Core Ultra Processors (Series 2), LGA 1851 - 110A SPS VRM, DDR5 Memory Boost (8600+ MT/s OC), PCIe 5.0 x16, M.2 Gen5, Wi-Fi 7, 5 price source</x:v>
      </x:c>
      <x:c r="B269" s="34" t="str">
        <x:v>https://www.newegg.ca/p/9SIC72ZKYX1468</x:v>
      </x:c>
      <x:c r="C269" s="34" t="str">
        <x:v>motherboard price seed</x:v>
      </x:c>
      <x:c r="D269" s="34" t="str">
        <x:v>Price/reference</x:v>
      </x:c>
      <x:c r="E269" s="34" t="str">
        <x:v>retail</x:v>
      </x:c>
      <x:c r="F269" s="35" t="str">
        <x:v>2026-06-29</x:v>
      </x:c>
    </x:row>
    <x:row r="270">
      <x:c r="A270" s="33" t="str">
        <x:v>GIGABYTE Z890I AORUS ULTRA Ultra Core (Series 2) LGA 1851, Mini-ITX, DDR5, 2x M.2, PCIe 5.0, Thunderbolt 4, WIFI7, 2.5GbE LAN, EZ-Latch price source</x:v>
      </x:c>
      <x:c r="B270" s="34" t="str">
        <x:v>https://www.newegg.ca/p/13-145-534</x:v>
      </x:c>
      <x:c r="C270" s="34" t="str">
        <x:v>motherboard price seed</x:v>
      </x:c>
      <x:c r="D270" s="34" t="str">
        <x:v>Price/reference</x:v>
      </x:c>
      <x:c r="E270" s="34" t="str">
        <x:v>retail</x:v>
      </x:c>
      <x:c r="F270" s="35" t="str">
        <x:v>2026-06-29</x:v>
      </x:c>
    </x:row>
    <x:row r="271">
      <x:c r="A271" s="33" t="str">
        <x:v>MSI PRO Z890-S WIFI WHITE INTEL Z890 LGA 1851 4x DDR5  4x PCI-E x16 slot  3x M.2, Wi-Fi 7 SATA 6G 2.5Gbps LAN ATX Motherboard price source</x:v>
      </x:c>
      <x:c r="B271" s="34" t="str">
        <x:v>https://www.newegg.ca/p/13-144-684</x:v>
      </x:c>
      <x:c r="C271" s="34" t="str">
        <x:v>motherboard price seed</x:v>
      </x:c>
      <x:c r="D271" s="34" t="str">
        <x:v>Price/reference</x:v>
      </x:c>
      <x:c r="E271" s="34" t="str">
        <x:v>retail</x:v>
      </x:c>
      <x:c r="F271" s="35" t="str">
        <x:v>2026-06-29</x:v>
      </x:c>
    </x:row>
    <x:row r="272">
      <x:c r="A272" s="33" t="str">
        <x:v>GIGABYTE Z890 EAGLE WIFI7 PLUS Intel LGA 1851 ATX Motherboard, Support Core Ultra (Series 2), DDR5, 14+1+2 Power Phase, 4x M.2, PCIe 5.0, USB4, WiFi 7, 2.5GbE, EZ-Latch, D5 Bionic Corsa price source</x:v>
      </x:c>
      <x:c r="B272" s="34" t="str">
        <x:v>https://www.newegg.ca/p/13-145-616</x:v>
      </x:c>
      <x:c r="C272" s="34" t="str">
        <x:v>motherboard price seed</x:v>
      </x:c>
      <x:c r="D272" s="34" t="str">
        <x:v>Price/reference</x:v>
      </x:c>
      <x:c r="E272" s="34" t="str">
        <x:v>retail</x:v>
      </x:c>
      <x:c r="F272" s="35" t="str">
        <x:v>2026-06-29</x:v>
      </x:c>
    </x:row>
    <x:row r="273">
      <x:c r="A273" s="33" t="str">
        <x:v>MSI PRO Z890-S WIFI , Intel Z890 ATX LGA 1851 Motherboard price source</x:v>
      </x:c>
      <x:c r="B273" s="34" t="str">
        <x:v>https://www.canadacomputers.com/en/intel-motherboards/264268/msi-pro-z890-s-wifi-intel-z890-atx-lga-1851-motherboard-pro-z890-s-wifi.html</x:v>
      </x:c>
      <x:c r="C273" s="34" t="str">
        <x:v>motherboard price seed</x:v>
      </x:c>
      <x:c r="D273" s="34" t="str">
        <x:v>Price/reference</x:v>
      </x:c>
      <x:c r="E273" s="34" t="str">
        <x:v>retail</x:v>
      </x:c>
      <x:c r="F273" s="35" t="str">
        <x:v>2026-06-29</x:v>
      </x:c>
    </x:row>
    <x:row r="274">
      <x:c r="A274" s="33" t="str">
        <x:v>GIGABYTE Z890 AORUS ELITE WIFI7 Ultra Core (Series 2) LGA 1851, ATX price source</x:v>
      </x:c>
      <x:c r="B274" s="34" t="str">
        <x:v>https://www.canadacomputers.com/en/intel-motherboards/264438/gigabyte-z890-aorus-elite-wifi7-ultra-core-series-2-lga-1851-atx-z890-aorus-elite-wifi7.html</x:v>
      </x:c>
      <x:c r="C274" s="34" t="str">
        <x:v>motherboard price seed</x:v>
      </x:c>
      <x:c r="D274" s="34" t="str">
        <x:v>Price/reference</x:v>
      </x:c>
      <x:c r="E274" s="34" t="str">
        <x:v>retail</x:v>
      </x:c>
      <x:c r="F274" s="35" t="str">
        <x:v>2026-06-29</x:v>
      </x:c>
    </x:row>
    <x:row r="275">
      <x:c r="A275" s="33" t="str">
        <x:v>ASUS TUF GAMING Z890-PLUS WIFI Z890 LGA 1851 ATX motherboard price source</x:v>
      </x:c>
      <x:c r="B275" s="34" t="str">
        <x:v>https://www.canadacomputers.com/en/intel-motherboards/264279/asus-tuf-gaming-z890-plus-wifi-z890-lga-1851-atx-motherboard-tuf-gaming-z890-plus-wifi.html</x:v>
      </x:c>
      <x:c r="C275" s="34" t="str">
        <x:v>motherboard price seed</x:v>
      </x:c>
      <x:c r="D275" s="34" t="str">
        <x:v>Price/reference</x:v>
      </x:c>
      <x:c r="E275" s="34" t="str">
        <x:v>retail</x:v>
      </x:c>
      <x:c r="F275" s="35" t="str">
        <x:v>2026-06-29</x:v>
      </x:c>
    </x:row>
    <x:row r="276">
      <x:c r="A276" s="33" t="str">
        <x:v>ASUS ROG STRIX Z890-A GAMING WIFI Z890 LGA 1851 ATX motherboard price source</x:v>
      </x:c>
      <x:c r="B276" s="34" t="str">
        <x:v>https://www.canadacomputers.com/en/intel-motherboards/264375/asus-rog-strix-z890-a-gaming-wifi-z890-lga-1851-atx-motherboard-rog-strix-z890-a-gaming-wifi.html</x:v>
      </x:c>
      <x:c r="C276" s="34" t="str">
        <x:v>motherboard price seed</x:v>
      </x:c>
      <x:c r="D276" s="34" t="str">
        <x:v>Price/reference</x:v>
      </x:c>
      <x:c r="E276" s="34" t="str">
        <x:v>retail</x:v>
      </x:c>
      <x:c r="F276" s="35" t="str">
        <x:v>2026-06-29</x:v>
      </x:c>
    </x:row>
    <x:row r="277">
      <x:c r="A277" s="33" t="str">
        <x:v>ASUS ROG STRIX B860-I GAMING WIFI B860 LGA 1851 Mini-ITX motherboard price source</x:v>
      </x:c>
      <x:c r="B277" s="34" t="str">
        <x:v>https://www.canadacomputers.com/en/intel-motherboards/267911/asus-rog-strix-b860-i-gaming-wifi-b860-lga-1851-mini-itx-motherboard-rog-strix-b860-i-gaming-wifi.html</x:v>
      </x:c>
      <x:c r="C277" s="34" t="str">
        <x:v>motherboard price seed</x:v>
      </x:c>
      <x:c r="D277" s="34" t="str">
        <x:v>Price/reference</x:v>
      </x:c>
      <x:c r="E277" s="34" t="str">
        <x:v>retail</x:v>
      </x:c>
      <x:c r="F277" s="35" t="str">
        <x:v>2026-06-29</x:v>
      </x:c>
    </x:row>
    <x:row r="278">
      <x:c r="A278" s="33" t="str">
        <x:v>ASUS TUF GAMING B860-PLUS WIFI B860 LGA 1851 ATX motherboard price source</x:v>
      </x:c>
      <x:c r="B278" s="34" t="str">
        <x:v>https://www.canadacomputers.com/en/intel-motherboards/267912/asus-tuf-gaming-b860-plus-wifi-b860-lga-1851-atx-motherboard-tuf-gaming-b860-plus-wifi.html</x:v>
      </x:c>
      <x:c r="C278" s="34" t="str">
        <x:v>motherboard price seed</x:v>
      </x:c>
      <x:c r="D278" s="34" t="str">
        <x:v>Price/reference</x:v>
      </x:c>
      <x:c r="E278" s="34" t="str">
        <x:v>retail</x:v>
      </x:c>
      <x:c r="F278" s="35" t="str">
        <x:v>2026-06-29</x:v>
      </x:c>
    </x:row>
    <x:row r="279">
      <x:c r="A279" s="33" t="str">
        <x:v>ASUS TUF GAMING B860M-PLUS WIFI B860 LGA 1851 mATX motherboard price source</x:v>
      </x:c>
      <x:c r="B279" s="34" t="str">
        <x:v>https://www.canadacomputers.com/en/intel-motherboards/267913/asus-tuf-gaming-b860m-plus-wifi-b860-lga-1851-matx-motherboard-tuf-gaming-b860m-plus-wifi.html</x:v>
      </x:c>
      <x:c r="C279" s="34" t="str">
        <x:v>motherboard price seed</x:v>
      </x:c>
      <x:c r="D279" s="34" t="str">
        <x:v>Price/reference</x:v>
      </x:c>
      <x:c r="E279" s="34" t="str">
        <x:v>retail</x:v>
      </x:c>
      <x:c r="F279" s="35" t="str">
        <x:v>2026-06-29</x:v>
      </x:c>
    </x:row>
    <x:row r="280">
      <x:c r="A280" s="33" t="str">
        <x:v>MSI PRO B860M-A WIFI, INTEL B860 mATX Motherboard price source</x:v>
      </x:c>
      <x:c r="B280" s="34" t="str">
        <x:v>https://www.canadacomputers.com/en/intel-motherboards/267748/msi-pro-b860m-a-wifi-intel-b860-matx-motherboard-pro-b860m-a-wifi.html</x:v>
      </x:c>
      <x:c r="C280" s="34" t="str">
        <x:v>motherboard price seed</x:v>
      </x:c>
      <x:c r="D280" s="34" t="str">
        <x:v>Price/reference</x:v>
      </x:c>
      <x:c r="E280" s="34" t="str">
        <x:v>retail</x:v>
      </x:c>
      <x:c r="F280" s="35" t="str">
        <x:v>2026-06-29</x:v>
      </x:c>
    </x:row>
    <x:row r="281">
      <x:c r="A281" s="33" t="str">
        <x:v>MSI PRO H810I WIFI, Support Intel®CoreTM Ultra Processors Motherboard price source</x:v>
      </x:c>
      <x:c r="B281" s="34" t="str">
        <x:v>https://www.canadacomputers.com/en/intel-motherboards/280280/msi-pro-h810i-wifi-support-intel-coretm-ultra-processors-motherboard-pro-h810i-wifi.html</x:v>
      </x:c>
      <x:c r="C281" s="34" t="str">
        <x:v>motherboard price seed</x:v>
      </x:c>
      <x:c r="D281" s="34" t="str">
        <x:v>Price/reference</x:v>
      </x:c>
      <x:c r="E281" s="34" t="str">
        <x:v>retail</x:v>
      </x:c>
      <x:c r="F281" s="35" t="str">
        <x:v>2026-06-29</x:v>
      </x:c>
    </x:row>
    <x:row r="282">
      <x:c r="A282" s="33" t="str">
        <x:v>GIGABYTE H810M S2H GEN 5 Intel LGA 1851 mATX Motherboard price source</x:v>
      </x:c>
      <x:c r="B282" s="34" t="str">
        <x:v>https://www.canadacomputers.com/en/intel-motherboards/288697/gigabyte-h810m-s2h-gen-5-intel-lga-1851-matx-motherboard-h810m-s2h-gen-5.html</x:v>
      </x:c>
      <x:c r="C282" s="34" t="str">
        <x:v>motherboard price seed</x:v>
      </x:c>
      <x:c r="D282" s="34" t="str">
        <x:v>Price/reference</x:v>
      </x:c>
      <x:c r="E282" s="34" t="str">
        <x:v>retail</x:v>
      </x:c>
      <x:c r="F282" s="35" t="str">
        <x:v>2026-06-29</x:v>
      </x:c>
    </x:row>
    <x:row r="283">
      <x:c r="A283" s="33" t="str">
        <x:v>GIGABYTE H810M GAMING WIFI6 GEN 5 Intel LGA 1851 Micro ATX Motherboard price source</x:v>
      </x:c>
      <x:c r="B283" s="34" t="str">
        <x:v>https://www.canadacomputers.com/en/intel-motherboards/288695/gigabyte-h810m-gaming-wifi6-gen-5-intel-lga-1851-micro-atx-motherboard-h810m-gaming-wifi6-gen-5.html</x:v>
      </x:c>
      <x:c r="C283" s="34" t="str">
        <x:v>motherboard price seed</x:v>
      </x:c>
      <x:c r="D283" s="34" t="str">
        <x:v>Price/reference</x:v>
      </x:c>
      <x:c r="E283" s="34" t="str">
        <x:v>retail</x:v>
      </x:c>
      <x:c r="F283" s="35" t="str">
        <x:v>2026-06-29</x:v>
      </x:c>
    </x:row>
    <x:row r="284">
      <x:c r="A284" s="33" t="str">
        <x:v>ASUS PRO H810M-CT-CSM Micro-ATX mATX Intel H810 business motherboard price source</x:v>
      </x:c>
      <x:c r="B284" s="34" t="str">
        <x:v>https://www.canadacomputers.com/en/intel-motherboards/279341/asus-pro-h810m-ct-csm-micro-atx-matx-intel-h810-business-motherboard-pro-h810m-ct-csm.html</x:v>
      </x:c>
      <x:c r="C284" s="34" t="str">
        <x:v>motherboard price seed</x:v>
      </x:c>
      <x:c r="D284" s="34" t="str">
        <x:v>Price/reference</x:v>
      </x:c>
      <x:c r="E284" s="34" t="str">
        <x:v>retail</x:v>
      </x:c>
      <x:c r="F284" s="35" t="str">
        <x:v>2026-06-29</x:v>
      </x:c>
    </x:row>
    <x:row r="285">
      <x:c r="A285" s="33" t="str">
        <x:v>GIGABYTE X870 AORUS ELITE WIFI7 AMD AM5 LGA 1718 Motherboard, ATX price source</x:v>
      </x:c>
      <x:c r="B285" s="34" t="str">
        <x:v>https://www.canadacomputers.com/en/amd-motherboards/263045/gigabyte-x870-aorus-elite-wifi7-amd-am5-lga-1718-motherboard-atx-x870-aorus-elite-wifi7.html</x:v>
      </x:c>
      <x:c r="C285" s="34" t="str">
        <x:v>motherboard price seed</x:v>
      </x:c>
      <x:c r="D285" s="34" t="str">
        <x:v>Price/reference</x:v>
      </x:c>
      <x:c r="E285" s="34" t="str">
        <x:v>retail</x:v>
      </x:c>
      <x:c r="F285" s="35" t="str">
        <x:v>2026-06-29</x:v>
      </x:c>
    </x:row>
    <x:row r="286">
      <x:c r="A286" s="33" t="str">
        <x:v>GIGABYTE X870 AORUS ELITE WIFI7 ICE AMD AM5 LGA 1718 Motherboard, ATX price source</x:v>
      </x:c>
      <x:c r="B286" s="34" t="str">
        <x:v>https://www.canadacomputers.com/en/amd-motherboards/263043/gigabyte-x870-aorus-elite-wifi7-ice-amd-am5-lga-1718-motherboard-atx-x870-aorus-elite-wifi7-ice.html</x:v>
      </x:c>
      <x:c r="C286" s="34" t="str">
        <x:v>motherboard price seed</x:v>
      </x:c>
      <x:c r="D286" s="34" t="str">
        <x:v>Price/reference</x:v>
      </x:c>
      <x:c r="E286" s="34" t="str">
        <x:v>retail</x:v>
      </x:c>
      <x:c r="F286" s="35" t="str">
        <x:v>2026-06-29</x:v>
      </x:c>
    </x:row>
    <x:row r="287">
      <x:c r="A287" s="33" t="str">
        <x:v>ASUS TUF GAMING X870-PLUS WIFI AMD AM5 X870 ATX motherboard price source</x:v>
      </x:c>
      <x:c r="B287" s="34" t="str">
        <x:v>https://www.canadacomputers.com/en/amd-motherboards/262947/asus-tuf-gaming-x870-plus-wifi-amd-am5-x870-atx-motherboard-tuf-gaming-x870-plus-wifi.html</x:v>
      </x:c>
      <x:c r="C287" s="34" t="str">
        <x:v>motherboard price seed</x:v>
      </x:c>
      <x:c r="D287" s="34" t="str">
        <x:v>Price/reference</x:v>
      </x:c>
      <x:c r="E287" s="34" t="str">
        <x:v>retail</x:v>
      </x:c>
      <x:c r="F287" s="35" t="str">
        <x:v>2026-06-29</x:v>
      </x:c>
    </x:row>
    <x:row r="288">
      <x:c r="A288" s="33" t="str">
        <x:v>MSI MAG X870 TOMAHAWK WIFI, AMD X870 ATX AM5 Motherboard price source</x:v>
      </x:c>
      <x:c r="B288" s="34" t="str">
        <x:v>https://www.canadacomputers.com/en/amd-motherboards/262410/msi-mag-x870-tomahawk-wifi-amd-x870-atx-am5-motherboard-mag-x870-tomahawk-wifi.html</x:v>
      </x:c>
      <x:c r="C288" s="34" t="str">
        <x:v>motherboard price seed</x:v>
      </x:c>
      <x:c r="D288" s="34" t="str">
        <x:v>Price/reference</x:v>
      </x:c>
      <x:c r="E288" s="34" t="str">
        <x:v>retail</x:v>
      </x:c>
      <x:c r="F288" s="35" t="str">
        <x:v>2026-06-29</x:v>
      </x:c>
    </x:row>
    <x:row r="289">
      <x:c r="A289" s="33" t="str">
        <x:v>MSI MAG X870E TOMAHAWK WIFI, AMD Ryzen™ 9000 / 8000 / 7000 Series price source</x:v>
      </x:c>
      <x:c r="B289" s="34" t="str">
        <x:v>https://www.canadacomputers.com/en/amd-motherboards/268433/msi-mag-x870e-tomahawk-wifi-amd-ryzen-9000-8000-7000-series-mag-x870e-tomahawk-wifi.html</x:v>
      </x:c>
      <x:c r="C289" s="34" t="str">
        <x:v>motherboard price seed</x:v>
      </x:c>
      <x:c r="D289" s="34" t="str">
        <x:v>Price/reference</x:v>
      </x:c>
      <x:c r="E289" s="34" t="str">
        <x:v>retail</x:v>
      </x:c>
      <x:c r="F289" s="35" t="str">
        <x:v>2026-06-29</x:v>
      </x:c>
    </x:row>
    <x:row r="290">
      <x:c r="A290" s="33" t="str">
        <x:v>GIGABYTE X870E AORUS ELITE WIFI7 AMD AM5 LGA 1718 Motherboard, ATX price source</x:v>
      </x:c>
      <x:c r="B290" s="34" t="str">
        <x:v>https://www.canadacomputers.com/en/amd-motherboards/263042/gigabyte-x870e-aorus-elite-wifi7-amd-am5-lga-1718-motherboard-atx-x870e-aorus-elite-wifi7.html</x:v>
      </x:c>
      <x:c r="C290" s="34" t="str">
        <x:v>motherboard price seed</x:v>
      </x:c>
      <x:c r="D290" s="34" t="str">
        <x:v>Price/reference</x:v>
      </x:c>
      <x:c r="E290" s="34" t="str">
        <x:v>retail</x:v>
      </x:c>
      <x:c r="F290" s="35" t="str">
        <x:v>2026-06-29</x:v>
      </x:c>
    </x:row>
    <x:row r="291">
      <x:c r="A291" s="33" t="str">
        <x:v>ASUS ROG STRIX X870E-E GAMING WIFI AMD AM5 X870 ATX motherboard price source</x:v>
      </x:c>
      <x:c r="B291" s="34" t="str">
        <x:v>https://www.canadacomputers.com/en/amd-motherboards/262943/asus-rog-strix-x870e-e-gaming-wifi-amd-am5-x870-atx-motherboard-rog-strix-x870e-e-gaming-wifi.html</x:v>
      </x:c>
      <x:c r="C291" s="34" t="str">
        <x:v>motherboard price seed</x:v>
      </x:c>
      <x:c r="D291" s="34" t="str">
        <x:v>Price/reference</x:v>
      </x:c>
      <x:c r="E291" s="34" t="str">
        <x:v>retail</x:v>
      </x:c>
      <x:c r="F291" s="35" t="str">
        <x:v>2026-06-29</x:v>
      </x:c>
    </x:row>
    <x:row r="292">
      <x:c r="A292" s="33" t="str">
        <x:v>GIGABYTE X870E AORUS PRO ICE AMD AM5 LGA 1718 Motherboard, ATX, DDR5 price source</x:v>
      </x:c>
      <x:c r="B292" s="34" t="str">
        <x:v>https://www.canadacomputers.com/en/amd-motherboards/263040/gigabyte-x870e-aorus-pro-ice-amd-am5-lga-1718-motherboard-atx-ddr5-x870e-aorus-pro-ice.html</x:v>
      </x:c>
      <x:c r="C292" s="34" t="str">
        <x:v>motherboard price seed</x:v>
      </x:c>
      <x:c r="D292" s="34" t="str">
        <x:v>Price/reference</x:v>
      </x:c>
      <x:c r="E292" s="34" t="str">
        <x:v>retail</x:v>
      </x:c>
      <x:c r="F292" s="35" t="str">
        <x:v>2026-06-29</x:v>
      </x:c>
    </x:row>
    <x:row r="293">
      <x:c r="A293" s="33" t="str">
        <x:v>GIGABYTE B850 AORUS ELITE WIFI7 AMD AM5 LGA 1718 Motherboard, ATX price source</x:v>
      </x:c>
      <x:c r="B293" s="34" t="str">
        <x:v>https://www.canadacomputers.com/en/amd-motherboards/267127/gigabyte-b850-aorus-elite-wifi7-amd-am5-lga-1718-motherboard-atx-b850-aorus-elite-wifi7.html</x:v>
      </x:c>
      <x:c r="C293" s="34" t="str">
        <x:v>motherboard price seed</x:v>
      </x:c>
      <x:c r="D293" s="34" t="str">
        <x:v>Price/reference</x:v>
      </x:c>
      <x:c r="E293" s="34" t="str">
        <x:v>retail</x:v>
      </x:c>
      <x:c r="F293" s="35" t="str">
        <x:v>2026-06-29</x:v>
      </x:c>
    </x:row>
    <x:row r="294">
      <x:c r="A294" s="33" t="str">
        <x:v>GIGABYTE B850 EAGLE WIFI6E AMD AM5 LGA 1718 Motherboard, ATX, DDR5 price source</x:v>
      </x:c>
      <x:c r="B294" s="34" t="str">
        <x:v>https://www.canadacomputers.com/en/amd-motherboards/267132/gigabyte-b850-eagle-wifi6e-amd-am5-lga-1718-motherboard-atx-ddr5-b850-eagle-wifi6e.html</x:v>
      </x:c>
      <x:c r="C294" s="34" t="str">
        <x:v>motherboard price seed</x:v>
      </x:c>
      <x:c r="D294" s="34" t="str">
        <x:v>Price/reference</x:v>
      </x:c>
      <x:c r="E294" s="34" t="str">
        <x:v>retail</x:v>
      </x:c>
      <x:c r="F294" s="35" t="str">
        <x:v>2026-06-29</x:v>
      </x:c>
    </x:row>
    <x:row r="295">
      <x:c r="A295" s="33" t="str">
        <x:v>ASUS TUF GAMING B850-E WIFI AMD B850 AM5 DDR5 ATX Wi-Fi 6E price source</x:v>
      </x:c>
      <x:c r="B295" s="34" t="str">
        <x:v>https://www.canadacomputers.com/en/amd-motherboards/274367/asus-tuf-gaming-b850-e-wifi-amd-b850-am5-ddr5-atx-wi-fi-6e-tuf-gaming-b850-e-wifi.html</x:v>
      </x:c>
      <x:c r="C295" s="34" t="str">
        <x:v>motherboard price seed</x:v>
      </x:c>
      <x:c r="D295" s="34" t="str">
        <x:v>Price/reference</x:v>
      </x:c>
      <x:c r="E295" s="34" t="str">
        <x:v>retail</x:v>
      </x:c>
      <x:c r="F295" s="35" t="str">
        <x:v>2026-06-29</x:v>
      </x:c>
    </x:row>
    <x:row r="296">
      <x:c r="A296" s="33" t="str">
        <x:v>GIGABYTE B850 GAMING X WIFI6E AMD AM5 LGA 1718 Motherboard, ATX, DDR5 price source</x:v>
      </x:c>
      <x:c r="B296" s="34" t="str">
        <x:v>https://www.canadacomputers.com/en/amd-motherboards/267131/gigabyte-b850-gaming-x-wifi6e-amd-am5-lga-1718-motherboard-atx-ddr5-b850-gaming-x-wifi6e.html</x:v>
      </x:c>
      <x:c r="C296" s="34" t="str">
        <x:v>motherboard price seed</x:v>
      </x:c>
      <x:c r="D296" s="34" t="str">
        <x:v>Price/reference</x:v>
      </x:c>
      <x:c r="E296" s="34" t="str">
        <x:v>retail</x:v>
      </x:c>
      <x:c r="F296" s="35" t="str">
        <x:v>2026-06-29</x:v>
      </x:c>
    </x:row>
    <x:row r="297">
      <x:c r="A297" s="33" t="str">
        <x:v>MSI PRO B840M-B AMD AM5 mATX Motherboard price source</x:v>
      </x:c>
      <x:c r="B297" s="34" t="str">
        <x:v>https://www.canadacomputers.com/en/amd-motherboards/279650/msi-pro-b840m-b-amd-am5-matx-motherboard-pro-b840m-b.html</x:v>
      </x:c>
      <x:c r="C297" s="34" t="str">
        <x:v>motherboard price seed</x:v>
      </x:c>
      <x:c r="D297" s="34" t="str">
        <x:v>Price/reference</x:v>
      </x:c>
      <x:c r="E297" s="34" t="str">
        <x:v>retail</x:v>
      </x:c>
      <x:c r="F297" s="35" t="str">
        <x:v>2026-06-29</x:v>
      </x:c>
    </x:row>
    <x:row r="298">
      <x:c r="A298" s="33" t="str">
        <x:v>G.Skill Trident Z5 Neo RGB 48GB DDR5-6000 price source</x:v>
      </x:c>
      <x:c r="B298" s="34" t="str">
        <x:v>https://www.gskill.com/product/165/390/Trident-Z5-Neo-RGB-DDR5-AMD-EXPO</x:v>
      </x:c>
      <x:c r="C298" s="34" t="str">
        <x:v>ram price seed</x:v>
      </x:c>
      <x:c r="D298" s="34" t="str">
        <x:v>Price/reference</x:v>
      </x:c>
      <x:c r="E298" s="34" t="str">
        <x:v>reference</x:v>
      </x:c>
      <x:c r="F298" s="35" t="str">
        <x:v>2026-06-28</x:v>
      </x:c>
    </x:row>
    <x:row r="299">
      <x:c r="A299" s="33" t="str">
        <x:v>Corsair Vengeance 96GB DDR5-6400 price source</x:v>
      </x:c>
      <x:c r="B299" s="34" t="str">
        <x:v>https://www.corsair.com/us/en/c/memory/ddr5-ram</x:v>
      </x:c>
      <x:c r="C299" s="34" t="str">
        <x:v>ram price seed</x:v>
      </x:c>
      <x:c r="D299" s="34" t="str">
        <x:v>Price/reference</x:v>
      </x:c>
      <x:c r="E299" s="34" t="str">
        <x:v>reference</x:v>
      </x:c>
      <x:c r="F299" s="35" t="str">
        <x:v>2026-06-28</x:v>
      </x:c>
    </x:row>
    <x:row r="300">
      <x:c r="A300" s="33" t="str">
        <x:v>Corsair Vengeance LPX 16 GB price source</x:v>
      </x:c>
      <x:c r="B300" s="34" t="str">
        <x:v>https://fr.pcpartpicker.com/product/p6RFf7/corsair-memory-cmk16gx4m2b3200c16</x:v>
      </x:c>
      <x:c r="C300" s="34" t="str">
        <x:v>ram price seed</x:v>
      </x:c>
      <x:c r="D300" s="34" t="str">
        <x:v>Price/reference</x:v>
      </x:c>
      <x:c r="E300" s="34" t="str">
        <x:v>reference</x:v>
      </x:c>
      <x:c r="F300" s="35" t="str">
        <x:v>2026-06-28</x:v>
      </x:c>
    </x:row>
    <x:row r="301">
      <x:c r="A301" s="33" t="str">
        <x:v>Corsair Vengeance RGB Pro 16 GB price source</x:v>
      </x:c>
      <x:c r="B301" s="34" t="str">
        <x:v>https://fr.pcpartpicker.com/product/QDhKHx/corsair-vengeance-rgb-pro-16gb-2-x-8gb-ddr4-3200-memory-cmw16gx4m2c3200c16</x:v>
      </x:c>
      <x:c r="C301" s="34" t="str">
        <x:v>ram price seed</x:v>
      </x:c>
      <x:c r="D301" s="34" t="str">
        <x:v>Price/reference</x:v>
      </x:c>
      <x:c r="E301" s="34" t="str">
        <x:v>reference</x:v>
      </x:c>
      <x:c r="F301" s="35" t="str">
        <x:v>2026-06-28</x:v>
      </x:c>
    </x:row>
    <x:row r="302">
      <x:c r="A302" s="33" t="str">
        <x:v>G.Skill Trident Z RGB 16 GB price source</x:v>
      </x:c>
      <x:c r="B302" s="34" t="str">
        <x:v>https://fr.pcpartpicker.com/product/ybrcCJ/gskill-tridentz-rgb-16gb-2-x-8gb-ddr4-3200-memory-f4-3200c16d-16gtzr</x:v>
      </x:c>
      <x:c r="C302" s="34" t="str">
        <x:v>ram price seed</x:v>
      </x:c>
      <x:c r="D302" s="34" t="str">
        <x:v>Price/reference</x:v>
      </x:c>
      <x:c r="E302" s="34" t="str">
        <x:v>reference</x:v>
      </x:c>
      <x:c r="F302" s="35" t="str">
        <x:v>2026-06-28</x:v>
      </x:c>
    </x:row>
    <x:row r="303">
      <x:c r="A303" s="33" t="str">
        <x:v>G.Skill Ripjaws X 8 GB price source</x:v>
      </x:c>
      <x:c r="B303" s="34" t="str">
        <x:v>https://fr.pcpartpicker.com/product/LzTmP6/gskill-memory-f312800cl9d8gbxl</x:v>
      </x:c>
      <x:c r="C303" s="34" t="str">
        <x:v>ram price seed</x:v>
      </x:c>
      <x:c r="D303" s="34" t="str">
        <x:v>Price/reference</x:v>
      </x:c>
      <x:c r="E303" s="34" t="str">
        <x:v>reference</x:v>
      </x:c>
      <x:c r="F303" s="35" t="str">
        <x:v>2026-06-28</x:v>
      </x:c>
    </x:row>
    <x:row r="304">
      <x:c r="A304" s="33" t="str">
        <x:v>G.Skill Ripjaws V 16 GB price source</x:v>
      </x:c>
      <x:c r="B304" s="34" t="str">
        <x:v>https://fr.pcpartpicker.com/product/Cf98TW/gskill-ripjaws-v-series-16-gb-2-x-8-gb-ddr4-3200-cl16-memory-f4-3200c16d-16gvkb</x:v>
      </x:c>
      <x:c r="C304" s="34" t="str">
        <x:v>ram price seed</x:v>
      </x:c>
      <x:c r="D304" s="34" t="str">
        <x:v>Price/reference</x:v>
      </x:c>
      <x:c r="E304" s="34" t="str">
        <x:v>reference</x:v>
      </x:c>
      <x:c r="F304" s="35" t="str">
        <x:v>2026-06-28</x:v>
      </x:c>
    </x:row>
    <x:row r="305">
      <x:c r="A305" s="33" t="str">
        <x:v>G.Skill Trident Z Neo 32 GB price source</x:v>
      </x:c>
      <x:c r="B305" s="34" t="str">
        <x:v>https://fr.pcpartpicker.com/product/w3FKHx/gskill-trident-z-neo-32-gb-2-x-16-gb-ddr4-3600-cl16-memory-f4-3600c16d-32gtznc</x:v>
      </x:c>
      <x:c r="C305" s="34" t="str">
        <x:v>ram price seed</x:v>
      </x:c>
      <x:c r="D305" s="34" t="str">
        <x:v>Price/reference</x:v>
      </x:c>
      <x:c r="E305" s="34" t="str">
        <x:v>reference</x:v>
      </x:c>
      <x:c r="F305" s="35" t="str">
        <x:v>2026-06-28</x:v>
      </x:c>
    </x:row>
    <x:row r="306">
      <x:c r="A306" s="33" t="str">
        <x:v>G.Skill Ripjaws V 32 GB price source</x:v>
      </x:c>
      <x:c r="B306" s="34" t="str">
        <x:v>https://fr.pcpartpicker.com/product/kXbkcf/gskill-ripjaws-v-32-gb-2-x-16-gb-ddr4-3200-cl16-memory-f4-3200c16d-32gvk</x:v>
      </x:c>
      <x:c r="C306" s="34" t="str">
        <x:v>ram price seed</x:v>
      </x:c>
      <x:c r="D306" s="34" t="str">
        <x:v>Price/reference</x:v>
      </x:c>
      <x:c r="E306" s="34" t="str">
        <x:v>reference</x:v>
      </x:c>
      <x:c r="F306" s="35" t="str">
        <x:v>2026-06-28</x:v>
      </x:c>
    </x:row>
    <x:row r="307">
      <x:c r="A307" s="33" t="str">
        <x:v>G.Skill Trident Z5 Neo RGB 32 GB price source</x:v>
      </x:c>
      <x:c r="B307" s="34" t="str">
        <x:v>https://fr.pcpartpicker.com/product/CXKKHx/gskill-trident-z5-neo-rgb-32-gb-2-x-16-gb-ddr5-6000-cl30-memory-f5-6000j3038f16gx2-tz5nr</x:v>
      </x:c>
      <x:c r="C307" s="34" t="str">
        <x:v>ram price seed</x:v>
      </x:c>
      <x:c r="D307" s="34" t="str">
        <x:v>Price/reference</x:v>
      </x:c>
      <x:c r="E307" s="34" t="str">
        <x:v>reference</x:v>
      </x:c>
      <x:c r="F307" s="35" t="str">
        <x:v>2026-06-28</x:v>
      </x:c>
    </x:row>
    <x:row r="308">
      <x:c r="A308" s="33" t="str">
        <x:v>TEAMGROUP T-Create Expert 32 GB price source</x:v>
      </x:c>
      <x:c r="B308" s="34" t="str">
        <x:v>https://fr.pcpartpicker.com/product/H9CZxr/teamgroup-t-create-expert-32-gb-2-x-16-gb-ddr5-6000-cl30-memory-ctced532g6000hc30dc01</x:v>
      </x:c>
      <x:c r="C308" s="34" t="str">
        <x:v>ram price seed</x:v>
      </x:c>
      <x:c r="D308" s="34" t="str">
        <x:v>Price/reference</x:v>
      </x:c>
      <x:c r="E308" s="34" t="str">
        <x:v>reference</x:v>
      </x:c>
      <x:c r="F308" s="35" t="str">
        <x:v>2026-06-28</x:v>
      </x:c>
    </x:row>
    <x:row r="309">
      <x:c r="A309" s="33" t="str">
        <x:v>TEAMGROUP T-Force Vulcan Z 16 GB price source</x:v>
      </x:c>
      <x:c r="B309" s="34" t="str">
        <x:v>https://fr.pcpartpicker.com/product/z3VD4D/team-t-force-vulcan-z-16-gb-2-x-8-gb-ddr4-3200-memory-tlzgd416g3200hc16cdc01</x:v>
      </x:c>
      <x:c r="C309" s="34" t="str">
        <x:v>ram price seed</x:v>
      </x:c>
      <x:c r="D309" s="34" t="str">
        <x:v>Price/reference</x:v>
      </x:c>
      <x:c r="E309" s="34" t="str">
        <x:v>reference</x:v>
      </x:c>
      <x:c r="F309" s="35" t="str">
        <x:v>2026-06-28</x:v>
      </x:c>
    </x:row>
    <x:row r="310">
      <x:c r="A310" s="33" t="str">
        <x:v>G.Skill Flare X5 32 GB price source</x:v>
      </x:c>
      <x:c r="B310" s="34" t="str">
        <x:v>https://fr.pcpartpicker.com/product/pwxRsY/gskill-flare-x5-32-gb-2-x-16-gb-ddr5-6000-cl36-memory-f5-6000j3636f16gx2-fx5</x:v>
      </x:c>
      <x:c r="C310" s="34" t="str">
        <x:v>ram price seed</x:v>
      </x:c>
      <x:c r="D310" s="34" t="str">
        <x:v>Price/reference</x:v>
      </x:c>
      <x:c r="E310" s="34" t="str">
        <x:v>reference</x:v>
      </x:c>
      <x:c r="F310" s="35" t="str">
        <x:v>2026-06-28</x:v>
      </x:c>
    </x:row>
    <x:row r="311">
      <x:c r="A311" s="33" t="str">
        <x:v>Corsair Vengeance 8 GB price source</x:v>
      </x:c>
      <x:c r="B311" s="34" t="str">
        <x:v>https://fr.pcpartpicker.com/product/6hzv6h/corsair-memory-cmz8gx3m2a1600c9b</x:v>
      </x:c>
      <x:c r="C311" s="34" t="str">
        <x:v>ram price seed</x:v>
      </x:c>
      <x:c r="D311" s="34" t="str">
        <x:v>Price/reference</x:v>
      </x:c>
      <x:c r="E311" s="34" t="str">
        <x:v>reference</x:v>
      </x:c>
      <x:c r="F311" s="35" t="str">
        <x:v>2026-06-28</x:v>
      </x:c>
    </x:row>
    <x:row r="312">
      <x:c r="A312" s="33" t="str">
        <x:v>Corsair Vengeance RGB 32 GB price source</x:v>
      </x:c>
      <x:c r="B312" s="34" t="str">
        <x:v>https://fr.pcpartpicker.com/product/kTJp99/corsair-vengeance-rgb-32-gb-2-x-16-gb-ddr5-6000-cl36-memory-cmh32gx5m2e6000c36</x:v>
      </x:c>
      <x:c r="C312" s="34" t="str">
        <x:v>ram price seed</x:v>
      </x:c>
      <x:c r="D312" s="34" t="str">
        <x:v>Price/reference</x:v>
      </x:c>
      <x:c r="E312" s="34" t="str">
        <x:v>reference</x:v>
      </x:c>
      <x:c r="F312" s="35" t="str">
        <x:v>2026-06-28</x:v>
      </x:c>
    </x:row>
    <x:row r="313">
      <x:c r="A313" s="33" t="str">
        <x:v>Corsair Vengeance LPX 32 GB price source</x:v>
      </x:c>
      <x:c r="B313" s="34" t="str">
        <x:v>https://fr.pcpartpicker.com/product/Yg3mP6/corsair-vengeance-lpx-32-gb-2-x-16-gb-ddr4-3600-memory-cmk32gx4m2d3600c18</x:v>
      </x:c>
      <x:c r="C313" s="34" t="str">
        <x:v>ram price seed</x:v>
      </x:c>
      <x:c r="D313" s="34" t="str">
        <x:v>Price/reference</x:v>
      </x:c>
      <x:c r="E313" s="34" t="str">
        <x:v>reference</x:v>
      </x:c>
      <x:c r="F313" s="35" t="str">
        <x:v>2026-06-28</x:v>
      </x:c>
    </x:row>
    <x:row r="314">
      <x:c r="A314" s="33" t="str">
        <x:v>Corsair Vengeance RGB Pro 32 GB price source</x:v>
      </x:c>
      <x:c r="B314" s="34" t="str">
        <x:v>https://fr.pcpartpicker.com/product/khmFf7/corsair-vengeance-rgb-pro-32-gb-2-x-16-gb-ddr4-3600-memory-cmw32gx4m2z3600c18</x:v>
      </x:c>
      <x:c r="C314" s="34" t="str">
        <x:v>ram price seed</x:v>
      </x:c>
      <x:c r="D314" s="34" t="str">
        <x:v>Price/reference</x:v>
      </x:c>
      <x:c r="E314" s="34" t="str">
        <x:v>reference</x:v>
      </x:c>
      <x:c r="F314" s="35" t="str">
        <x:v>2026-06-28</x:v>
      </x:c>
    </x:row>
    <x:row r="315">
      <x:c r="A315" s="33" t="str">
        <x:v>G.Skill Sniper 8 GB price source</x:v>
      </x:c>
      <x:c r="B315" s="34" t="str">
        <x:v>https://fr.pcpartpicker.com/product/WtDwrH/gskill-memory-f314900cl9d8gbsr</x:v>
      </x:c>
      <x:c r="C315" s="34" t="str">
        <x:v>ram price seed</x:v>
      </x:c>
      <x:c r="D315" s="34" t="str">
        <x:v>Price/reference</x:v>
      </x:c>
      <x:c r="E315" s="34" t="str">
        <x:v>reference</x:v>
      </x:c>
      <x:c r="F315" s="35" t="str">
        <x:v>2026-06-28</x:v>
      </x:c>
    </x:row>
    <x:row r="316">
      <x:c r="A316" s="33" t="str">
        <x:v>TEAMGROUP T-Force Delta RGB 32 GB price source</x:v>
      </x:c>
      <x:c r="B316" s="34" t="str">
        <x:v>https://fr.pcpartpicker.com/product/WFVmP6/teamgroup-t-force-delta-rgb-32-gb-2-x-16-gb-ddr5-6000-cl30-memory-ff4d532g6000hc30dc01</x:v>
      </x:c>
      <x:c r="C316" s="34" t="str">
        <x:v>ram price seed</x:v>
      </x:c>
      <x:c r="D316" s="34" t="str">
        <x:v>Price/reference</x:v>
      </x:c>
      <x:c r="E316" s="34" t="str">
        <x:v>reference</x:v>
      </x:c>
      <x:c r="F316" s="35" t="str">
        <x:v>2026-06-28</x:v>
      </x:c>
    </x:row>
    <x:row r="317">
      <x:c r="A317" s="33" t="str">
        <x:v>G.Skill Trident Z Neo 16 GB price source</x:v>
      </x:c>
      <x:c r="B317" s="34" t="str">
        <x:v>https://fr.pcpartpicker.com/product/JgLwrH/gskill-trident-z-neo-16-gb-2-x-8-gb-ddr4-3600-cl16-memory-f4-3600c16d-16gtznc</x:v>
      </x:c>
      <x:c r="C317" s="34" t="str">
        <x:v>ram price seed</x:v>
      </x:c>
      <x:c r="D317" s="34" t="str">
        <x:v>Price/reference</x:v>
      </x:c>
      <x:c r="E317" s="34" t="str">
        <x:v>reference</x:v>
      </x:c>
      <x:c r="F317" s="35" t="str">
        <x:v>2026-06-28</x:v>
      </x:c>
    </x:row>
    <x:row r="318">
      <x:c r="A318" s="33" t="str">
        <x:v>Corsair Vengeance 32 GB price source</x:v>
      </x:c>
      <x:c r="B318" s="34" t="str">
        <x:v>https://fr.pcpartpicker.com/product/JkfxFT/corsair-vengeance-32-gb-2-x-16-gb-ddr5-6000-cl30-memory-cmk32gx5m2b6000c30</x:v>
      </x:c>
      <x:c r="C318" s="34" t="str">
        <x:v>ram price seed</x:v>
      </x:c>
      <x:c r="D318" s="34" t="str">
        <x:v>Price/reference</x:v>
      </x:c>
      <x:c r="E318" s="34" t="str">
        <x:v>reference</x:v>
      </x:c>
      <x:c r="F318" s="35" t="str">
        <x:v>2026-06-28</x:v>
      </x:c>
    </x:row>
    <x:row r="319">
      <x:c r="A319" s="33" t="str">
        <x:v>G.Skill Aegis 16 GB price source</x:v>
      </x:c>
      <x:c r="B319" s="34" t="str">
        <x:v>https://fr.pcpartpicker.com/product/FNprxr/gskill-aegis-16-gb-2-x-8-gb-ddr4-3000-cl16-memory-f4-3000c16d-16gisb</x:v>
      </x:c>
      <x:c r="C319" s="34" t="str">
        <x:v>ram price seed</x:v>
      </x:c>
      <x:c r="D319" s="34" t="str">
        <x:v>Price/reference</x:v>
      </x:c>
      <x:c r="E319" s="34" t="str">
        <x:v>reference</x:v>
      </x:c>
      <x:c r="F319" s="35" t="str">
        <x:v>2026-06-28</x:v>
      </x:c>
    </x:row>
    <x:row r="320">
      <x:c r="A320" s="33" t="str">
        <x:v>Silicon Power GAMING 16 GB price source</x:v>
      </x:c>
      <x:c r="B320" s="34" t="str">
        <x:v>https://fr.pcpartpicker.com/product/P4FKHx/silicon-power-gaming-16-gb-2-x-8-gb-ddr4-3200-cl16-memory-sp016gxlzu320bdaj5</x:v>
      </x:c>
      <x:c r="C320" s="34" t="str">
        <x:v>ram price seed</x:v>
      </x:c>
      <x:c r="D320" s="34" t="str">
        <x:v>Price/reference</x:v>
      </x:c>
      <x:c r="E320" s="34" t="str">
        <x:v>reference</x:v>
      </x:c>
      <x:c r="F320" s="35" t="str">
        <x:v>2026-06-28</x:v>
      </x:c>
    </x:row>
    <x:row r="321">
      <x:c r="A321" s="33" t="str">
        <x:v>G.Skill Ripjaws X 16 GB price source</x:v>
      </x:c>
      <x:c r="B321" s="34" t="str">
        <x:v>https://fr.pcpartpicker.com/product/qqvRsY/gskill-memory-f312800cl10d16gbxl</x:v>
      </x:c>
      <x:c r="C321" s="34" t="str">
        <x:v>ram price seed</x:v>
      </x:c>
      <x:c r="D321" s="34" t="str">
        <x:v>Price/reference</x:v>
      </x:c>
      <x:c r="E321" s="34" t="str">
        <x:v>reference</x:v>
      </x:c>
      <x:c r="F321" s="35" t="str">
        <x:v>2026-06-28</x:v>
      </x:c>
    </x:row>
    <x:row r="322">
      <x:c r="A322" s="33" t="str">
        <x:v>Crucial Pro Overclocking 32 GB price source</x:v>
      </x:c>
      <x:c r="B322" s="34" t="str">
        <x:v>https://fr.pcpartpicker.com/product/QF9wrH/crucial-pro-overclocking-32-gb-2-x-16-gb-ddr5-6000-cl36-memory-cp2k16g60c36u5b</x:v>
      </x:c>
      <x:c r="C322" s="34" t="str">
        <x:v>ram price seed</x:v>
      </x:c>
      <x:c r="D322" s="34" t="str">
        <x:v>Price/reference</x:v>
      </x:c>
      <x:c r="E322" s="34" t="str">
        <x:v>reference</x:v>
      </x:c>
      <x:c r="F322" s="35" t="str">
        <x:v>2026-06-28</x:v>
      </x:c>
    </x:row>
    <x:row r="323">
      <x:c r="A323" s="33" t="str">
        <x:v>G.Skill Trident Z5 Neo RGB 64 GB price source</x:v>
      </x:c>
      <x:c r="B323" s="34" t="str">
        <x:v>https://fr.pcpartpicker.com/product/hRQcCJ/gskill-trident-z5-neo-rgb-64-gb-2-x-32-gb-ddr5-6000-cl30-memory-f5-6000j3040g32gx2-tz5nr</x:v>
      </x:c>
      <x:c r="C323" s="34" t="str">
        <x:v>ram price seed</x:v>
      </x:c>
      <x:c r="D323" s="34" t="str">
        <x:v>Price/reference</x:v>
      </x:c>
      <x:c r="E323" s="34" t="str">
        <x:v>reference</x:v>
      </x:c>
      <x:c r="F323" s="35" t="str">
        <x:v>2026-06-28</x:v>
      </x:c>
    </x:row>
    <x:row r="324">
      <x:c r="A324" s="33" t="str">
        <x:v>TEAMGROUP T-Force Delta RGB 16 GB price source</x:v>
      </x:c>
      <x:c r="B324" s="34" t="str">
        <x:v>https://fr.pcpartpicker.com/product/2bJtt6/teamgroup-t-force-delta-rgb-16-gb-2-x-8-gb-ddr4-3200-cl16-memory-tf3d416g3200hc16cdc01</x:v>
      </x:c>
      <x:c r="C324" s="34" t="str">
        <x:v>ram price seed</x:v>
      </x:c>
      <x:c r="D324" s="34" t="str">
        <x:v>Price/reference</x:v>
      </x:c>
      <x:c r="E324" s="34" t="str">
        <x:v>reference</x:v>
      </x:c>
      <x:c r="F324" s="35" t="str">
        <x:v>2026-06-28</x:v>
      </x:c>
    </x:row>
    <x:row r="325">
      <x:c r="A325" s="33" t="str">
        <x:v>G.Skill Ares 8 GB price source</x:v>
      </x:c>
      <x:c r="B325" s="34" t="str">
        <x:v>https://fr.pcpartpicker.com/product/NTLypg/gskill-memory-f31600c9d8gab</x:v>
      </x:c>
      <x:c r="C325" s="34" t="str">
        <x:v>ram price seed</x:v>
      </x:c>
      <x:c r="D325" s="34" t="str">
        <x:v>Price/reference</x:v>
      </x:c>
      <x:c r="E325" s="34" t="str">
        <x:v>reference</x:v>
      </x:c>
      <x:c r="F325" s="35" t="str">
        <x:v>2026-06-28</x:v>
      </x:c>
    </x:row>
    <x:row r="326">
      <x:c r="A326" s="33" t="str">
        <x:v>G.Skill Trident Z5 RGB 32 GB price source</x:v>
      </x:c>
      <x:c r="B326" s="34" t="str">
        <x:v>https://fr.pcpartpicker.com/product/mhJgXL/gskill-trident-z5-rgb-32-gb-2-x-16-gb-ddr5-6000-cl36-memory-f5-6000j3636f16gx2-tz5rk</x:v>
      </x:c>
      <x:c r="C326" s="34" t="str">
        <x:v>ram price seed</x:v>
      </x:c>
      <x:c r="D326" s="34" t="str">
        <x:v>Price/reference</x:v>
      </x:c>
      <x:c r="E326" s="34" t="str">
        <x:v>reference</x:v>
      </x:c>
      <x:c r="F326" s="35" t="str">
        <x:v>2026-06-28</x:v>
      </x:c>
    </x:row>
    <x:row r="327">
      <x:c r="A327" s="33" t="str">
        <x:v>Corsair Vengeance LPX 8 GB price source</x:v>
      </x:c>
      <x:c r="B327" s="34" t="str">
        <x:v>https://fr.pcpartpicker.com/product/sMbkcf/corsair-memory-cmk8gx4m1a2400c16</x:v>
      </x:c>
      <x:c r="C327" s="34" t="str">
        <x:v>ram price seed</x:v>
      </x:c>
      <x:c r="D327" s="34" t="str">
        <x:v>Price/reference</x:v>
      </x:c>
      <x:c r="E327" s="34" t="str">
        <x:v>reference</x:v>
      </x:c>
      <x:c r="F327" s="35" t="str">
        <x:v>2026-06-28</x:v>
      </x:c>
    </x:row>
    <x:row r="328">
      <x:c r="A328" s="33" t="str">
        <x:v>Corsair Vengeance RGB Pro SL 32 GB price source</x:v>
      </x:c>
      <x:c r="B328" s="34" t="str">
        <x:v>https://fr.pcpartpicker.com/product/bjjNnQ/corsair-vengeance-rgb-pro-sl-32-gb-2-x-16-gb-ddr4-3600-cl18-memory-cmh32gx4m2d3600c18w</x:v>
      </x:c>
      <x:c r="C328" s="34" t="str">
        <x:v>ram price seed</x:v>
      </x:c>
      <x:c r="D328" s="34" t="str">
        <x:v>Price/reference</x:v>
      </x:c>
      <x:c r="E328" s="34" t="str">
        <x:v>reference</x:v>
      </x:c>
      <x:c r="F328" s="35" t="str">
        <x:v>2026-06-28</x:v>
      </x:c>
    </x:row>
    <x:row r="329">
      <x:c r="A329" s="33" t="str">
        <x:v>G.Skill Trident Z RGB 32 GB price source</x:v>
      </x:c>
      <x:c r="B329" s="34" t="str">
        <x:v>https://fr.pcpartpicker.com/product/jxH8TW/gskill-trident-z-rgb-32-gb-2-x-16-gb-ddr4-3600-memory-f4-3600c16d-32gtzrc</x:v>
      </x:c>
      <x:c r="C329" s="34" t="str">
        <x:v>ram price seed</x:v>
      </x:c>
      <x:c r="D329" s="34" t="str">
        <x:v>Price/reference</x:v>
      </x:c>
      <x:c r="E329" s="34" t="str">
        <x:v>reference</x:v>
      </x:c>
      <x:c r="F329" s="35" t="str">
        <x:v>2026-06-28</x:v>
      </x:c>
    </x:row>
    <x:row r="330">
      <x:c r="A330" s="33" t="str">
        <x:v>Kingston FURY Beast 32 GB price source</x:v>
      </x:c>
      <x:c r="B330" s="34" t="str">
        <x:v>https://fr.pcpartpicker.com/product/q7LdnQ/kingston-fury-beast-32-gb-2-x-16-gb-ddr5-6000-cl30-memory-kf560c30bbek2-32</x:v>
      </x:c>
      <x:c r="C330" s="34" t="str">
        <x:v>ram price seed</x:v>
      </x:c>
      <x:c r="D330" s="34" t="str">
        <x:v>Price/reference</x:v>
      </x:c>
      <x:c r="E330" s="34" t="str">
        <x:v>reference</x:v>
      </x:c>
      <x:c r="F330" s="35" t="str">
        <x:v>2026-06-28</x:v>
      </x:c>
    </x:row>
    <x:row r="331">
      <x:c r="A331" s="33" t="str">
        <x:v>G.Skill Flare X5 64 GB price source</x:v>
      </x:c>
      <x:c r="B331" s="34" t="str">
        <x:v>https://fr.pcpartpicker.com/product/6QcgXL/gskill-flare-x5-64-gb-2-x-32-gb-ddr5-6000-cl30-memory-f5-6000j3040g32gx2-fx5</x:v>
      </x:c>
      <x:c r="C331" s="34" t="str">
        <x:v>ram price seed</x:v>
      </x:c>
      <x:c r="D331" s="34" t="str">
        <x:v>Price/reference</x:v>
      </x:c>
      <x:c r="E331" s="34" t="str">
        <x:v>reference</x:v>
      </x:c>
      <x:c r="F331" s="35" t="str">
        <x:v>2026-06-28</x:v>
      </x:c>
    </x:row>
    <x:row r="332">
      <x:c r="A332" s="33" t="str">
        <x:v>G.Skill Ripjaws S5 32 GB price source</x:v>
      </x:c>
      <x:c r="B332" s="34" t="str">
        <x:v>https://fr.pcpartpicker.com/product/x4VmP6/gskill-ripjaws-s5-32-gb-2-x-16-gb-ddr5-6000-cl30-memory-f5-6000j3040f16gx2-rs5k</x:v>
      </x:c>
      <x:c r="C332" s="34" t="str">
        <x:v>ram price seed</x:v>
      </x:c>
      <x:c r="D332" s="34" t="str">
        <x:v>Price/reference</x:v>
      </x:c>
      <x:c r="E332" s="34" t="str">
        <x:v>reference</x:v>
      </x:c>
      <x:c r="F332" s="35" t="str">
        <x:v>2026-06-28</x:v>
      </x:c>
    </x:row>
    <x:row r="333">
      <x:c r="A333" s="33" t="str">
        <x:v>G.Skill Trident Z5 RGB 64 GB price source</x:v>
      </x:c>
      <x:c r="B333" s="34" t="str">
        <x:v>https://fr.pcpartpicker.com/product/636p99/gskill-trident-z5-rgb-64-gb-2-x-32-gb-ddr5-6400-cl32-memory-f5-6400j3239g32gx2-tz5rk</x:v>
      </x:c>
      <x:c r="C333" s="34" t="str">
        <x:v>ram price seed</x:v>
      </x:c>
      <x:c r="D333" s="34" t="str">
        <x:v>Price/reference</x:v>
      </x:c>
      <x:c r="E333" s="34" t="str">
        <x:v>reference</x:v>
      </x:c>
      <x:c r="F333" s="35" t="str">
        <x:v>2026-06-28</x:v>
      </x:c>
    </x:row>
    <x:row r="334">
      <x:c r="A334" s="33" t="str">
        <x:v>Patriot Viper 3 8 GB price source</x:v>
      </x:c>
      <x:c r="B334" s="34" t="str">
        <x:v>https://fr.pcpartpicker.com/product/nBCwrH/patriot-memory-pv38g160c9k</x:v>
      </x:c>
      <x:c r="C334" s="34" t="str">
        <x:v>ram price seed</x:v>
      </x:c>
      <x:c r="D334" s="34" t="str">
        <x:v>Price/reference</x:v>
      </x:c>
      <x:c r="E334" s="34" t="str">
        <x:v>reference</x:v>
      </x:c>
      <x:c r="F334" s="35" t="str">
        <x:v>2026-06-28</x:v>
      </x:c>
    </x:row>
    <x:row r="335">
      <x:c r="A335" s="33" t="str">
        <x:v>Patriot Viper Venom 32 GB price source</x:v>
      </x:c>
      <x:c r="B335" s="34" t="str">
        <x:v>https://fr.pcpartpicker.com/product/4cCCmG/patriot-viper-venom-32-gb-2-x-16-gb-ddr5-6000-cl30-memory-pvv532g600c30k</x:v>
      </x:c>
      <x:c r="C335" s="34" t="str">
        <x:v>ram price seed</x:v>
      </x:c>
      <x:c r="D335" s="34" t="str">
        <x:v>Price/reference</x:v>
      </x:c>
      <x:c r="E335" s="34" t="str">
        <x:v>reference</x:v>
      </x:c>
      <x:c r="F335" s="35" t="str">
        <x:v>2026-06-28</x:v>
      </x:c>
    </x:row>
    <x:row r="336">
      <x:c r="A336" s="33" t="str">
        <x:v>G.Skill Trident Z5 Neo 32 GB price source</x:v>
      </x:c>
      <x:c r="B336" s="34" t="str">
        <x:v>https://fr.pcpartpicker.com/product/DgVmP6/gskill-trident-z5-neo-32-gb-2-x-16-gb-ddr5-6000-cl30-memory-f5-6000j3038f16gx2-tz5n</x:v>
      </x:c>
      <x:c r="C336" s="34" t="str">
        <x:v>ram price seed</x:v>
      </x:c>
      <x:c r="D336" s="34" t="str">
        <x:v>Price/reference</x:v>
      </x:c>
      <x:c r="E336" s="34" t="str">
        <x:v>reference</x:v>
      </x:c>
      <x:c r="F336" s="35" t="str">
        <x:v>2026-06-28</x:v>
      </x:c>
    </x:row>
    <x:row r="337">
      <x:c r="A337" s="33" t="str">
        <x:v>G.Skill Aegis 8 GB price source</x:v>
      </x:c>
      <x:c r="B337" s="34" t="str">
        <x:v>https://fr.pcpartpicker.com/product/XJYWGX/gskill-aegis-8-gb-1-x-8-gb-ddr4-3000-cl16-memory-f4-3000c16s-8gisb</x:v>
      </x:c>
      <x:c r="C337" s="34" t="str">
        <x:v>ram price seed</x:v>
      </x:c>
      <x:c r="D337" s="34" t="str">
        <x:v>Price/reference</x:v>
      </x:c>
      <x:c r="E337" s="34" t="str">
        <x:v>reference</x:v>
      </x:c>
      <x:c r="F337" s="35" t="str">
        <x:v>2026-06-28</x:v>
      </x:c>
    </x:row>
    <x:row r="338">
      <x:c r="A338" s="33" t="str">
        <x:v>Kingston FURY Beast 16 GB price source</x:v>
      </x:c>
      <x:c r="B338" s="34" t="str">
        <x:v>https://fr.pcpartpicker.com/product/6YfnTW/kingston-fury-beast-16-gb-2-x-8-gb-ddr4-3200-cl16-memory-kf432c16bbk216</x:v>
      </x:c>
      <x:c r="C338" s="34" t="str">
        <x:v>ram price seed</x:v>
      </x:c>
      <x:c r="D338" s="34" t="str">
        <x:v>Price/reference</x:v>
      </x:c>
      <x:c r="E338" s="34" t="str">
        <x:v>reference</x:v>
      </x:c>
      <x:c r="F338" s="35" t="str">
        <x:v>2026-06-28</x:v>
      </x:c>
    </x:row>
    <x:row r="339">
      <x:c r="A339" s="33" t="str">
        <x:v>Corsair Vengeance RGB 64 GB price source</x:v>
      </x:c>
      <x:c r="B339" s="34" t="str">
        <x:v>https://fr.pcpartpicker.com/product/WTMMnQ/corsair-vengeance-rgb-64-gb-2-x-32-gb-ddr5-6000-cl30-memory-cmh64gx5m2b6000c30</x:v>
      </x:c>
      <x:c r="C339" s="34" t="str">
        <x:v>ram price seed</x:v>
      </x:c>
      <x:c r="D339" s="34" t="str">
        <x:v>Price/reference</x:v>
      </x:c>
      <x:c r="E339" s="34" t="str">
        <x:v>reference</x:v>
      </x:c>
      <x:c r="F339" s="35" t="str">
        <x:v>2026-06-28</x:v>
      </x:c>
    </x:row>
    <x:row r="340">
      <x:c r="A340" s="33" t="str">
        <x:v>Corsair Vengeance Pro 16 GB price source</x:v>
      </x:c>
      <x:c r="B340" s="34" t="str">
        <x:v>https://fr.pcpartpicker.com/product/7x7wrH/corsair-memory-cmy16gx3m2a1600c9r</x:v>
      </x:c>
      <x:c r="C340" s="34" t="str">
        <x:v>ram price seed</x:v>
      </x:c>
      <x:c r="D340" s="34" t="str">
        <x:v>Price/reference</x:v>
      </x:c>
      <x:c r="E340" s="34" t="str">
        <x:v>reference</x:v>
      </x:c>
      <x:c r="F340" s="35" t="str">
        <x:v>2026-06-28</x:v>
      </x:c>
    </x:row>
    <x:row r="341">
      <x:c r="A341" s="33" t="str">
        <x:v>Kingston HyperX Fury 16 GB price source</x:v>
      </x:c>
      <x:c r="B341" s="34" t="str">
        <x:v>https://fr.pcpartpicker.com/product/DMJwrH/kingston-memory-hx318c10frk216</x:v>
      </x:c>
      <x:c r="C341" s="34" t="str">
        <x:v>ram price seed</x:v>
      </x:c>
      <x:c r="D341" s="34" t="str">
        <x:v>Price/reference</x:v>
      </x:c>
      <x:c r="E341" s="34" t="str">
        <x:v>reference</x:v>
      </x:c>
      <x:c r="F341" s="35" t="str">
        <x:v>2026-06-28</x:v>
      </x:c>
    </x:row>
    <x:row r="342">
      <x:c r="A342" s="33" t="str">
        <x:v>CORSAIR Vengeance 32GB (2 x 16GB) 288-Pin PC RAM DDR5 6000 (PC5 48000) Desktop Memory Model CMK32GX5M2B6000C30 price source</x:v>
      </x:c>
      <x:c r="B342" s="34" t="str">
        <x:v>https://www.newegg.ca/p/20-982-007</x:v>
      </x:c>
      <x:c r="C342" s="34" t="str">
        <x:v>ram price seed</x:v>
      </x:c>
      <x:c r="D342" s="34" t="str">
        <x:v>Price/reference</x:v>
      </x:c>
      <x:c r="E342" s="34" t="str">
        <x:v>retail</x:v>
      </x:c>
      <x:c r="F342" s="35" t="str">
        <x:v>2026-06-29</x:v>
      </x:c>
    </x:row>
    <x:row r="343">
      <x:c r="A343" s="33" t="str">
        <x:v>CORSAIR Vengeance 32GB (2 x 16GB) 288-Pin PC RAM DDR5 6000 (PC5 48000) Desktop Memory Model CMK32GX5M2E6000C36 price source</x:v>
      </x:c>
      <x:c r="B343" s="34" t="str">
        <x:v>https://www.newegg.ca/p/20-236-994</x:v>
      </x:c>
      <x:c r="C343" s="34" t="str">
        <x:v>ram price seed</x:v>
      </x:c>
      <x:c r="D343" s="34" t="str">
        <x:v>Price/reference</x:v>
      </x:c>
      <x:c r="E343" s="34" t="str">
        <x:v>retail</x:v>
      </x:c>
      <x:c r="F343" s="35" t="str">
        <x:v>2026-06-29</x:v>
      </x:c>
    </x:row>
    <x:row r="344">
      <x:c r="A344" s="33" t="str">
        <x:v>G.SKILL Trident Z5 RGB Series 32GB (2 x 16GB) 288-Pin PC RAM DDR5 6000 (PC5 48000) Desktop Memory Model F5-6000J3636F16GX2-TZ5RK price source</x:v>
      </x:c>
      <x:c r="B344" s="34" t="str">
        <x:v>https://www.newegg.ca/p/20-374-351</x:v>
      </x:c>
      <x:c r="C344" s="34" t="str">
        <x:v>ram price seed</x:v>
      </x:c>
      <x:c r="D344" s="34" t="str">
        <x:v>Price/reference</x:v>
      </x:c>
      <x:c r="E344" s="34" t="str">
        <x:v>retail</x:v>
      </x:c>
      <x:c r="F344" s="35" t="str">
        <x:v>2026-06-29</x:v>
      </x:c>
    </x:row>
    <x:row r="345">
      <x:c r="A345" s="33" t="str">
        <x:v>CORSAIR Vengeance RGB 32GB (2 x 16GB) 288-Pin PC RAM DDR5 6000 (PC5 48000) Desktop Memory Model CMH32GX5M2E6000C36 price source</x:v>
      </x:c>
      <x:c r="B345" s="34" t="str">
        <x:v>https://www.newegg.ca/p/20-236-991</x:v>
      </x:c>
      <x:c r="C345" s="34" t="str">
        <x:v>ram price seed</x:v>
      </x:c>
      <x:c r="D345" s="34" t="str">
        <x:v>Price/reference</x:v>
      </x:c>
      <x:c r="E345" s="34" t="str">
        <x:v>retail</x:v>
      </x:c>
      <x:c r="F345" s="35" t="str">
        <x:v>2026-06-29</x:v>
      </x:c>
    </x:row>
    <x:row r="346">
      <x:c r="A346" s="33" t="str">
        <x:v>CORSAIR Vengeance RGB 32GB (2 x 16GB) 288-Pin PC RAM DDR5 6000 (PC5 48000) Desktop Memory Model CMH32GX5M2E6000C36W price source</x:v>
      </x:c>
      <x:c r="B346" s="34" t="str">
        <x:v>https://www.newegg.ca/p/20-982-058</x:v>
      </x:c>
      <x:c r="C346" s="34" t="str">
        <x:v>ram price seed</x:v>
      </x:c>
      <x:c r="D346" s="34" t="str">
        <x:v>Price/reference</x:v>
      </x:c>
      <x:c r="E346" s="34" t="str">
        <x:v>retail</x:v>
      </x:c>
      <x:c r="F346" s="35" t="str">
        <x:v>2026-06-29</x:v>
      </x:c>
    </x:row>
    <x:row r="347">
      <x:c r="A347" s="33" t="str">
        <x:v>G.SKILL Flare X5 Series AMD EXPO 32GB (2 x 16GB) 288-Pin PC RAM DDR5 6000 Desktop Memory Model F5-6000J3636F16GX2-FX5 price source</x:v>
      </x:c>
      <x:c r="B347" s="34" t="str">
        <x:v>https://www.newegg.ca/p/20-374-419</x:v>
      </x:c>
      <x:c r="C347" s="34" t="str">
        <x:v>ram price seed</x:v>
      </x:c>
      <x:c r="D347" s="34" t="str">
        <x:v>Price/reference</x:v>
      </x:c>
      <x:c r="E347" s="34" t="str">
        <x:v>retail</x:v>
      </x:c>
      <x:c r="F347" s="35" t="str">
        <x:v>2026-06-29</x:v>
      </x:c>
    </x:row>
    <x:row r="348">
      <x:c r="A348" s="33" t="str">
        <x:v>CORSAIR Vengeance RGB 32GB (2 x 16GB) 288-Pin PC RAM DDR5 6000 (PC5 48000) Desktop Memory Model CMK32GX5M2B6000Z38 price source</x:v>
      </x:c>
      <x:c r="B348" s="34" t="str">
        <x:v>https://www.newegg.ca/p/20-982-308</x:v>
      </x:c>
      <x:c r="C348" s="34" t="str">
        <x:v>ram price seed</x:v>
      </x:c>
      <x:c r="D348" s="34" t="str">
        <x:v>Price/reference</x:v>
      </x:c>
      <x:c r="E348" s="34" t="str">
        <x:v>retail</x:v>
      </x:c>
      <x:c r="F348" s="35" t="str">
        <x:v>2026-06-29</x:v>
      </x:c>
    </x:row>
    <x:row r="349">
      <x:c r="A349" s="33" t="str">
        <x:v>CORSAIR Vengeance 64GB (2 x 32GB) DDR5 6000 (PC5 48000) Desktop Memory Model CMK64GX5M2B6000Z30 price source</x:v>
      </x:c>
      <x:c r="B349" s="34" t="str">
        <x:v>https://www.newegg.ca/p/20-982-030</x:v>
      </x:c>
      <x:c r="C349" s="34" t="str">
        <x:v>ram price seed</x:v>
      </x:c>
      <x:c r="D349" s="34" t="str">
        <x:v>Price/reference</x:v>
      </x:c>
      <x:c r="E349" s="34" t="str">
        <x:v>retail</x:v>
      </x:c>
      <x:c r="F349" s="35" t="str">
        <x:v>2026-06-29</x:v>
      </x:c>
    </x:row>
    <x:row r="350">
      <x:c r="A350" s="33" t="str">
        <x:v>Team T-Force Delta RGB 32GB (2 x 16GB) 288-Pin PC RAM DDR5 6000 (PC5 48000) Desktop Memory Model FF4D532G6000HC30DC01 price source</x:v>
      </x:c>
      <x:c r="B350" s="34" t="str">
        <x:v>https://www.newegg.ca/p/20-331-846</x:v>
      </x:c>
      <x:c r="C350" s="34" t="str">
        <x:v>ram price seed</x:v>
      </x:c>
      <x:c r="D350" s="34" t="str">
        <x:v>Price/reference</x:v>
      </x:c>
      <x:c r="E350" s="34" t="str">
        <x:v>retail</x:v>
      </x:c>
      <x:c r="F350" s="35" t="str">
        <x:v>2026-06-29</x:v>
      </x:c>
    </x:row>
    <x:row r="351">
      <x:c r="A351" s="33" t="str">
        <x:v>G.SKILL Trident Z5 Neo RGB Series AMD EXPO 32GB (2 x 16GB) 288-Pin PC RAM DDR5 6000 (PC5 48000) Desktop Memory Model F5-6000J3038F16GX2-TZ5NR price source</x:v>
      </x:c>
      <x:c r="B351" s="34" t="str">
        <x:v>https://www.newegg.ca/p/20-374-427</x:v>
      </x:c>
      <x:c r="C351" s="34" t="str">
        <x:v>ram price seed</x:v>
      </x:c>
      <x:c r="D351" s="34" t="str">
        <x:v>Price/reference</x:v>
      </x:c>
      <x:c r="E351" s="34" t="str">
        <x:v>retail</x:v>
      </x:c>
      <x:c r="F351" s="35" t="str">
        <x:v>2026-06-29</x:v>
      </x:c>
    </x:row>
    <x:row r="352">
      <x:c r="A352" s="33" t="str">
        <x:v>Team Group T-CREATE EXPERT 32GB (2 x 16GB) 288-Pin PC RAM DDR5 6000 (PC5 48000) Desktop Memory Model CTCED532G6000HC30DC01 price source</x:v>
      </x:c>
      <x:c r="B352" s="34" t="str">
        <x:v>https://www.newegg.ca/p/20-985-077</x:v>
      </x:c>
      <x:c r="C352" s="34" t="str">
        <x:v>ram price seed</x:v>
      </x:c>
      <x:c r="D352" s="34" t="str">
        <x:v>Price/reference</x:v>
      </x:c>
      <x:c r="E352" s="34" t="str">
        <x:v>retail</x:v>
      </x:c>
      <x:c r="F352" s="35" t="str">
        <x:v>2026-06-29</x:v>
      </x:c>
    </x:row>
    <x:row r="353">
      <x:c r="A353" s="33" t="str">
        <x:v>Team Group T-CREATE EXPERT 32GB (2 x 16GB) 288-Pin PC RAM DDR5 6000 (PC5 48000) Desktop Memory Model CTCWD532G6000HC30DC01 price source</x:v>
      </x:c>
      <x:c r="B353" s="34" t="str">
        <x:v>https://www.newegg.ca/p/20-985-070</x:v>
      </x:c>
      <x:c r="C353" s="34" t="str">
        <x:v>ram price seed</x:v>
      </x:c>
      <x:c r="D353" s="34" t="str">
        <x:v>Price/reference</x:v>
      </x:c>
      <x:c r="E353" s="34" t="str">
        <x:v>retail</x:v>
      </x:c>
      <x:c r="F353" s="35" t="str">
        <x:v>2026-06-29</x:v>
      </x:c>
    </x:row>
    <x:row r="354">
      <x:c r="A354" s="33" t="str">
        <x:v>CORSAIR Vengeance RGB 32GB (2 x 16GB) 288-Pin PC RAM DDR5 6000 (PC5 48000) Desktop Memory Model CMH32GX5M2N6000Z30 price source</x:v>
      </x:c>
      <x:c r="B354" s="34" t="str">
        <x:v>https://www.newegg.ca/p/20-982-184</x:v>
      </x:c>
      <x:c r="C354" s="34" t="str">
        <x:v>ram price seed</x:v>
      </x:c>
      <x:c r="D354" s="34" t="str">
        <x:v>Price/reference</x:v>
      </x:c>
      <x:c r="E354" s="34" t="str">
        <x:v>retail</x:v>
      </x:c>
      <x:c r="F354" s="35" t="str">
        <x:v>2026-06-29</x:v>
      </x:c>
    </x:row>
    <x:row r="355">
      <x:c r="A355" s="33" t="str">
        <x:v>CORSAIR Vengeance 32GB (2 x 16GB) 288-Pin PC RAM DDR5 6000 (PC5 48000) Desktop Memory Model CMK32GX5M2B6000C38 price source</x:v>
      </x:c>
      <x:c r="B355" s="34" t="str">
        <x:v>https://www.newegg.ca/p/20-982-129</x:v>
      </x:c>
      <x:c r="C355" s="34" t="str">
        <x:v>ram price seed</x:v>
      </x:c>
      <x:c r="D355" s="34" t="str">
        <x:v>Price/reference</x:v>
      </x:c>
      <x:c r="E355" s="34" t="str">
        <x:v>retail</x:v>
      </x:c>
      <x:c r="F355" s="35" t="str">
        <x:v>2026-06-29</x:v>
      </x:c>
    </x:row>
    <x:row r="356">
      <x:c r="A356" s="33" t="str">
        <x:v>Patriot Viper Elite 5 32GB (2 x 16GB) 288-Pin PC RAM DDR5 6000 CL30(PC5 48000) Hynix Desktop Memory Model VEB532G6030KW Compatible with AMD &amp; Intel Gen14 Only price source</x:v>
      </x:c>
      <x:c r="B356" s="34" t="str">
        <x:v>https://www.newegg.ca/p/20-225-386</x:v>
      </x:c>
      <x:c r="C356" s="34" t="str">
        <x:v>ram price seed</x:v>
      </x:c>
      <x:c r="D356" s="34" t="str">
        <x:v>Price/reference</x:v>
      </x:c>
      <x:c r="E356" s="34" t="str">
        <x:v>retail</x:v>
      </x:c>
      <x:c r="F356" s="35" t="str">
        <x:v>2026-06-29</x:v>
      </x:c>
    </x:row>
    <x:row r="357">
      <x:c r="A357" s="33" t="str">
        <x:v>CORSAIR Vengeance 32GB (2 x 16GB) 288-Pin PC RAM DDR5 6000 (PC5 48000) Desktop Memory Model CMK32GX5M2B6000Z30 price source</x:v>
      </x:c>
      <x:c r="B357" s="34" t="str">
        <x:v>https://www.newegg.ca/p/20-982-040</x:v>
      </x:c>
      <x:c r="C357" s="34" t="str">
        <x:v>ram price seed</x:v>
      </x:c>
      <x:c r="D357" s="34" t="str">
        <x:v>Price/reference</x:v>
      </x:c>
      <x:c r="E357" s="34" t="str">
        <x:v>retail</x:v>
      </x:c>
      <x:c r="F357" s="35" t="str">
        <x:v>2026-06-29</x:v>
      </x:c>
    </x:row>
    <x:row r="358">
      <x:c r="A358" s="33" t="str">
        <x:v>CORSAIR Vengeance RGB 32GB (2 x 16GB) 288-Pin PC RAM DDR5 6000 (PC5 48000) Desktop Memory Model CMH32GX5M2F6000Z36 price source</x:v>
      </x:c>
      <x:c r="B358" s="34" t="str">
        <x:v>https://www.newegg.ca/p/20-982-285</x:v>
      </x:c>
      <x:c r="C358" s="34" t="str">
        <x:v>ram price seed</x:v>
      </x:c>
      <x:c r="D358" s="34" t="str">
        <x:v>Price/reference</x:v>
      </x:c>
      <x:c r="E358" s="34" t="str">
        <x:v>retail</x:v>
      </x:c>
      <x:c r="F358" s="35" t="str">
        <x:v>2026-06-29</x:v>
      </x:c>
    </x:row>
    <x:row r="359">
      <x:c r="A359" s="33" t="str">
        <x:v>Team T-Force Delta RGB 32GB (2 x 16GB) 288-Pin PC RAM DDR5 6000 (PC5 48000) Desktop Memory Model FF3D532G6000HC30DC01 price source</x:v>
      </x:c>
      <x:c r="B359" s="34" t="str">
        <x:v>https://www.newegg.ca/p/20-331-845</x:v>
      </x:c>
      <x:c r="C359" s="34" t="str">
        <x:v>ram price seed</x:v>
      </x:c>
      <x:c r="D359" s="34" t="str">
        <x:v>Price/reference</x:v>
      </x:c>
      <x:c r="E359" s="34" t="str">
        <x:v>retail</x:v>
      </x:c>
      <x:c r="F359" s="35" t="str">
        <x:v>2026-06-29</x:v>
      </x:c>
    </x:row>
    <x:row r="360">
      <x:c r="A360" s="33" t="str">
        <x:v>CORSAIR Vengeance RGB 32GB (2 x 16GB) 288-Pin PC RAM DDR5 6000 (PC5 48000) Desktop Memory Model CMH32GX5M2B6000C38 price source</x:v>
      </x:c>
      <x:c r="B360" s="34" t="str">
        <x:v>https://www.newegg.ca/p/20-982-128</x:v>
      </x:c>
      <x:c r="C360" s="34" t="str">
        <x:v>ram price seed</x:v>
      </x:c>
      <x:c r="D360" s="34" t="str">
        <x:v>Price/reference</x:v>
      </x:c>
      <x:c r="E360" s="34" t="str">
        <x:v>retail</x:v>
      </x:c>
      <x:c r="F360" s="35" t="str">
        <x:v>2026-06-29</x:v>
      </x:c>
    </x:row>
    <x:row r="361">
      <x:c r="A361" s="33" t="str">
        <x:v>CORSAIR Dominator Titanium 64GB (2 x 32GB) DDR5 6000 (PC5 48000) Desktop Memory Model CMP64GX5M2B6000Z30 price source</x:v>
      </x:c>
      <x:c r="B361" s="34" t="str">
        <x:v>https://www.newegg.ca/p/20-982-101</x:v>
      </x:c>
      <x:c r="C361" s="34" t="str">
        <x:v>ram price seed</x:v>
      </x:c>
      <x:c r="D361" s="34" t="str">
        <x:v>Price/reference</x:v>
      </x:c>
      <x:c r="E361" s="34" t="str">
        <x:v>retail</x:v>
      </x:c>
      <x:c r="F361" s="35" t="str">
        <x:v>2026-06-29</x:v>
      </x:c>
    </x:row>
    <x:row r="362">
      <x:c r="A362" s="33" t="str">
        <x:v>G.SKILL Trident Z5 Neo Series AMD EXPO 32GB (2 x 16GB) 288-Pin PC RAM DDR5 6000 (PC5 48000) Desktop memory Model F5-6000J3038F16GX2-TZ5N price source</x:v>
      </x:c>
      <x:c r="B362" s="34" t="str">
        <x:v>https://www.newegg.ca/p/20-374-422</x:v>
      </x:c>
      <x:c r="C362" s="34" t="str">
        <x:v>ram price seed</x:v>
      </x:c>
      <x:c r="D362" s="34" t="str">
        <x:v>Price/reference</x:v>
      </x:c>
      <x:c r="E362" s="34" t="str">
        <x:v>retail</x:v>
      </x:c>
      <x:c r="F362" s="35" t="str">
        <x:v>2026-06-29</x:v>
      </x:c>
    </x:row>
    <x:row r="363">
      <x:c r="A363" s="33" t="str">
        <x:v>CORSAIR Vengeance RGB 32GB (2 x 16GB) 288-Pin PC RAM DDR5 6000 (PC5 48000) XMP 3.0 AMD EXPO Desktop Memory Model CMH32GX5M2B6000Z30K price source</x:v>
      </x:c>
      <x:c r="B363" s="34" t="str">
        <x:v>https://www.newegg.ca/p/20-236-909</x:v>
      </x:c>
      <x:c r="C363" s="34" t="str">
        <x:v>ram price seed</x:v>
      </x:c>
      <x:c r="D363" s="34" t="str">
        <x:v>Price/reference</x:v>
      </x:c>
      <x:c r="E363" s="34" t="str">
        <x:v>retail</x:v>
      </x:c>
      <x:c r="F363" s="35" t="str">
        <x:v>2026-06-29</x:v>
      </x:c>
    </x:row>
    <x:row r="364">
      <x:c r="A364" s="33" t="str">
        <x:v>Team T-CREATE CLASSIC 32GB (2 x 16GB) DDR5 6000 (PC5 48000) Desktop Memory Model CTCCD532G6000HC48DC01 price source</x:v>
      </x:c>
      <x:c r="B364" s="34" t="str">
        <x:v>https://www.newegg.ca/p/20-985-006</x:v>
      </x:c>
      <x:c r="C364" s="34" t="str">
        <x:v>ram price seed</x:v>
      </x:c>
      <x:c r="D364" s="34" t="str">
        <x:v>Price/reference</x:v>
      </x:c>
      <x:c r="E364" s="34" t="str">
        <x:v>retail</x:v>
      </x:c>
      <x:c r="F364" s="35" t="str">
        <x:v>2026-06-29</x:v>
      </x:c>
    </x:row>
    <x:row r="365">
      <x:c r="A365" s="33" t="str">
        <x:v>Patriot Viper Venom 32GB (2 x 16GB) 288-Pin PC RAM DDR5 6000 (PC5 48000) Desktop Memory Model PVV532G600C30K Compatible with AMD &amp; Intel Gen14 Only price source</x:v>
      </x:c>
      <x:c r="B365" s="34" t="str">
        <x:v>https://www.newegg.ca/p/20-225-334</x:v>
      </x:c>
      <x:c r="C365" s="34" t="str">
        <x:v>ram price seed</x:v>
      </x:c>
      <x:c r="D365" s="34" t="str">
        <x:v>Price/reference</x:v>
      </x:c>
      <x:c r="E365" s="34" t="str">
        <x:v>retail</x:v>
      </x:c>
      <x:c r="F365" s="35" t="str">
        <x:v>2026-06-29</x:v>
      </x:c>
    </x:row>
    <x:row r="366">
      <x:c r="A366" s="33" t="str">
        <x:v>CORSAIR Vengeance RGB 64GB (2 x 32GB) 288-Pin PC RAM DDR5 6000 (PC5 48000) Desktop Memory Model CMH64GX5M2N6000Z40 price source</x:v>
      </x:c>
      <x:c r="B366" s="34" t="str">
        <x:v>https://www.newegg.ca/p/20-982-338</x:v>
      </x:c>
      <x:c r="C366" s="34" t="str">
        <x:v>ram price seed</x:v>
      </x:c>
      <x:c r="D366" s="34" t="str">
        <x:v>Price/reference</x:v>
      </x:c>
      <x:c r="E366" s="34" t="str">
        <x:v>retail</x:v>
      </x:c>
      <x:c r="F366" s="35" t="str">
        <x:v>2026-06-29</x:v>
      </x:c>
    </x:row>
    <x:row r="367">
      <x:c r="A367" s="33" t="str">
        <x:v>CORSAIR Vengeance RGB 32GB (2 x 16GB) 288-Pin PC RAM DDR5 6000 (PC5 48000) Desktop Memory Model CMH32GX5M2N6000Z36W price source</x:v>
      </x:c>
      <x:c r="B367" s="34" t="str">
        <x:v>https://www.newegg.ca/p/20-982-337</x:v>
      </x:c>
      <x:c r="C367" s="34" t="str">
        <x:v>ram price seed</x:v>
      </x:c>
      <x:c r="D367" s="34" t="str">
        <x:v>Price/reference</x:v>
      </x:c>
      <x:c r="E367" s="34" t="str">
        <x:v>retail</x:v>
      </x:c>
      <x:c r="F367" s="35" t="str">
        <x:v>2026-06-29</x:v>
      </x:c>
    </x:row>
    <x:row r="368">
      <x:c r="A368" s="33" t="str">
        <x:v>CORSAIR Vengeance RGB 64GB (2 x 32GB) 288-Pin PC RAM DDR5 6000 (PC5 48000) Desktop Memory Model CMH64GX5M2N6000Z40W price source</x:v>
      </x:c>
      <x:c r="B368" s="34" t="str">
        <x:v>https://www.newegg.ca/p/20-982-339</x:v>
      </x:c>
      <x:c r="C368" s="34" t="str">
        <x:v>ram price seed</x:v>
      </x:c>
      <x:c r="D368" s="34" t="str">
        <x:v>Price/reference</x:v>
      </x:c>
      <x:c r="E368" s="34" t="str">
        <x:v>retail</x:v>
      </x:c>
      <x:c r="F368" s="35" t="str">
        <x:v>2026-06-29</x:v>
      </x:c>
    </x:row>
    <x:row r="369">
      <x:c r="A369" s="33" t="str">
        <x:v>CORSAIR Dominator Titanium 32GB (2 x 16GB) DDR5 6000 (PC5 48000) Desktop Memory Model CMP32GX5M2B6000Z30 price source</x:v>
      </x:c>
      <x:c r="B369" s="34" t="str">
        <x:v>https://www.newegg.ca/p/20-982-102</x:v>
      </x:c>
      <x:c r="C369" s="34" t="str">
        <x:v>ram price seed</x:v>
      </x:c>
      <x:c r="D369" s="34" t="str">
        <x:v>Price/reference</x:v>
      </x:c>
      <x:c r="E369" s="34" t="str">
        <x:v>retail</x:v>
      </x:c>
      <x:c r="F369" s="35" t="str">
        <x:v>2026-06-29</x:v>
      </x:c>
    </x:row>
    <x:row r="370">
      <x:c r="A370" s="33" t="str">
        <x:v>CORSAIR Vengeance RGB 32GB (2 x 16GB) 288-Pin PC RAM DDR5 6000 (PC5 48000) Desktop Memory Model CMH32GX5M2B6000Z28 price source</x:v>
      </x:c>
      <x:c r="B370" s="34" t="str">
        <x:v>https://www.newegg.ca/p/20-982-210</x:v>
      </x:c>
      <x:c r="C370" s="34" t="str">
        <x:v>ram price seed</x:v>
      </x:c>
      <x:c r="D370" s="34" t="str">
        <x:v>Price/reference</x:v>
      </x:c>
      <x:c r="E370" s="34" t="str">
        <x:v>retail</x:v>
      </x:c>
      <x:c r="F370" s="35" t="str">
        <x:v>2026-06-29</x:v>
      </x:c>
    </x:row>
    <x:row r="371">
      <x:c r="A371" s="33" t="str">
        <x:v>G.SKILL Ripjaws S5 Series 32GB (2 x 16GB) 288-Pin PC RAM DDR5 6000 (PC5 48000) Desktop Memory Model F5-6000J3636F16GX2-RS5K price source</x:v>
      </x:c>
      <x:c r="B371" s="34" t="str">
        <x:v>https://www.newegg.ca/p/20-374-430</x:v>
      </x:c>
      <x:c r="C371" s="34" t="str">
        <x:v>ram price seed</x:v>
      </x:c>
      <x:c r="D371" s="34" t="str">
        <x:v>Price/reference</x:v>
      </x:c>
      <x:c r="E371" s="34" t="str">
        <x:v>retail</x:v>
      </x:c>
      <x:c r="F371" s="35" t="str">
        <x:v>2026-06-29</x:v>
      </x:c>
    </x:row>
    <x:row r="372">
      <x:c r="A372" s="33" t="str">
        <x:v>CORSAIR Dominator Titanium 32GB (2 x 16GB) DDR5 6000 (PC5 48000) Desktop Memory Model CMP32GX5M2B6000C30 price source</x:v>
      </x:c>
      <x:c r="B372" s="34" t="str">
        <x:v>https://www.newegg.ca/p/20-982-097</x:v>
      </x:c>
      <x:c r="C372" s="34" t="str">
        <x:v>ram price seed</x:v>
      </x:c>
      <x:c r="D372" s="34" t="str">
        <x:v>Price/reference</x:v>
      </x:c>
      <x:c r="E372" s="34" t="str">
        <x:v>retail</x:v>
      </x:c>
      <x:c r="F372" s="35" t="str">
        <x:v>2026-06-29</x:v>
      </x:c>
    </x:row>
    <x:row r="373">
      <x:c r="A373" s="33" t="str">
        <x:v>G.SKILL Flare X5 32GB (2 x 16GB) 288-Pin PC RAM DDR5 6000 (PC5 48000) Desktop Memory Model F5-6000J3038F16GX2-FX5 price source</x:v>
      </x:c>
      <x:c r="B373" s="34" t="str">
        <x:v>https://www.newegg.ca/p/20-374-457</x:v>
      </x:c>
      <x:c r="C373" s="34" t="str">
        <x:v>ram price seed</x:v>
      </x:c>
      <x:c r="D373" s="34" t="str">
        <x:v>Price/reference</x:v>
      </x:c>
      <x:c r="E373" s="34" t="str">
        <x:v>retail</x:v>
      </x:c>
      <x:c r="F373" s="35" t="str">
        <x:v>2026-06-29</x:v>
      </x:c>
    </x:row>
    <x:row r="374">
      <x:c r="A374" s="33" t="str">
        <x:v>G.SKILL Trident Z5 RGB Series 32GB (2 x 16GB) 288-Pin PC RAM DDR5 6000 (PC5 48000) Desktop Memory Model F5-6000J3238F16GX2-TZ5RK price source</x:v>
      </x:c>
      <x:c r="B374" s="34" t="str">
        <x:v>https://www.newegg.ca/p/20-374-379</x:v>
      </x:c>
      <x:c r="C374" s="34" t="str">
        <x:v>ram price seed</x:v>
      </x:c>
      <x:c r="D374" s="34" t="str">
        <x:v>Price/reference</x:v>
      </x:c>
      <x:c r="E374" s="34" t="str">
        <x:v>retail</x:v>
      </x:c>
      <x:c r="F374" s="35" t="str">
        <x:v>2026-06-29</x:v>
      </x:c>
    </x:row>
    <x:row r="375">
      <x:c r="A375" s="33" t="str">
        <x:v>G.SKILL Flare X5 32GB (2 x 16GB) 288-Pin PC RAM DDR5 6000 (PC5 48000) Desktop Memory Model F5-6000J3038F16GH2-FX5 price source</x:v>
      </x:c>
      <x:c r="B375" s="34" t="str">
        <x:v>https://www.newegg.ca/p/20-374-783</x:v>
      </x:c>
      <x:c r="C375" s="34" t="str">
        <x:v>ram price seed</x:v>
      </x:c>
      <x:c r="D375" s="34" t="str">
        <x:v>Price/reference</x:v>
      </x:c>
      <x:c r="E375" s="34" t="str">
        <x:v>retail</x:v>
      </x:c>
      <x:c r="F375" s="35" t="str">
        <x:v>2026-06-29</x:v>
      </x:c>
    </x:row>
    <x:row r="376">
      <x:c r="A376" s="33" t="str">
        <x:v>Patriot Viper Venom RGB 32GB (2 x 16GB) 288-Pin PC RAM DDR5 6000 (PC5 48000) Desktop Memory Model PVVR532G600C36K Compatible with AMD / Intel Gen14 Only price source</x:v>
      </x:c>
      <x:c r="B376" s="34" t="str">
        <x:v>https://www.newegg.ca/p/20-225-310</x:v>
      </x:c>
      <x:c r="C376" s="34" t="str">
        <x:v>ram price seed</x:v>
      </x:c>
      <x:c r="D376" s="34" t="str">
        <x:v>Price/reference</x:v>
      </x:c>
      <x:c r="E376" s="34" t="str">
        <x:v>retail</x:v>
      </x:c>
      <x:c r="F376" s="35" t="str">
        <x:v>2026-06-29</x:v>
      </x:c>
    </x:row>
    <x:row r="377">
      <x:c r="A377" s="33" t="str">
        <x:v>CORSAIR Vengeance 32GB (2 x 16GB) DDR5 6000 (PC5 48000) Desktop Memory Model CMK32GX5M2E6000Z36 price source</x:v>
      </x:c>
      <x:c r="B377" s="34" t="str">
        <x:v>https://www.newegg.ca/p/20-982-114</x:v>
      </x:c>
      <x:c r="C377" s="34" t="str">
        <x:v>ram price seed</x:v>
      </x:c>
      <x:c r="D377" s="34" t="str">
        <x:v>Price/reference</x:v>
      </x:c>
      <x:c r="E377" s="34" t="str">
        <x:v>retail</x:v>
      </x:c>
      <x:c r="F377" s="35" t="str">
        <x:v>2026-06-29</x:v>
      </x:c>
    </x:row>
    <x:row r="378">
      <x:c r="A378" s="33" t="str">
        <x:v>G.SKILL Trident Z5 Neo RGB Series AMD EXPO 32GB (2 x 16GB) 288-Pin PC RAM DDR5 6000 (PC5 48000)  Desktop Memory Model F5-6000J3636F16GX2-TZ5NR price source</x:v>
      </x:c>
      <x:c r="B378" s="34" t="str">
        <x:v>https://www.newegg.ca/p/20-374-429</x:v>
      </x:c>
      <x:c r="C378" s="34" t="str">
        <x:v>ram price seed</x:v>
      </x:c>
      <x:c r="D378" s="34" t="str">
        <x:v>Price/reference</x:v>
      </x:c>
      <x:c r="E378" s="34" t="str">
        <x:v>retail</x:v>
      </x:c>
      <x:c r="F378" s="35" t="str">
        <x:v>2026-06-29</x:v>
      </x:c>
    </x:row>
    <x:row r="379">
      <x:c r="A379" s="33" t="str">
        <x:v>CORSAIR Vengeance RGB 32GB (2 x 16GB) 288-Pin PC RAM DDR5 6000 (PC5 48000) Desktop Memory Model CMH32GX5M2E6000Z36 price source</x:v>
      </x:c>
      <x:c r="B379" s="34" t="str">
        <x:v>https://www.newegg.ca/p/20-982-113</x:v>
      </x:c>
      <x:c r="C379" s="34" t="str">
        <x:v>ram price seed</x:v>
      </x:c>
      <x:c r="D379" s="34" t="str">
        <x:v>Price/reference</x:v>
      </x:c>
      <x:c r="E379" s="34" t="str">
        <x:v>retail</x:v>
      </x:c>
      <x:c r="F379" s="35" t="str">
        <x:v>2026-06-29</x:v>
      </x:c>
    </x:row>
    <x:row r="380">
      <x:c r="A380" s="33" t="str">
        <x:v>CORSAIR Dominator Titanium 32GB (2 x 16GB) DDR5 6000 (PC5 48000) Desktop Memory Model CMP32GX5M2B6000Z30W price source</x:v>
      </x:c>
      <x:c r="B380" s="34" t="str">
        <x:v>https://www.newegg.ca/p/20-982-258</x:v>
      </x:c>
      <x:c r="C380" s="34" t="str">
        <x:v>ram price seed</x:v>
      </x:c>
      <x:c r="D380" s="34" t="str">
        <x:v>Price/reference</x:v>
      </x:c>
      <x:c r="E380" s="34" t="str">
        <x:v>retail</x:v>
      </x:c>
      <x:c r="F380" s="35" t="str">
        <x:v>2026-06-29</x:v>
      </x:c>
    </x:row>
    <x:row r="381">
      <x:c r="A381" s="33" t="str">
        <x:v>CORSAIR Vengeance 32GB (2 x 16GB) 288-Pin PC RAM DDR5 6000 (PC5 48000) Desktop Memory Model CMK32GX5M2F6000Z36 price source</x:v>
      </x:c>
      <x:c r="B381" s="34" t="str">
        <x:v>https://www.newegg.ca/p/20-982-286</x:v>
      </x:c>
      <x:c r="C381" s="34" t="str">
        <x:v>ram price seed</x:v>
      </x:c>
      <x:c r="D381" s="34" t="str">
        <x:v>Price/reference</x:v>
      </x:c>
      <x:c r="E381" s="34" t="str">
        <x:v>retail</x:v>
      </x:c>
      <x:c r="F381" s="35" t="str">
        <x:v>2026-06-29</x:v>
      </x:c>
    </x:row>
    <x:row r="382">
      <x:c r="A382" s="33" t="str">
        <x:v>CORSAIR Vengeance RGB 32GB (2 x 16GB) 288-Pin PC RAM DDR5 6000 (PC5 48000) Desktop Memory Model CMH32GX5M2B6000C30 price source</x:v>
      </x:c>
      <x:c r="B382" s="34" t="str">
        <x:v>https://www.newegg.ca/p/20-982-008</x:v>
      </x:c>
      <x:c r="C382" s="34" t="str">
        <x:v>ram price seed</x:v>
      </x:c>
      <x:c r="D382" s="34" t="str">
        <x:v>Price/reference</x:v>
      </x:c>
      <x:c r="E382" s="34" t="str">
        <x:v>retail</x:v>
      </x:c>
      <x:c r="F382" s="35" t="str">
        <x:v>2026-06-29</x:v>
      </x:c>
    </x:row>
    <x:row r="383">
      <x:c r="A383" s="33" t="str">
        <x:v>CORSAIR Dominator Titanium 64GB (2 x 32GB) DDR5 6000 (PC5 48000) Desktop Memory Model CMP64GX5M2B6000Z30W price source</x:v>
      </x:c>
      <x:c r="B383" s="34" t="str">
        <x:v>https://www.newegg.ca/p/20-982-257</x:v>
      </x:c>
      <x:c r="C383" s="34" t="str">
        <x:v>ram price seed</x:v>
      </x:c>
      <x:c r="D383" s="34" t="str">
        <x:v>Price/reference</x:v>
      </x:c>
      <x:c r="E383" s="34" t="str">
        <x:v>retail</x:v>
      </x:c>
      <x:c r="F383" s="35" t="str">
        <x:v>2026-06-29</x:v>
      </x:c>
    </x:row>
    <x:row r="384">
      <x:c r="A384" s="33" t="str">
        <x:v>G.SKILL Trident Z5 RGB Series 32GB (2 x 16GB) 288-Pin PC RAM DDR5 6000 (PC5 48000) Desktop Memory Model F5-6000J3636F16GX2-TZ5RS price source</x:v>
      </x:c>
      <x:c r="B384" s="34" t="str">
        <x:v>https://www.newegg.ca/p/20-374-352</x:v>
      </x:c>
      <x:c r="C384" s="34" t="str">
        <x:v>ram price seed</x:v>
      </x:c>
      <x:c r="D384" s="34" t="str">
        <x:v>Price/reference</x:v>
      </x:c>
      <x:c r="E384" s="34" t="str">
        <x:v>retail</x:v>
      </x:c>
      <x:c r="F384" s="35" t="str">
        <x:v>2026-06-29</x:v>
      </x:c>
    </x:row>
    <x:row r="385">
      <x:c r="A385" s="33" t="str">
        <x:v>CORSAIR Vengeance RGB 64GB (2 x 32GB) 288-Pin PC RAM DDR5 6000 (PC5 48000) Desktop Memory Model CMH64GX5M2B6000C30W price source</x:v>
      </x:c>
      <x:c r="B385" s="34" t="str">
        <x:v>https://www.newegg.ca/p/20-982-049</x:v>
      </x:c>
      <x:c r="C385" s="34" t="str">
        <x:v>ram price seed</x:v>
      </x:c>
      <x:c r="D385" s="34" t="str">
        <x:v>Price/reference</x:v>
      </x:c>
      <x:c r="E385" s="34" t="str">
        <x:v>retail</x:v>
      </x:c>
      <x:c r="F385" s="35" t="str">
        <x:v>2026-06-29</x:v>
      </x:c>
    </x:row>
    <x:row r="386">
      <x:c r="A386" s="33" t="str">
        <x:v>Crucial Pro Overclocking 32GB (2 x 16GB) DDR5 6000 (PC5 48000) Desktop Memory Model CP2K16G60C36U5B price source</x:v>
      </x:c>
      <x:c r="B386" s="34" t="str">
        <x:v>https://www.newegg.ca/p/9SIBDHAKNH2380</x:v>
      </x:c>
      <x:c r="C386" s="34" t="str">
        <x:v>ram price seed</x:v>
      </x:c>
      <x:c r="D386" s="34" t="str">
        <x:v>Price/reference</x:v>
      </x:c>
      <x:c r="E386" s="34" t="str">
        <x:v>retail</x:v>
      </x:c>
      <x:c r="F386" s="35" t="str">
        <x:v>2026-06-29</x:v>
      </x:c>
    </x:row>
    <x:row r="387">
      <x:c r="A387" s="33" t="str">
        <x:v>CORSAIR Vengeance RGB 32GB (2 x 16GB) 288-Pin PC RAM DDR5 6000 (PC5 48000) Desktop Memory Model CMH32GX5M2E6000Z36W price source</x:v>
      </x:c>
      <x:c r="B387" s="34" t="str">
        <x:v>https://www.newegg.ca/p/20-982-237</x:v>
      </x:c>
      <x:c r="C387" s="34" t="str">
        <x:v>ram price seed</x:v>
      </x:c>
      <x:c r="D387" s="34" t="str">
        <x:v>Price/reference</x:v>
      </x:c>
      <x:c r="E387" s="34" t="str">
        <x:v>retail</x:v>
      </x:c>
      <x:c r="F387" s="35" t="str">
        <x:v>2026-06-29</x:v>
      </x:c>
    </x:row>
    <x:row r="388">
      <x:c r="A388" s="33" t="str">
        <x:v>G.SKILL Trident Z5 RGB Series 32GB (2 x 16GB) 288-Pin PC RAM DDR5 6000 (PC5 48000) Desktop Memory Model F5-6000J3040F16GX2-TZ5RS price source</x:v>
      </x:c>
      <x:c r="B388" s="34" t="str">
        <x:v>https://www.newegg.ca/p/20-374-378</x:v>
      </x:c>
      <x:c r="C388" s="34" t="str">
        <x:v>ram price seed</x:v>
      </x:c>
      <x:c r="D388" s="34" t="str">
        <x:v>Price/reference</x:v>
      </x:c>
      <x:c r="E388" s="34" t="str">
        <x:v>retail</x:v>
      </x:c>
      <x:c r="F388" s="35" t="str">
        <x:v>2026-06-29</x:v>
      </x:c>
    </x:row>
    <x:row r="389">
      <x:c r="A389" s="33" t="str">
        <x:v>Team T-CREATE EXPERT 32GB (2 x 16GB) 288-Pin PC RAM DDR5 6000 (PC5 48000) Desktop Memory Model CTCED532G6000HC38GDC01 price source</x:v>
      </x:c>
      <x:c r="B389" s="34" t="str">
        <x:v>https://www.newegg.ca/p/20-985-241</x:v>
      </x:c>
      <x:c r="C389" s="34" t="str">
        <x:v>ram price seed</x:v>
      </x:c>
      <x:c r="D389" s="34" t="str">
        <x:v>Price/reference</x:v>
      </x:c>
      <x:c r="E389" s="34" t="str">
        <x:v>retail</x:v>
      </x:c>
      <x:c r="F389" s="35" t="str">
        <x:v>2026-06-29</x:v>
      </x:c>
    </x:row>
    <x:row r="390">
      <x:c r="A390" s="33" t="str">
        <x:v>Team T-Force Delta RGB 32GB (2 x 16GB) 288-Pin PC RAM DDR5 6000 (PC5 48000) Desktop Memory Model FF3D532G6000HC38ADC01 price source</x:v>
      </x:c>
      <x:c r="B390" s="34" t="str">
        <x:v>https://www.newegg.ca/p/20-331-748</x:v>
      </x:c>
      <x:c r="C390" s="34" t="str">
        <x:v>ram price seed</x:v>
      </x:c>
      <x:c r="D390" s="34" t="str">
        <x:v>Price/reference</x:v>
      </x:c>
      <x:c r="E390" s="34" t="str">
        <x:v>retail</x:v>
      </x:c>
      <x:c r="F390" s="35" t="str">
        <x:v>2026-06-29</x:v>
      </x:c>
    </x:row>
    <x:row r="391">
      <x:c r="A391" s="33" t="str">
        <x:v>CORSAIR Vengeance 32GB (2 x 16GB) 288-Pin PC RAM DDR5 6000 (PC5 48000) Desktop Memory Model CMK32GX5M2B6000Z38 price source</x:v>
      </x:c>
      <x:c r="B391" s="34" t="str">
        <x:v>https://www.newegg.ca/p/20-982-307</x:v>
      </x:c>
      <x:c r="C391" s="34" t="str">
        <x:v>ram price seed</x:v>
      </x:c>
      <x:c r="D391" s="34" t="str">
        <x:v>Price/reference</x:v>
      </x:c>
      <x:c r="E391" s="34" t="str">
        <x:v>retail</x:v>
      </x:c>
      <x:c r="F391" s="35" t="str">
        <x:v>2026-06-29</x:v>
      </x:c>
    </x:row>
    <x:row r="392">
      <x:c r="A392" s="33" t="str">
        <x:v>G.SKILL Trident Z5 Neo Series AMD EXPO 32GB (2 x 16GB) 288-Pin PC RAM DDR5 6000 (PC5 48000) Desktop Memory Model F5-6000J3636F16GX2-TZ5N price source</x:v>
      </x:c>
      <x:c r="B392" s="34" t="str">
        <x:v>https://www.newegg.ca/p/20-374-424</x:v>
      </x:c>
      <x:c r="C392" s="34" t="str">
        <x:v>ram price seed</x:v>
      </x:c>
      <x:c r="D392" s="34" t="str">
        <x:v>Price/reference</x:v>
      </x:c>
      <x:c r="E392" s="34" t="str">
        <x:v>retail</x:v>
      </x:c>
      <x:c r="F392" s="35" t="str">
        <x:v>2026-06-29</x:v>
      </x:c>
    </x:row>
    <x:row r="393">
      <x:c r="A393" s="33" t="str">
        <x:v>G.SKILL Trident Z5 Neo RGB Series AMD EXPO 32GB (2 x 16GB) 288-Pin PC RAM DDR5 6000 (PC5 48000) Desktop Memory Model F5-6000J3038F16GH2-TZ5NR price source</x:v>
      </x:c>
      <x:c r="B393" s="34" t="str">
        <x:v>https://www.newegg.ca/p/20-374-802</x:v>
      </x:c>
      <x:c r="C393" s="34" t="str">
        <x:v>ram price seed</x:v>
      </x:c>
      <x:c r="D393" s="34" t="str">
        <x:v>Price/reference</x:v>
      </x:c>
      <x:c r="E393" s="34" t="str">
        <x:v>retail</x:v>
      </x:c>
      <x:c r="F393" s="35" t="str">
        <x:v>2026-06-29</x:v>
      </x:c>
    </x:row>
    <x:row r="394">
      <x:c r="A394" s="33" t="str">
        <x:v>G.SKILL Trident Z5 Royal Neo Series 32GB (2 x 16GB) 288-Pin PC RAM DDR5 6000 (PC5 48000) Desktop Memory Model F5-6000J2836G16GX2-TR5NS price source</x:v>
      </x:c>
      <x:c r="B394" s="34" t="str">
        <x:v>https://www.newegg.ca/p/20-374-614</x:v>
      </x:c>
      <x:c r="C394" s="34" t="str">
        <x:v>ram price seed</x:v>
      </x:c>
      <x:c r="D394" s="34" t="str">
        <x:v>Price/reference</x:v>
      </x:c>
      <x:c r="E394" s="34" t="str">
        <x:v>retail</x:v>
      </x:c>
      <x:c r="F394" s="35" t="str">
        <x:v>2026-06-29</x:v>
      </x:c>
    </x:row>
    <x:row r="395">
      <x:c r="A395" s="33" t="str">
        <x:v>Team T-Force Delta RGB 32GB (2 x 16GB) 288-Pin PC RAM DDR5 6000 (PC5 48000) Desktop Memory Model FF4D532G6000HC38JDC01 price source</x:v>
      </x:c>
      <x:c r="B395" s="34" t="str">
        <x:v>https://www.newegg.ca/p/20-985-222</x:v>
      </x:c>
      <x:c r="C395" s="34" t="str">
        <x:v>ram price seed</x:v>
      </x:c>
      <x:c r="D395" s="34" t="str">
        <x:v>Price/reference</x:v>
      </x:c>
      <x:c r="E395" s="34" t="str">
        <x:v>retail</x:v>
      </x:c>
      <x:c r="F395" s="35" t="str">
        <x:v>2026-06-29</x:v>
      </x:c>
    </x:row>
    <x:row r="396">
      <x:c r="A396" s="33" t="str">
        <x:v>CORSAIR Dominator Titanium 64GB (2 x 32GB) DDR5 6000 (PC5 48000) Desktop Memory Model CMP64GX5M2B6000C30W price source</x:v>
      </x:c>
      <x:c r="B396" s="34" t="str">
        <x:v>https://www.newegg.ca/p/20-982-093</x:v>
      </x:c>
      <x:c r="C396" s="34" t="str">
        <x:v>ram price seed</x:v>
      </x:c>
      <x:c r="D396" s="34" t="str">
        <x:v>Price/reference</x:v>
      </x:c>
      <x:c r="E396" s="34" t="str">
        <x:v>retail</x:v>
      </x:c>
      <x:c r="F396" s="35" t="str">
        <x:v>2026-06-29</x:v>
      </x:c>
    </x:row>
    <x:row r="397">
      <x:c r="A397" s="33" t="str">
        <x:v>CORSAIR Vengeance RGB 32GB (2 x 16GB) 288-Pin PC RAM DDR5 6000 (PC5 48000) Desktop Memory Model CMH32GX5M2B6000C30W price source</x:v>
      </x:c>
      <x:c r="B397" s="34" t="str">
        <x:v>https://www.newegg.ca/p/20-982-045</x:v>
      </x:c>
      <x:c r="C397" s="34" t="str">
        <x:v>ram price seed</x:v>
      </x:c>
      <x:c r="D397" s="34" t="str">
        <x:v>Price/reference</x:v>
      </x:c>
      <x:c r="E397" s="34" t="str">
        <x:v>retail</x:v>
      </x:c>
      <x:c r="F397" s="35" t="str">
        <x:v>2026-06-29</x:v>
      </x:c>
    </x:row>
    <x:row r="398">
      <x:c r="A398" s="33" t="str">
        <x:v>Team T-Force Delta RGB 32GB (2 x 16GB) 288-Pin PC RAM DDR5 6000 (PC5 48000) Desktop Memory Model FF3D532G6000HC38JDC01 price source</x:v>
      </x:c>
      <x:c r="B398" s="34" t="str">
        <x:v>https://www.newegg.ca/p/20-985-218</x:v>
      </x:c>
      <x:c r="C398" s="34" t="str">
        <x:v>ram price seed</x:v>
      </x:c>
      <x:c r="D398" s="34" t="str">
        <x:v>Price/reference</x:v>
      </x:c>
      <x:c r="E398" s="34" t="str">
        <x:v>retail</x:v>
      </x:c>
      <x:c r="F398" s="35" t="str">
        <x:v>2026-06-29</x:v>
      </x:c>
    </x:row>
    <x:row r="399">
      <x:c r="A399" s="33" t="str">
        <x:v>CORSAIR Dominator Platinum RGB 64GB (2 x 32GB) DDR5 6000 (PC5 48000) Desktop Memory Model CMT64GX5M2B6000Z30 price source</x:v>
      </x:c>
      <x:c r="B399" s="34" t="str">
        <x:v>https://www.newegg.ca/p/20-982-026</x:v>
      </x:c>
      <x:c r="C399" s="34" t="str">
        <x:v>ram price seed</x:v>
      </x:c>
      <x:c r="D399" s="34" t="str">
        <x:v>Price/reference</x:v>
      </x:c>
      <x:c r="E399" s="34" t="str">
        <x:v>retail</x:v>
      </x:c>
      <x:c r="F399" s="35" t="str">
        <x:v>2026-06-29</x:v>
      </x:c>
    </x:row>
    <x:row r="400">
      <x:c r="A400" s="33" t="str">
        <x:v>Patriot Viper Elite 5 Ultra 32GB (2 x 16GB) 288-Pin PC RAM DDR5 6000 (PC5 48000) Desktop Memory Model VEUR532G6028K price source</x:v>
      </x:c>
      <x:c r="B400" s="34" t="str">
        <x:v>https://www.newegg.ca/p/20-225-348</x:v>
      </x:c>
      <x:c r="C400" s="34" t="str">
        <x:v>ram price seed</x:v>
      </x:c>
      <x:c r="D400" s="34" t="str">
        <x:v>Price/reference</x:v>
      </x:c>
      <x:c r="E400" s="34" t="str">
        <x:v>retail</x:v>
      </x:c>
      <x:c r="F400" s="35" t="str">
        <x:v>2026-06-29</x:v>
      </x:c>
    </x:row>
    <x:row r="401">
      <x:c r="A401" s="33" t="str">
        <x:v>CORSAIR Vengeance RGB 32GB (2 x 16GB) 288-Pin PC RAM DDR5 6000 (PC5 48000) Desktop Memory Model CMH32GX5M2B6000C28 price source</x:v>
      </x:c>
      <x:c r="B401" s="34" t="str">
        <x:v>https://www.newegg.ca/p/20-982-209</x:v>
      </x:c>
      <x:c r="C401" s="34" t="str">
        <x:v>ram price seed</x:v>
      </x:c>
      <x:c r="D401" s="34" t="str">
        <x:v>Price/reference</x:v>
      </x:c>
      <x:c r="E401" s="34" t="str">
        <x:v>retail</x:v>
      </x:c>
      <x:c r="F401" s="35" t="str">
        <x:v>2026-06-29</x:v>
      </x:c>
    </x:row>
    <x:row r="402">
      <x:c r="A402" s="33" t="str">
        <x:v>TEAMGROUP T-FORCE VULCAN 32GB (2x16GB) DDR5 6000MHz CL30 UDIMM price source</x:v>
      </x:c>
      <x:c r="B402" s="34" t="str">
        <x:v>https://www.canadacomputers.com/en/desktop-memory/246328/teamgroup-t-force-vulcan-32gb-2x16gb-ddr5-6000mhz-cl30-udimm-flbd532g6000hc30dc01.html</x:v>
      </x:c>
      <x:c r="C402" s="34" t="str">
        <x:v>ram price seed</x:v>
      </x:c>
      <x:c r="D402" s="34" t="str">
        <x:v>Price/reference</x:v>
      </x:c>
      <x:c r="E402" s="34" t="str">
        <x:v>retail</x:v>
      </x:c>
      <x:c r="F402" s="35" t="str">
        <x:v>2026-06-29</x:v>
      </x:c>
    </x:row>
    <x:row r="403">
      <x:c r="A403" s="33" t="str">
        <x:v>CORSAIR VENGEANCE RGB 32GB (2x16GB) DDR5 6000MHz CL36 UDIMM price source</x:v>
      </x:c>
      <x:c r="B403" s="34" t="str">
        <x:v>https://www.canadacomputers.com/en/desktop-memory/255807/corsair-vengeance-rgb-32gb-2x16gb-ddr5-6000mhz-cl36-udimm-cmh32gx5m2e6000z36.html</x:v>
      </x:c>
      <x:c r="C403" s="34" t="str">
        <x:v>ram price seed</x:v>
      </x:c>
      <x:c r="D403" s="34" t="str">
        <x:v>Price/reference</x:v>
      </x:c>
      <x:c r="E403" s="34" t="str">
        <x:v>retail</x:v>
      </x:c>
      <x:c r="F403" s="35" t="str">
        <x:v>2026-06-29</x:v>
      </x:c>
    </x:row>
    <x:row r="404">
      <x:c r="A404" s="33" t="str">
        <x:v>G.SKILL Trident Z5 Neo RGB 32GB (2x16GB) DDR5 6000MHz CL30 UDIMM price source</x:v>
      </x:c>
      <x:c r="B404" s="34" t="str">
        <x:v>https://www.canadacomputers.com/en/desktop-memory/227127/g-skill-trident-z5-neo-rgb-32gb-2x16gb-ddr5-6000mhz-cl30-udimm-f5-6000j3038f16gx2-tz5nr.html</x:v>
      </x:c>
      <x:c r="C404" s="34" t="str">
        <x:v>ram price seed</x:v>
      </x:c>
      <x:c r="D404" s="34" t="str">
        <x:v>Price/reference</x:v>
      </x:c>
      <x:c r="E404" s="34" t="str">
        <x:v>retail</x:v>
      </x:c>
      <x:c r="F404" s="35" t="str">
        <x:v>2026-06-29</x:v>
      </x:c>
    </x:row>
    <x:row r="405">
      <x:c r="A405" s="33" t="str">
        <x:v>CORSAIR VENGEANCE RGB 64GB (2x32GB) DDR5 6000MHz CL30 UDIMM price source</x:v>
      </x:c>
      <x:c r="B405" s="34" t="str">
        <x:v>https://www.canadacomputers.com/en/desktop-memory/255811/corsair-vengeance-rgb-64gb-2x32gb-ddr5-6000mhz-cl30-udimm-cmh64gx5m2b6000z30.html</x:v>
      </x:c>
      <x:c r="C405" s="34" t="str">
        <x:v>ram price seed</x:v>
      </x:c>
      <x:c r="D405" s="34" t="str">
        <x:v>Price/reference</x:v>
      </x:c>
      <x:c r="E405" s="34" t="str">
        <x:v>retail</x:v>
      </x:c>
      <x:c r="F405" s="35" t="str">
        <x:v>2026-06-29</x:v>
      </x:c>
    </x:row>
    <x:row r="406">
      <x:c r="A406" s="33" t="str">
        <x:v>G.SKILL Trident Z5 Neo RGB 64GB (2x32GB) DDR5 6000MHz CL30 UDIMM price source</x:v>
      </x:c>
      <x:c r="B406" s="34" t="str">
        <x:v>https://www.canadacomputers.com/en/desktop-memory/231617/g-skill-trident-z5-neo-rgb-64gb-2x32gb-ddr5-6000mhz-cl30-udimm-f5-6000j3040g32gx2-tz5nr.html</x:v>
      </x:c>
      <x:c r="C406" s="34" t="str">
        <x:v>ram price seed</x:v>
      </x:c>
      <x:c r="D406" s="34" t="str">
        <x:v>Price/reference</x:v>
      </x:c>
      <x:c r="E406" s="34" t="str">
        <x:v>retail</x:v>
      </x:c>
      <x:c r="F406" s="35" t="str">
        <x:v>2026-06-29</x:v>
      </x:c>
    </x:row>
    <x:row r="407">
      <x:c r="A407" s="33" t="str">
        <x:v>Kingston FURY Beast 64GB (2x32GB) DDR5 6000MHz CL30 UDIMM price source</x:v>
      </x:c>
      <x:c r="B407" s="34" t="str">
        <x:v>https://www.canadacomputers.com/en/desktop-memory/254660/kingston-fury-beast-64gb-2x32gb-ddr5-6000mhz-cl30-udimm-kf560c30bbek2-64.html</x:v>
      </x:c>
      <x:c r="C407" s="34" t="str">
        <x:v>ram price seed</x:v>
      </x:c>
      <x:c r="D407" s="34" t="str">
        <x:v>Price/reference</x:v>
      </x:c>
      <x:c r="E407" s="34" t="str">
        <x:v>retail</x:v>
      </x:c>
      <x:c r="F407" s="35" t="str">
        <x:v>2026-06-29</x:v>
      </x:c>
    </x:row>
    <x:row r="408">
      <x:c r="A408" s="33" t="str">
        <x:v>G.SKILL Flare X5 64GB (2x32GB) DDR5 6000MHz CL30 UDIMM price source</x:v>
      </x:c>
      <x:c r="B408" s="34" t="str">
        <x:v>https://www.canadacomputers.com/en/desktop-memory/251531/g-skill-flare-x5-64gb-2x32gb-ddr5-6000mhz-cl30-udimm-f5-6000j3040g32gx2-fx5.html</x:v>
      </x:c>
      <x:c r="C408" s="34" t="str">
        <x:v>ram price seed</x:v>
      </x:c>
      <x:c r="D408" s="34" t="str">
        <x:v>Price/reference</x:v>
      </x:c>
      <x:c r="E408" s="34" t="str">
        <x:v>retail</x:v>
      </x:c>
      <x:c r="F408" s="35" t="str">
        <x:v>2026-06-29</x:v>
      </x:c>
    </x:row>
    <x:row r="409">
      <x:c r="A409" s="33" t="str">
        <x:v>TEAMGROUP T-FORCE DELTA RGB 32GB (2x16GB) DDR5 6400MHz CL32 UDIMM price source</x:v>
      </x:c>
      <x:c r="B409" s="34" t="str">
        <x:v>https://www.canadacomputers.com/en/desktop-memory/249815/teamgroup-t-force-delta-rgb-32gb-2x16gb-ddr5-6400mhz-cl32-udimm-ff4d532g6400hc32adc01.html</x:v>
      </x:c>
      <x:c r="C409" s="34" t="str">
        <x:v>ram price seed</x:v>
      </x:c>
      <x:c r="D409" s="34" t="str">
        <x:v>Price/reference</x:v>
      </x:c>
      <x:c r="E409" s="34" t="str">
        <x:v>retail</x:v>
      </x:c>
      <x:c r="F409" s="35" t="str">
        <x:v>2026-06-29</x:v>
      </x:c>
    </x:row>
    <x:row r="410">
      <x:c r="A410" s="33" t="str">
        <x:v>CORSAIR VENGEANCE RGB 32GB (2x16GB) DDR5 6400MHz CL32 UDIMM price source</x:v>
      </x:c>
      <x:c r="B410" s="34" t="str">
        <x:v>https://www.canadacomputers.com/en/desktop-memory/262507/corsair-vengeance-rgb-32gb-2x16gb-ddr5-6400mhz-cl32-udimm-cmh32gx5m2b6400z32.html</x:v>
      </x:c>
      <x:c r="C410" s="34" t="str">
        <x:v>ram price seed</x:v>
      </x:c>
      <x:c r="D410" s="34" t="str">
        <x:v>Price/reference</x:v>
      </x:c>
      <x:c r="E410" s="34" t="str">
        <x:v>retail</x:v>
      </x:c>
      <x:c r="F410" s="35" t="str">
        <x:v>2026-06-29</x:v>
      </x:c>
    </x:row>
    <x:row r="411">
      <x:c r="A411" s="33" t="str">
        <x:v>G.SKILL Trident Z5 Neo RGB 32GB (2x16GB) DDR5 6400MHz CL30 UDIMM price source</x:v>
      </x:c>
      <x:c r="B411" s="34" t="str">
        <x:v>https://www.canadacomputers.com/en/desktop-memory/267651/g-skill-trident-z5-neo-rgb-32gb-2x16gb-ddr5-6400mhz-cl30-udimm-f5-6400j3039g16gx2-tz5nr.html</x:v>
      </x:c>
      <x:c r="C411" s="34" t="str">
        <x:v>ram price seed</x:v>
      </x:c>
      <x:c r="D411" s="34" t="str">
        <x:v>Price/reference</x:v>
      </x:c>
      <x:c r="E411" s="34" t="str">
        <x:v>retail</x:v>
      </x:c>
      <x:c r="F411" s="35" t="str">
        <x:v>2026-06-29</x:v>
      </x:c>
    </x:row>
    <x:row r="412">
      <x:c r="A412" s="33" t="str">
        <x:v>G.SKILL Trident Z5 RGB 64GB (2x32GB) DDR5 6400MHz CL32 UDIMM price source</x:v>
      </x:c>
      <x:c r="B412" s="34" t="str">
        <x:v>https://www.canadacomputers.com/en/desktop-memory/230350/g-skill-trident-z5-rgb-64gb-2x32gb-ddr5-6400mhz-cl32-udimm-f5-6400j3239g32gx2-tz5rk.html</x:v>
      </x:c>
      <x:c r="C412" s="34" t="str">
        <x:v>ram price seed</x:v>
      </x:c>
      <x:c r="D412" s="34" t="str">
        <x:v>Price/reference</x:v>
      </x:c>
      <x:c r="E412" s="34" t="str">
        <x:v>retail</x:v>
      </x:c>
      <x:c r="F412" s="35" t="str">
        <x:v>2026-06-29</x:v>
      </x:c>
    </x:row>
    <x:row r="413">
      <x:c r="A413" s="33" t="str">
        <x:v>CORSAIR VENGEANCE 64GB (2x32GB) DDR5 6400MHz CL32 UDIMM price source</x:v>
      </x:c>
      <x:c r="B413" s="34" t="str">
        <x:v>https://www.canadacomputers.com/en/desktop-memory/236033/corsair-vengeance-64gb-2x32gb-ddr5-6400mhz-cl32-udimm-cmk64gx5m2b6400c32.html</x:v>
      </x:c>
      <x:c r="C413" s="34" t="str">
        <x:v>ram price seed</x:v>
      </x:c>
      <x:c r="D413" s="34" t="str">
        <x:v>Price/reference</x:v>
      </x:c>
      <x:c r="E413" s="34" t="str">
        <x:v>retail</x:v>
      </x:c>
      <x:c r="F413" s="35" t="str">
        <x:v>2026-06-29</x:v>
      </x:c>
    </x:row>
    <x:row r="414">
      <x:c r="A414" s="33" t="str">
        <x:v>Kingston FURY Beast RGB 64GB (2x32GB) DDR5 6400MHz CL32 UDIMM price source</x:v>
      </x:c>
      <x:c r="B414" s="34" t="str">
        <x:v>https://www.canadacomputers.com/en/desktop-memory/254666/kingston-fury-beast-rgb-64gb-2x32gb-ddr5-6400mhz-cl32-udimm-kf564c32bbeak2-64.html</x:v>
      </x:c>
      <x:c r="C414" s="34" t="str">
        <x:v>ram price seed</x:v>
      </x:c>
      <x:c r="D414" s="34" t="str">
        <x:v>Price/reference</x:v>
      </x:c>
      <x:c r="E414" s="34" t="str">
        <x:v>retail</x:v>
      </x:c>
      <x:c r="F414" s="35" t="str">
        <x:v>2026-06-29</x:v>
      </x:c>
    </x:row>
    <x:row r="415">
      <x:c r="A415" s="33" t="str">
        <x:v>CORSAIR VENGEANCE RGB 64GB (2x32GB) DDR5 6400MHz CL32 UDIMM price source</x:v>
      </x:c>
      <x:c r="B415" s="34" t="str">
        <x:v>https://www.canadacomputers.com/en/desktop-memory/239732/corsair-vengeance-rgb-64gb-2x32gb-ddr5-6400mhz-cl32-udimm-cmh64gx5m2b6400c32.html</x:v>
      </x:c>
      <x:c r="C415" s="34" t="str">
        <x:v>ram price seed</x:v>
      </x:c>
      <x:c r="D415" s="34" t="str">
        <x:v>Price/reference</x:v>
      </x:c>
      <x:c r="E415" s="34" t="str">
        <x:v>retail</x:v>
      </x:c>
      <x:c r="F415" s="35" t="str">
        <x:v>2026-06-29</x:v>
      </x:c>
    </x:row>
    <x:row r="416">
      <x:c r="A416" s="33" t="str">
        <x:v>G.SKILL Trident Z5 Royal RGB 32GB (2x16GB) DDR5 7200MHz CL34 UDIMM price source</x:v>
      </x:c>
      <x:c r="B416" s="34" t="str">
        <x:v>https://www.canadacomputers.com/en/desktop-memory/257623/g-skill-trident-z5-royal-rgb-32gb-2x16gb-ddr5-7200mhz-cl34-udimm-f5-7200j3445g16gx2-tr5s.html</x:v>
      </x:c>
      <x:c r="C416" s="34" t="str">
        <x:v>ram price seed</x:v>
      </x:c>
      <x:c r="D416" s="34" t="str">
        <x:v>Price/reference</x:v>
      </x:c>
      <x:c r="E416" s="34" t="str">
        <x:v>retail</x:v>
      </x:c>
      <x:c r="F416" s="35" t="str">
        <x:v>2026-06-29</x:v>
      </x:c>
    </x:row>
    <x:row r="417">
      <x:c r="A417" s="33" t="str">
        <x:v>CORSAIR VENGEANCE 96GB (2x48GB) DDR5 5600MHz CL40 UDIMM price source</x:v>
      </x:c>
      <x:c r="B417" s="34" t="str">
        <x:v>https://www.canadacomputers.com/en/desktop-memory/236425/corsair-vengeance-96gb-2x48gb-ddr5-5600mhz-cl40-udimm-cmk96gx5m2b5600c40.html</x:v>
      </x:c>
      <x:c r="C417" s="34" t="str">
        <x:v>ram price seed</x:v>
      </x:c>
      <x:c r="D417" s="34" t="str">
        <x:v>Price/reference</x:v>
      </x:c>
      <x:c r="E417" s="34" t="str">
        <x:v>retail</x:v>
      </x:c>
      <x:c r="F417" s="35" t="str">
        <x:v>2026-06-29</x:v>
      </x:c>
    </x:row>
    <x:row r="418">
      <x:c r="A418" s="33" t="str">
        <x:v>CORSAIR VENGEANCE RGB 96GB (2x48GB) DDR5 5600MHz CL40 UDIMM price source</x:v>
      </x:c>
      <x:c r="B418" s="34" t="str">
        <x:v>https://www.canadacomputers.com/en/desktop-memory/236421/corsair-vengeance-rgb-96gb-2x48gb-ddr5-5600mhz-cl40-udimm-cmh96gx5m2b5600c40.html</x:v>
      </x:c>
      <x:c r="C418" s="34" t="str">
        <x:v>ram price seed</x:v>
      </x:c>
      <x:c r="D418" s="34" t="str">
        <x:v>Price/reference</x:v>
      </x:c>
      <x:c r="E418" s="34" t="str">
        <x:v>retail</x:v>
      </x:c>
      <x:c r="F418" s="35" t="str">
        <x:v>2026-06-29</x:v>
      </x:c>
    </x:row>
    <x:row r="419">
      <x:c r="A419" s="33" t="str">
        <x:v>Kingston FURY Beast 128GB (2x64GB) DDR5 5600MHz CL36 UDIMM price source</x:v>
      </x:c>
      <x:c r="B419" s="34" t="str">
        <x:v>https://www.canadacomputers.com/en/desktop-memory/273075/kingston-fury-beast-128gb-2x64gb-ddr5-5600mhz-cl36-udimm-kf556c36bbek2-128.html</x:v>
      </x:c>
      <x:c r="C419" s="34" t="str">
        <x:v>ram price seed</x:v>
      </x:c>
      <x:c r="D419" s="34" t="str">
        <x:v>Price/reference</x:v>
      </x:c>
      <x:c r="E419" s="34" t="str">
        <x:v>retail</x:v>
      </x:c>
      <x:c r="F419" s="35" t="str">
        <x:v>2026-06-29</x:v>
      </x:c>
    </x:row>
    <x:row r="420">
      <x:c r="A420" s="33" t="str">
        <x:v>Samsung 9100 Pro 2TB</x:v>
      </x:c>
      <x:c r="B420" s="34" t="str">
        <x:v>https://www.samsung.com/us/memory-storage/nvme-ssd/9100-pro-nvme-ssd-sku-mz-vap2t0b-am/</x:v>
      </x:c>
      <x:c r="C420" s="34" t="str">
        <x:v>storage specifications</x:v>
      </x:c>
      <x:c r="D420" s="34" t="str">
        <x:v>Manufacturer/specification</x:v>
      </x:c>
      <x:c r="E420" s="34" t="str">
        <x:v>msrp</x:v>
      </x:c>
      <x:c r="F420" s="35" t="str">
        <x:v>2026-06-28</x:v>
      </x:c>
    </x:row>
    <x:row r="421">
      <x:c r="A421" s="33" t="str">
        <x:v>Samsung 9100 Pro 4TB price source</x:v>
      </x:c>
      <x:c r="B421" s="34" t="str">
        <x:v>https://image-us.samsung.com/SamsungUS/business/solutions/industries/government/msrp-price-sheets/10092025/Samsung-Memory_Storage-MSRP-Price-File-%28September-2025%29.pdf</x:v>
      </x:c>
      <x:c r="C421" s="34" t="str">
        <x:v>storage price seed</x:v>
      </x:c>
      <x:c r="D421" s="34" t="str">
        <x:v>Price/reference</x:v>
      </x:c>
      <x:c r="E421" s="34" t="str">
        <x:v>msrp</x:v>
      </x:c>
      <x:c r="F421" s="35" t="str">
        <x:v>2026-06-28</x:v>
      </x:c>
    </x:row>
    <x:row r="422">
      <x:c r="A422" s="33" t="str">
        <x:v>Crucial T710 2TB price source</x:v>
      </x:c>
      <x:c r="B422" s="34" t="str">
        <x:v>https://www.crucial.com/ssd/t710/ct2000t710ssd8</x:v>
      </x:c>
      <x:c r="C422" s="34" t="str">
        <x:v>storage price seed</x:v>
      </x:c>
      <x:c r="D422" s="34" t="str">
        <x:v>Price/reference</x:v>
      </x:c>
      <x:c r="E422" s="34" t="str">
        <x:v>reference</x:v>
      </x:c>
      <x:c r="F422" s="35" t="str">
        <x:v>2026-06-28</x:v>
      </x:c>
    </x:row>
    <x:row r="423">
      <x:c r="A423" s="33" t="str">
        <x:v>Samsung 970 Evo Plus price source</x:v>
      </x:c>
      <x:c r="B423" s="34" t="str">
        <x:v>https://fr.pcpartpicker.com/product/Zxw7YJ/samsung-970-evo-plus-1-tb-m2-2280-nvme-solid-state-drive-mz-v7s1t0bam</x:v>
      </x:c>
      <x:c r="C423" s="34" t="str">
        <x:v>storage price seed</x:v>
      </x:c>
      <x:c r="D423" s="34" t="str">
        <x:v>Price/reference</x:v>
      </x:c>
      <x:c r="E423" s="34" t="str">
        <x:v>reference</x:v>
      </x:c>
      <x:c r="F423" s="35" t="str">
        <x:v>2026-06-28</x:v>
      </x:c>
    </x:row>
    <x:row r="424">
      <x:c r="A424" s="33" t="str">
        <x:v>Samsung 980 Pro price source</x:v>
      </x:c>
      <x:c r="B424" s="34" t="str">
        <x:v>https://fr.pcpartpicker.com/product/f3cRsY/samsung-980-pro-2-tb-m2-2280-nvme-solid-state-drive-mz-v8p2t0bam</x:v>
      </x:c>
      <x:c r="C424" s="34" t="str">
        <x:v>storage price seed</x:v>
      </x:c>
      <x:c r="D424" s="34" t="str">
        <x:v>Price/reference</x:v>
      </x:c>
      <x:c r="E424" s="34" t="str">
        <x:v>reference</x:v>
      </x:c>
      <x:c r="F424" s="35" t="str">
        <x:v>2026-06-28</x:v>
      </x:c>
    </x:row>
    <x:row r="425">
      <x:c r="A425" s="33" t="str">
        <x:v>Samsung 990 Pro price source</x:v>
      </x:c>
      <x:c r="B425" s="34" t="str">
        <x:v>https://fr.pcpartpicker.com/product/34ytt6/samsung-990-pro-2-tb-m2-2280-pcie-40-x4-nvme-solid-state-drive-mz-v9p2t0bw</x:v>
      </x:c>
      <x:c r="C425" s="34" t="str">
        <x:v>storage price seed</x:v>
      </x:c>
      <x:c r="D425" s="34" t="str">
        <x:v>Price/reference</x:v>
      </x:c>
      <x:c r="E425" s="34" t="str">
        <x:v>reference</x:v>
      </x:c>
      <x:c r="F425" s="35" t="str">
        <x:v>2026-06-28</x:v>
      </x:c>
    </x:row>
    <x:row r="426">
      <x:c r="A426" s="33" t="str">
        <x:v>Kingston SSDNow V300 price source</x:v>
      </x:c>
      <x:c r="B426" s="34" t="str">
        <x:v>https://fr.pcpartpicker.com/product/rtzv6h/kingston-internal-hard-drive-sv300s37a120g</x:v>
      </x:c>
      <x:c r="C426" s="34" t="str">
        <x:v>storage price seed</x:v>
      </x:c>
      <x:c r="D426" s="34" t="str">
        <x:v>Price/reference</x:v>
      </x:c>
      <x:c r="E426" s="34" t="str">
        <x:v>reference</x:v>
      </x:c>
      <x:c r="F426" s="35" t="str">
        <x:v>2026-06-28</x:v>
      </x:c>
    </x:row>
    <x:row r="427">
      <x:c r="A427" s="33" t="str">
        <x:v>Western Digital WD_Black SN850X price source</x:v>
      </x:c>
      <x:c r="B427" s="34" t="str">
        <x:v>https://fr.pcpartpicker.com/product/crKKHx/western-digital-wd_black-sn850x-2-tb-m2-2280-pcie-40-x4-nvme-solid-state-drive-wds200t2x0e</x:v>
      </x:c>
      <x:c r="C427" s="34" t="str">
        <x:v>storage price seed</x:v>
      </x:c>
      <x:c r="D427" s="34" t="str">
        <x:v>Price/reference</x:v>
      </x:c>
      <x:c r="E427" s="34" t="str">
        <x:v>reference</x:v>
      </x:c>
      <x:c r="F427" s="35" t="str">
        <x:v>2026-06-28</x:v>
      </x:c>
    </x:row>
    <x:row r="428">
      <x:c r="A428" s="33" t="str">
        <x:v>Western Digital Blue SN550 price source</x:v>
      </x:c>
      <x:c r="B428" s="34" t="str">
        <x:v>https://fr.pcpartpicker.com/product/BhmFf7/western-digital-blue-sn550-1-tb-m2-2280-nvme-solid-state-drive-wds100t2b0c</x:v>
      </x:c>
      <x:c r="C428" s="34" t="str">
        <x:v>storage price seed</x:v>
      </x:c>
      <x:c r="D428" s="34" t="str">
        <x:v>Price/reference</x:v>
      </x:c>
      <x:c r="E428" s="34" t="str">
        <x:v>reference</x:v>
      </x:c>
      <x:c r="F428" s="35" t="str">
        <x:v>2026-06-28</x:v>
      </x:c>
    </x:row>
    <x:row r="429">
      <x:c r="A429" s="33" t="str">
        <x:v>Crucial MX500 price source</x:v>
      </x:c>
      <x:c r="B429" s="34" t="str">
        <x:v>https://fr.pcpartpicker.com/product/h3tQzy/crucial-mx500-1tb-25-solid-state-drive-ct1000mx500ssd1</x:v>
      </x:c>
      <x:c r="C429" s="34" t="str">
        <x:v>storage price seed</x:v>
      </x:c>
      <x:c r="D429" s="34" t="str">
        <x:v>Price/reference</x:v>
      </x:c>
      <x:c r="E429" s="34" t="str">
        <x:v>reference</x:v>
      </x:c>
      <x:c r="F429" s="35" t="str">
        <x:v>2026-06-28</x:v>
      </x:c>
    </x:row>
    <x:row r="430">
      <x:c r="A430" s="33" t="str">
        <x:v>Western Digital Black SN770 price source</x:v>
      </x:c>
      <x:c r="B430" s="34" t="str">
        <x:v>https://fr.pcpartpicker.com/product/YVytt6/western-digital-1-tb-m2-2280-nvme-solid-state-drive-wds100t3x0e</x:v>
      </x:c>
      <x:c r="C430" s="34" t="str">
        <x:v>storage price seed</x:v>
      </x:c>
      <x:c r="D430" s="34" t="str">
        <x:v>Price/reference</x:v>
      </x:c>
      <x:c r="E430" s="34" t="str">
        <x:v>reference</x:v>
      </x:c>
      <x:c r="F430" s="35" t="str">
        <x:v>2026-06-28</x:v>
      </x:c>
    </x:row>
    <x:row r="431">
      <x:c r="A431" s="33" t="str">
        <x:v>Intel 660p price source</x:v>
      </x:c>
      <x:c r="B431" s="34" t="str">
        <x:v>https://fr.pcpartpicker.com/product/9nhKHx/intel-660p-series-1tb-m2-2280-solid-state-drive-ssdpeknw010t8x1</x:v>
      </x:c>
      <x:c r="C431" s="34" t="str">
        <x:v>storage price seed</x:v>
      </x:c>
      <x:c r="D431" s="34" t="str">
        <x:v>Price/reference</x:v>
      </x:c>
      <x:c r="E431" s="34" t="str">
        <x:v>reference</x:v>
      </x:c>
      <x:c r="F431" s="35" t="str">
        <x:v>2026-06-28</x:v>
      </x:c>
    </x:row>
    <x:row r="432">
      <x:c r="A432" s="33" t="str">
        <x:v>Kingston A400 price source</x:v>
      </x:c>
      <x:c r="B432" s="34" t="str">
        <x:v>https://fr.pcpartpicker.com/product/btDzK8/kingston-a400-240gb-25-solid-state-drive-sa400s37240g</x:v>
      </x:c>
      <x:c r="C432" s="34" t="str">
        <x:v>storage price seed</x:v>
      </x:c>
      <x:c r="D432" s="34" t="str">
        <x:v>Price/reference</x:v>
      </x:c>
      <x:c r="E432" s="34" t="str">
        <x:v>reference</x:v>
      </x:c>
      <x:c r="F432" s="35" t="str">
        <x:v>2026-06-28</x:v>
      </x:c>
    </x:row>
    <x:row r="433">
      <x:c r="A433" s="33" t="str">
        <x:v>Crucial P3 Plus price source</x:v>
      </x:c>
      <x:c r="B433" s="34" t="str">
        <x:v>https://fr.pcpartpicker.com/product/yGZ9TW/crucial-p3-plus-2-tb-m2-2280-nvme-solid-state-drive-ct2000p3pssd8</x:v>
      </x:c>
      <x:c r="C433" s="34" t="str">
        <x:v>storage price seed</x:v>
      </x:c>
      <x:c r="D433" s="34" t="str">
        <x:v>Price/reference</x:v>
      </x:c>
      <x:c r="E433" s="34" t="str">
        <x:v>reference</x:v>
      </x:c>
      <x:c r="F433" s="35" t="str">
        <x:v>2026-06-28</x:v>
      </x:c>
    </x:row>
    <x:row r="434">
      <x:c r="A434" s="33" t="str">
        <x:v>Western Digital Blue price source</x:v>
      </x:c>
      <x:c r="B434" s="34" t="str">
        <x:v>https://fr.pcpartpicker.com/product/GTCD4D/western-digital-blue-1tb-25-solid-state-drive-wds100t2b0a</x:v>
      </x:c>
      <x:c r="C434" s="34" t="str">
        <x:v>storage price seed</x:v>
      </x:c>
      <x:c r="D434" s="34" t="str">
        <x:v>Price/reference</x:v>
      </x:c>
      <x:c r="E434" s="34" t="str">
        <x:v>reference</x:v>
      </x:c>
      <x:c r="F434" s="35" t="str">
        <x:v>2026-06-28</x:v>
      </x:c>
    </x:row>
    <x:row r="435">
      <x:c r="A435" s="33" t="str">
        <x:v>Samsung 980 price source</x:v>
      </x:c>
      <x:c r="B435" s="34" t="str">
        <x:v>https://fr.pcpartpicker.com/product/mKBG3C/samsung-980-1-tb-m2-2280-nvme-solid-state-drive-mz-v8v1t0bam</x:v>
      </x:c>
      <x:c r="C435" s="34" t="str">
        <x:v>storage price seed</x:v>
      </x:c>
      <x:c r="D435" s="34" t="str">
        <x:v>Price/reference</x:v>
      </x:c>
      <x:c r="E435" s="34" t="str">
        <x:v>reference</x:v>
      </x:c>
      <x:c r="F435" s="35" t="str">
        <x:v>2026-06-28</x:v>
      </x:c>
    </x:row>
    <x:row r="436">
      <x:c r="A436" s="33" t="str">
        <x:v>Seagate ST1000DX001 price source</x:v>
      </x:c>
      <x:c r="B436" s="34" t="str">
        <x:v>https://fr.pcpartpicker.com/product/ftPfrH/seagate-internal-hard-drive-st1000dx001</x:v>
      </x:c>
      <x:c r="C436" s="34" t="str">
        <x:v>storage price seed</x:v>
      </x:c>
      <x:c r="D436" s="34" t="str">
        <x:v>Price/reference</x:v>
      </x:c>
      <x:c r="E436" s="34" t="str">
        <x:v>reference</x:v>
      </x:c>
      <x:c r="F436" s="35" t="str">
        <x:v>2026-06-28</x:v>
      </x:c>
    </x:row>
    <x:row r="437">
      <x:c r="A437" s="33" t="str">
        <x:v>SanDisk SSD PLUS price source</x:v>
      </x:c>
      <x:c r="B437" s="34" t="str">
        <x:v>https://fr.pcpartpicker.com/product/8jH48d/sandisk-ssd-plus-240gb-25-solid-state-drive-sdssda-240g-g26</x:v>
      </x:c>
      <x:c r="C437" s="34" t="str">
        <x:v>storage price seed</x:v>
      </x:c>
      <x:c r="D437" s="34" t="str">
        <x:v>Price/reference</x:v>
      </x:c>
      <x:c r="E437" s="34" t="str">
        <x:v>reference</x:v>
      </x:c>
      <x:c r="F437" s="35" t="str">
        <x:v>2026-06-28</x:v>
      </x:c>
    </x:row>
    <x:row r="438">
      <x:c r="A438" s="33" t="str">
        <x:v>Samsung 870 Evo price source</x:v>
      </x:c>
      <x:c r="B438" s="34" t="str">
        <x:v>https://fr.pcpartpicker.com/product/7nsnTW/samsung-870-evo-1-tb-25-solid-state-drive-mz-77e1t0bam</x:v>
      </x:c>
      <x:c r="C438" s="34" t="str">
        <x:v>storage price seed</x:v>
      </x:c>
      <x:c r="D438" s="34" t="str">
        <x:v>Price/reference</x:v>
      </x:c>
      <x:c r="E438" s="34" t="str">
        <x:v>reference</x:v>
      </x:c>
      <x:c r="F438" s="35" t="str">
        <x:v>2026-06-28</x:v>
      </x:c>
    </x:row>
    <x:row r="439">
      <x:c r="A439" s="33" t="str">
        <x:v>Samsung 990 EVO Plus price source</x:v>
      </x:c>
      <x:c r="B439" s="34" t="str">
        <x:v>https://fr.pcpartpicker.com/product/hpqrxr/samsung-990-evo-plus-2-tb-m2-2280-pcie-50-x2-nvme-solid-state-drive-mz-v9s2t0bw</x:v>
      </x:c>
      <x:c r="C439" s="34" t="str">
        <x:v>storage price seed</x:v>
      </x:c>
      <x:c r="D439" s="34" t="str">
        <x:v>Price/reference</x:v>
      </x:c>
      <x:c r="E439" s="34" t="str">
        <x:v>reference</x:v>
      </x:c>
      <x:c r="F439" s="35" t="str">
        <x:v>2026-06-28</x:v>
      </x:c>
    </x:row>
    <x:row r="440">
      <x:c r="A440" s="33" t="str">
        <x:v>TEAMGROUP MP33 price source</x:v>
      </x:c>
      <x:c r="B440" s="34" t="str">
        <x:v>https://fr.pcpartpicker.com/product/64MTwP/team-mp33-1-tb-m2-2280-nvme-solid-state-drive-tm8fp6001t0c101</x:v>
      </x:c>
      <x:c r="C440" s="34" t="str">
        <x:v>storage price seed</x:v>
      </x:c>
      <x:c r="D440" s="34" t="str">
        <x:v>Price/reference</x:v>
      </x:c>
      <x:c r="E440" s="34" t="str">
        <x:v>reference</x:v>
      </x:c>
      <x:c r="F440" s="35" t="str">
        <x:v>2026-06-28</x:v>
      </x:c>
    </x:row>
    <x:row r="441">
      <x:c r="A441" s="33" t="str">
        <x:v>Silicon Power UD90 price source</x:v>
      </x:c>
      <x:c r="B441" s="34" t="str">
        <x:v>https://fr.pcpartpicker.com/product/f4cG3C/silicon-power-ud90-2-tb-m2-2280-pcie-40-x4-nvme-solid-state-drive-sp02kgbp44ud9005</x:v>
      </x:c>
      <x:c r="C441" s="34" t="str">
        <x:v>storage price seed</x:v>
      </x:c>
      <x:c r="D441" s="34" t="str">
        <x:v>Price/reference</x:v>
      </x:c>
      <x:c r="E441" s="34" t="str">
        <x:v>reference</x:v>
      </x:c>
      <x:c r="F441" s="35" t="str">
        <x:v>2026-06-28</x:v>
      </x:c>
    </x:row>
    <x:row r="442">
      <x:c r="A442" s="33" t="str">
        <x:v>Kingston NV3 price source</x:v>
      </x:c>
      <x:c r="B442" s="34" t="str">
        <x:v>https://fr.pcpartpicker.com/product/tmbRsY/kingston-nv3-1-tb-m2-2280-pcie-40-x4-nvme-solid-state-drive-snv3s1000g</x:v>
      </x:c>
      <x:c r="C442" s="34" t="str">
        <x:v>storage price seed</x:v>
      </x:c>
      <x:c r="D442" s="34" t="str">
        <x:v>Price/reference</x:v>
      </x:c>
      <x:c r="E442" s="34" t="str">
        <x:v>reference</x:v>
      </x:c>
      <x:c r="F442" s="35" t="str">
        <x:v>2026-06-28</x:v>
      </x:c>
    </x:row>
    <x:row r="443">
      <x:c r="A443" s="33" t="str">
        <x:v>ADATA XPG SX8200 Pro price source</x:v>
      </x:c>
      <x:c r="B443" s="34" t="str">
        <x:v>https://fr.pcpartpicker.com/product/kVzkcf/adata-xpg-sx8200-pro-512-gb-m2-2280-solid-state-drive-asx8200pnp-512gt-c</x:v>
      </x:c>
      <x:c r="C443" s="34" t="str">
        <x:v>storage price seed</x:v>
      </x:c>
      <x:c r="D443" s="34" t="str">
        <x:v>Price/reference</x:v>
      </x:c>
      <x:c r="E443" s="34" t="str">
        <x:v>reference</x:v>
      </x:c>
      <x:c r="F443" s="35" t="str">
        <x:v>2026-06-28</x:v>
      </x:c>
    </x:row>
    <x:row r="444">
      <x:c r="A444" s="33" t="str">
        <x:v>Seagate FireCuda price source</x:v>
      </x:c>
      <x:c r="B444" s="34" t="str">
        <x:v>https://fr.pcpartpicker.com/product/zk7CmG/seagate-firecuda-2tb-25-5400rpm-internal-hard-drive-st2000lx001</x:v>
      </x:c>
      <x:c r="C444" s="34" t="str">
        <x:v>storage price seed</x:v>
      </x:c>
      <x:c r="D444" s="34" t="str">
        <x:v>Price/reference</x:v>
      </x:c>
      <x:c r="E444" s="34" t="str">
        <x:v>reference</x:v>
      </x:c>
      <x:c r="F444" s="35" t="str">
        <x:v>2026-06-28</x:v>
      </x:c>
    </x:row>
    <x:row r="445">
      <x:c r="A445" s="33" t="str">
        <x:v>TEAMGROUP MP44L price source</x:v>
      </x:c>
      <x:c r="B445" s="34" t="str">
        <x:v>https://fr.pcpartpicker.com/product/2VJgXL/teamgroup-mp44l-2-tb-m2-2280-pcie-40-x4-nvme-solid-state-drive-tm8fpk002t0c101</x:v>
      </x:c>
      <x:c r="C445" s="34" t="str">
        <x:v>storage price seed</x:v>
      </x:c>
      <x:c r="D445" s="34" t="str">
        <x:v>Price/reference</x:v>
      </x:c>
      <x:c r="E445" s="34" t="str">
        <x:v>reference</x:v>
      </x:c>
      <x:c r="F445" s="35" t="str">
        <x:v>2026-06-28</x:v>
      </x:c>
    </x:row>
    <x:row r="446">
      <x:c r="A446" s="33" t="str">
        <x:v>Kingston A2000 price source</x:v>
      </x:c>
      <x:c r="B446" s="34" t="str">
        <x:v>https://fr.pcpartpicker.com/product/9vWBD3/kingston-a2000-1-tb-m2-2280-nvme-solid-state-drive-sa2000m81000g</x:v>
      </x:c>
      <x:c r="C446" s="34" t="str">
        <x:v>storage price seed</x:v>
      </x:c>
      <x:c r="D446" s="34" t="str">
        <x:v>Price/reference</x:v>
      </x:c>
      <x:c r="E446" s="34" t="str">
        <x:v>reference</x:v>
      </x:c>
      <x:c r="F446" s="35" t="str">
        <x:v>2026-06-28</x:v>
      </x:c>
    </x:row>
    <x:row r="447">
      <x:c r="A447" s="33" t="str">
        <x:v>Kingston KC3000 price source</x:v>
      </x:c>
      <x:c r="B447" s="34" t="str">
        <x:v>https://fr.pcpartpicker.com/product/sJPQzy/kingston-kc3000-2048-tb-m2-2280-nvme-solid-state-drive-skc3000d2048g</x:v>
      </x:c>
      <x:c r="C447" s="34" t="str">
        <x:v>storage price seed</x:v>
      </x:c>
      <x:c r="D447" s="34" t="str">
        <x:v>Price/reference</x:v>
      </x:c>
      <x:c r="E447" s="34" t="str">
        <x:v>reference</x:v>
      </x:c>
      <x:c r="F447" s="35" t="str">
        <x:v>2026-06-28</x:v>
      </x:c>
    </x:row>
    <x:row r="448">
      <x:c r="A448" s="33" t="str">
        <x:v>Seagate ST2000DX001 price source</x:v>
      </x:c>
      <x:c r="B448" s="34" t="str">
        <x:v>https://fr.pcpartpicker.com/product/tR2kcf/seagate-internal-hard-drive-st2000dx001</x:v>
      </x:c>
      <x:c r="C448" s="34" t="str">
        <x:v>storage price seed</x:v>
      </x:c>
      <x:c r="D448" s="34" t="str">
        <x:v>Price/reference</x:v>
      </x:c>
      <x:c r="E448" s="34" t="str">
        <x:v>reference</x:v>
      </x:c>
      <x:c r="F448" s="35" t="str">
        <x:v>2026-06-28</x:v>
      </x:c>
    </x:row>
    <x:row r="449">
      <x:c r="A449" s="33" t="str">
        <x:v>Silicon Power P34A60 price source</x:v>
      </x:c>
      <x:c r="B449" s="34" t="str">
        <x:v>https://fr.pcpartpicker.com/product/94gQzy/silicon-power-p34a60-512-gb-m2-2280-pcie-30-x4-nvme-solid-state-drive-sp512gbp34a60m28</x:v>
      </x:c>
      <x:c r="C449" s="34" t="str">
        <x:v>storage price seed</x:v>
      </x:c>
      <x:c r="D449" s="34" t="str">
        <x:v>Price/reference</x:v>
      </x:c>
      <x:c r="E449" s="34" t="str">
        <x:v>reference</x:v>
      </x:c>
      <x:c r="F449" s="35" t="str">
        <x:v>2026-06-28</x:v>
      </x:c>
    </x:row>
    <x:row r="450">
      <x:c r="A450" s="33" t="str">
        <x:v>Samsung 860 Evo price source</x:v>
      </x:c>
      <x:c r="B450" s="34" t="str">
        <x:v>https://fr.pcpartpicker.com/product/dQ66Mp/samsung-860-evo-2tb-25-solid-state-drive-mz-76e2t0bam</x:v>
      </x:c>
      <x:c r="C450" s="34" t="str">
        <x:v>storage price seed</x:v>
      </x:c>
      <x:c r="D450" s="34" t="str">
        <x:v>Price/reference</x:v>
      </x:c>
      <x:c r="E450" s="34" t="str">
        <x:v>reference</x:v>
      </x:c>
      <x:c r="F450" s="35" t="str">
        <x:v>2026-06-28</x:v>
      </x:c>
    </x:row>
    <x:row r="451">
      <x:c r="A451" s="33" t="str">
        <x:v>Crucial BX500 price source</x:v>
      </x:c>
      <x:c r="B451" s="34" t="str">
        <x:v>https://fr.pcpartpicker.com/product/LFZzK8/crucial-bx500-1-tb-25-solid-state-drive-ct1000bx500ssd1</x:v>
      </x:c>
      <x:c r="C451" s="34" t="str">
        <x:v>storage price seed</x:v>
      </x:c>
      <x:c r="D451" s="34" t="str">
        <x:v>Price/reference</x:v>
      </x:c>
      <x:c r="E451" s="34" t="str">
        <x:v>reference</x:v>
      </x:c>
      <x:c r="F451" s="35" t="str">
        <x:v>2026-06-28</x:v>
      </x:c>
    </x:row>
    <x:row r="452">
      <x:c r="A452" s="33" t="str">
        <x:v>Crucial T500 price source</x:v>
      </x:c>
      <x:c r="B452" s="34" t="str">
        <x:v>https://fr.pcpartpicker.com/product/M8yH99/crucial-t500-2-tb-m2-2280-pcie-40-x4-nvme-solid-state-drive-ct2000t500ssd8</x:v>
      </x:c>
      <x:c r="C452" s="34" t="str">
        <x:v>storage price seed</x:v>
      </x:c>
      <x:c r="D452" s="34" t="str">
        <x:v>Price/reference</x:v>
      </x:c>
      <x:c r="E452" s="34" t="str">
        <x:v>reference</x:v>
      </x:c>
      <x:c r="F452" s="35" t="str">
        <x:v>2026-06-28</x:v>
      </x:c>
    </x:row>
    <x:row r="453">
      <x:c r="A453" s="33" t="str">
        <x:v>Kingston SSDNow UV400 price source</x:v>
      </x:c>
      <x:c r="B453" s="34" t="str">
        <x:v>https://fr.pcpartpicker.com/product/MVWrxr/kingston-ssdnow-uv400-240gb-25-solid-state-drive-suv400s37240g</x:v>
      </x:c>
      <x:c r="C453" s="34" t="str">
        <x:v>storage price seed</x:v>
      </x:c>
      <x:c r="D453" s="34" t="str">
        <x:v>Price/reference</x:v>
      </x:c>
      <x:c r="E453" s="34" t="str">
        <x:v>reference</x:v>
      </x:c>
      <x:c r="F453" s="35" t="str">
        <x:v>2026-06-28</x:v>
      </x:c>
    </x:row>
    <x:row r="454">
      <x:c r="A454" s="33" t="str">
        <x:v>TEAMGROUP GX2 price source</x:v>
      </x:c>
      <x:c r="B454" s="34" t="str">
        <x:v>https://fr.pcpartpicker.com/product/MC3H99/team-gx2-512-gb-25-solid-state-drive-t253x2512g0c101</x:v>
      </x:c>
      <x:c r="C454" s="34" t="str">
        <x:v>storage price seed</x:v>
      </x:c>
      <x:c r="D454" s="34" t="str">
        <x:v>Price/reference</x:v>
      </x:c>
      <x:c r="E454" s="34" t="str">
        <x:v>reference</x:v>
      </x:c>
      <x:c r="F454" s="35" t="str">
        <x:v>2026-06-28</x:v>
      </x:c>
    </x:row>
    <x:row r="455">
      <x:c r="A455" s="33" t="str">
        <x:v>Silicon Power A55 price source</x:v>
      </x:c>
      <x:c r="B455" s="34" t="str">
        <x:v>https://fr.pcpartpicker.com/product/LdgzK8/silicon-power-a55-512-gb-25-solid-state-drive-sp512gbss3a55s25</x:v>
      </x:c>
      <x:c r="C455" s="34" t="str">
        <x:v>storage price seed</x:v>
      </x:c>
      <x:c r="D455" s="34" t="str">
        <x:v>Price/reference</x:v>
      </x:c>
      <x:c r="E455" s="34" t="str">
        <x:v>reference</x:v>
      </x:c>
      <x:c r="F455" s="35" t="str">
        <x:v>2026-06-28</x:v>
      </x:c>
    </x:row>
    <x:row r="456">
      <x:c r="A456" s="33" t="str">
        <x:v>ADATA SU800 price source</x:v>
      </x:c>
      <x:c r="B456" s="34" t="str">
        <x:v>https://fr.pcpartpicker.com/product/7YQRsY/adata-ultimate-su800-256-gb-25-solid-state-drive-asu800ss-256gt-c</x:v>
      </x:c>
      <x:c r="C456" s="34" t="str">
        <x:v>storage price seed</x:v>
      </x:c>
      <x:c r="D456" s="34" t="str">
        <x:v>Price/reference</x:v>
      </x:c>
      <x:c r="E456" s="34" t="str">
        <x:v>reference</x:v>
      </x:c>
      <x:c r="F456" s="35" t="str">
        <x:v>2026-06-28</x:v>
      </x:c>
    </x:row>
    <x:row r="457">
      <x:c r="A457" s="33" t="str">
        <x:v>Samsung 9100 PRO price source</x:v>
      </x:c>
      <x:c r="B457" s="34" t="str">
        <x:v>https://fr.pcpartpicker.com/product/dKXMnQ/samsung-9100-pro-2-tb-m2-2280-pcie-50-x4-nvme-solid-state-drive-mz-vap2t0bam</x:v>
      </x:c>
      <x:c r="C457" s="34" t="str">
        <x:v>storage price seed</x:v>
      </x:c>
      <x:c r="D457" s="34" t="str">
        <x:v>Price/reference</x:v>
      </x:c>
      <x:c r="E457" s="34" t="str">
        <x:v>reference</x:v>
      </x:c>
      <x:c r="F457" s="35" t="str">
        <x:v>2026-06-28</x:v>
      </x:c>
    </x:row>
    <x:row r="458">
      <x:c r="A458" s="33" t="str">
        <x:v>Lexar NM790 price source</x:v>
      </x:c>
      <x:c r="B458" s="34" t="str">
        <x:v>https://fr.pcpartpicker.com/product/TspQzy/lexar-nm790-2-tb-m2-2280-pcie-40-x4-nvme-solid-state-drive-lnm790x002t-rnnng</x:v>
      </x:c>
      <x:c r="C458" s="34" t="str">
        <x:v>storage price seed</x:v>
      </x:c>
      <x:c r="D458" s="34" t="str">
        <x:v>Price/reference</x:v>
      </x:c>
      <x:c r="E458" s="34" t="str">
        <x:v>reference</x:v>
      </x:c>
      <x:c r="F458" s="35" t="str">
        <x:v>2026-06-28</x:v>
      </x:c>
    </x:row>
    <x:row r="459">
      <x:c r="A459" s="33" t="str">
        <x:v>TEAMGROUP MS30 price source</x:v>
      </x:c>
      <x:c r="B459" s="34" t="str">
        <x:v>https://fr.pcpartpicker.com/product/vY3H99/team-ms30-512-gb-m2-2280-solid-state-drive-tm8ps7512g0c101</x:v>
      </x:c>
      <x:c r="C459" s="34" t="str">
        <x:v>storage price seed</x:v>
      </x:c>
      <x:c r="D459" s="34" t="str">
        <x:v>Price/reference</x:v>
      </x:c>
      <x:c r="E459" s="34" t="str">
        <x:v>reference</x:v>
      </x:c>
      <x:c r="F459" s="35" t="str">
        <x:v>2026-06-28</x:v>
      </x:c>
    </x:row>
    <x:row r="460">
      <x:c r="A460" s="33" t="str">
        <x:v>Samsung 980 Pro w/Heatsink price source</x:v>
      </x:c>
      <x:c r="B460" s="34" t="str">
        <x:v>https://fr.pcpartpicker.com/product/fVC48d/samsung-980-pro-heatsink-2-tb-m2-2280-nvme-solid-state-drive-mz-v8p2t0cw</x:v>
      </x:c>
      <x:c r="C460" s="34" t="str">
        <x:v>storage price seed</x:v>
      </x:c>
      <x:c r="D460" s="34" t="str">
        <x:v>Price/reference</x:v>
      </x:c>
      <x:c r="E460" s="34" t="str">
        <x:v>reference</x:v>
      </x:c>
      <x:c r="F460" s="35" t="str">
        <x:v>2026-06-28</x:v>
      </x:c>
    </x:row>
    <x:row r="461">
      <x:c r="A461" s="33" t="str">
        <x:v>Corsair MP510 price source</x:v>
      </x:c>
      <x:c r="B461" s="34" t="str">
        <x:v>https://fr.pcpartpicker.com/product/Ny22FT/corsair-mp510-960gb-m2-2280-solid-state-drive-cssd-f960gbmp510</x:v>
      </x:c>
      <x:c r="C461" s="34" t="str">
        <x:v>storage price seed</x:v>
      </x:c>
      <x:c r="D461" s="34" t="str">
        <x:v>Price/reference</x:v>
      </x:c>
      <x:c r="E461" s="34" t="str">
        <x:v>reference</x:v>
      </x:c>
      <x:c r="F461" s="35" t="str">
        <x:v>2026-06-28</x:v>
      </x:c>
    </x:row>
    <x:row r="462">
      <x:c r="A462" s="33" t="str">
        <x:v>Corsair MP600 Force Series Gen4 price source</x:v>
      </x:c>
      <x:c r="B462" s="34" t="str">
        <x:v>https://fr.pcpartpicker.com/product/qCmFf7/corsair-mp600-force-series-gen4-2-tb-m2-2280-solid-state-drive-cssd-f2000gbmp600</x:v>
      </x:c>
      <x:c r="C462" s="34" t="str">
        <x:v>storage price seed</x:v>
      </x:c>
      <x:c r="D462" s="34" t="str">
        <x:v>Price/reference</x:v>
      </x:c>
      <x:c r="E462" s="34" t="str">
        <x:v>reference</x:v>
      </x:c>
      <x:c r="F462" s="35" t="str">
        <x:v>2026-06-28</x:v>
      </x:c>
    </x:row>
    <x:row r="463">
      <x:c r="A463" s="33" t="str">
        <x:v>Kingston NV2 price source</x:v>
      </x:c>
      <x:c r="B463" s="34" t="str">
        <x:v>https://fr.pcpartpicker.com/product/QvpzK8/kingston-nv2-500-gb-m2-2280-pcie-40-x4-nvme-solid-state-drive-snv2s500g</x:v>
      </x:c>
      <x:c r="C463" s="34" t="str">
        <x:v>storage price seed</x:v>
      </x:c>
      <x:c r="D463" s="34" t="str">
        <x:v>Price/reference</x:v>
      </x:c>
      <x:c r="E463" s="34" t="str">
        <x:v>reference</x:v>
      </x:c>
      <x:c r="F463" s="35" t="str">
        <x:v>2026-06-28</x:v>
      </x:c>
    </x:row>
    <x:row r="464">
      <x:c r="A464" s="33" t="str">
        <x:v>Kingston Fury Renegade price source</x:v>
      </x:c>
      <x:c r="B464" s="34" t="str">
        <x:v>https://fr.pcpartpicker.com/product/QxkWGX/kingston-fury-renegade-1-tb-m2-2280-nvme-solid-state-drive-sfyrs1000g</x:v>
      </x:c>
      <x:c r="C464" s="34" t="str">
        <x:v>storage price seed</x:v>
      </x:c>
      <x:c r="D464" s="34" t="str">
        <x:v>Price/reference</x:v>
      </x:c>
      <x:c r="E464" s="34" t="str">
        <x:v>reference</x:v>
      </x:c>
      <x:c r="F464" s="35" t="str">
        <x:v>2026-06-28</x:v>
      </x:c>
    </x:row>
    <x:row r="465">
      <x:c r="A465" s="33" t="str">
        <x:v>Samsung 990 EVO price source</x:v>
      </x:c>
      <x:c r="B465" s="34" t="str">
        <x:v>https://fr.pcpartpicker.com/product/kFrqqs/samsung-990-evo-2-tb-m2-2280-pcie-50-x2-nvme-solid-state-drive-mz-v9e2t0bam</x:v>
      </x:c>
      <x:c r="C465" s="34" t="str">
        <x:v>storage price seed</x:v>
      </x:c>
      <x:c r="D465" s="34" t="str">
        <x:v>Price/reference</x:v>
      </x:c>
      <x:c r="E465" s="34" t="str">
        <x:v>reference</x:v>
      </x:c>
      <x:c r="F465" s="35" t="str">
        <x:v>2026-06-28</x:v>
      </x:c>
    </x:row>
    <x:row r="466">
      <x:c r="A466" s="33" t="str">
        <x:v>SAMSUNG SSD 9100 PRO 2TB, PCIe 5.0x4 M.2 2280, Seq. Read Speeds Up to 14,700MB/s, Best for AI Computing, Gaming, and Heavy Duty Workstations (MZ- VAP2T0B/AM) price source</x:v>
      </x:c>
      <x:c r="B466" s="34" t="str">
        <x:v>https://www.newegg.ca/p/20-147-903</x:v>
      </x:c>
      <x:c r="C466" s="34" t="str">
        <x:v>storage price seed</x:v>
      </x:c>
      <x:c r="D466" s="34" t="str">
        <x:v>Price/reference</x:v>
      </x:c>
      <x:c r="E466" s="34" t="str">
        <x:v>retail</x:v>
      </x:c>
      <x:c r="F466" s="35" t="str">
        <x:v>2026-06-29</x:v>
      </x:c>
    </x:row>
    <x:row r="467">
      <x:c r="A467" s="33" t="str">
        <x:v>SAMSUNG SSD 9100 PRO with Heatsink 2TB, PCIe 5.0x4 M.2 2280, Seq. Read Speeds Up to 14,800/13,400 MB/s, Best for AI Computing, Gaming, and Heavy Duty Workstations (MZ- VAP2T0CW) price source</x:v>
      </x:c>
      <x:c r="B467" s="34" t="str">
        <x:v>https://www.newegg.ca/p/9SIB4UBKVV8399</x:v>
      </x:c>
      <x:c r="C467" s="34" t="str">
        <x:v>storage price seed</x:v>
      </x:c>
      <x:c r="D467" s="34" t="str">
        <x:v>Price/reference</x:v>
      </x:c>
      <x:c r="E467" s="34" t="str">
        <x:v>retail</x:v>
      </x:c>
      <x:c r="F467" s="35" t="str">
        <x:v>2026-06-29</x:v>
      </x:c>
    </x:row>
    <x:row r="468">
      <x:c r="A468" s="33" t="str">
        <x:v>SAMSUNG SSD 9100 PRO 2TB, PCIe 5.0x4 M.2 2280, Seq. Read Speeds Up to 14,700MB/s, MZ-VAP2T0BW AI Computing, Gaming, and Heavy Duty Workstations MZ-VAP2T0 price source</x:v>
      </x:c>
      <x:c r="B468" s="34" t="str">
        <x:v>https://www.newegg.ca/p/9SIBGSHKGK7518</x:v>
      </x:c>
      <x:c r="C468" s="34" t="str">
        <x:v>storage price seed</x:v>
      </x:c>
      <x:c r="D468" s="34" t="str">
        <x:v>Price/reference</x:v>
      </x:c>
      <x:c r="E468" s="34" t="str">
        <x:v>retail</x:v>
      </x:c>
      <x:c r="F468" s="35" t="str">
        <x:v>2026-06-29</x:v>
      </x:c>
    </x:row>
    <x:row r="469">
      <x:c r="A469" s="33" t="str">
        <x:v>SAMSUNG SSD 9100 PRO 1TB, PCIe 5.0x4 M.2 2280, Seq. Read Speeds Up to 14,800MB/s, Best for AI Computing, Gaming, and Heavy Duty Workstations (MZ- VAP1T0B/AM) price source</x:v>
      </x:c>
      <x:c r="B469" s="34" t="str">
        <x:v>https://www.newegg.ca/p/20-147-902</x:v>
      </x:c>
      <x:c r="C469" s="34" t="str">
        <x:v>storage price seed</x:v>
      </x:c>
      <x:c r="D469" s="34" t="str">
        <x:v>Price/reference</x:v>
      </x:c>
      <x:c r="E469" s="34" t="str">
        <x:v>retail</x:v>
      </x:c>
      <x:c r="F469" s="35" t="str">
        <x:v>2026-06-29</x:v>
      </x:c>
    </x:row>
    <x:row r="470">
      <x:c r="A470" s="33" t="str">
        <x:v>SAMSUNG SSD 9100 PRO 4TB, PCIe 5.0x4 M.2 2280, Seq. Read Speeds Up to 14,800MB/s, Best for AI Computing, Gaming, and Heavy Duty Workstations (MZ-VAP4T0B/AM) price source</x:v>
      </x:c>
      <x:c r="B470" s="34" t="str">
        <x:v>https://www.newegg.ca/p/20-147-904</x:v>
      </x:c>
      <x:c r="C470" s="34" t="str">
        <x:v>storage price seed</x:v>
      </x:c>
      <x:c r="D470" s="34" t="str">
        <x:v>Price/reference</x:v>
      </x:c>
      <x:c r="E470" s="34" t="str">
        <x:v>retail</x:v>
      </x:c>
      <x:c r="F470" s="35" t="str">
        <x:v>2026-06-29</x:v>
      </x:c>
    </x:row>
    <x:row r="471">
      <x:c r="A471" s="33" t="str">
        <x:v>SAMSUNG SSD 9100 PRO with Heatsink 1TB, PCIe 5.0x4 M.2 2280, Seq. Read Speeds Up to 14,800/13,400 MB/s, Best for AI Computing, Gaming, and Heavy Duty Workstations (MZ- VAP1T0CW) price source</x:v>
      </x:c>
      <x:c r="B471" s="34" t="str">
        <x:v>https://www.newegg.ca/p/20-147-906</x:v>
      </x:c>
      <x:c r="C471" s="34" t="str">
        <x:v>storage price seed</x:v>
      </x:c>
      <x:c r="D471" s="34" t="str">
        <x:v>Price/reference</x:v>
      </x:c>
      <x:c r="E471" s="34" t="str">
        <x:v>retail</x:v>
      </x:c>
      <x:c r="F471" s="35" t="str">
        <x:v>2026-06-29</x:v>
      </x:c>
    </x:row>
    <x:row r="472">
      <x:c r="A472" s="33" t="str">
        <x:v>SAMSUNG SSD 9100 PRO with Heatsink 4TB, PCIe 5.0x4 M.2 2280, Seq. Read Speeds Up to 14,800/13,400 MB/s, Best for AI Computing, Gaming, and Heavy Duty Workstations (MZ-VAP4T0CW) price source</x:v>
      </x:c>
      <x:c r="B472" s="34" t="str">
        <x:v>https://www.newegg.ca/p/20-147-908</x:v>
      </x:c>
      <x:c r="C472" s="34" t="str">
        <x:v>storage price seed</x:v>
      </x:c>
      <x:c r="D472" s="34" t="str">
        <x:v>Price/reference</x:v>
      </x:c>
      <x:c r="E472" s="34" t="str">
        <x:v>retail</x:v>
      </x:c>
      <x:c r="F472" s="35" t="str">
        <x:v>2026-06-29</x:v>
      </x:c>
    </x:row>
    <x:row r="473">
      <x:c r="A473" s="33" t="str">
        <x:v>SAMSUNG SSD 9100 PRO 4TB, PCIe 5.0x4 M.2 2280, Seq. Read Speeds Up to 14,800MB/s, MZ-VAP4T0BW AI Computing, Gaming, and Heavy Duty Workstations MZ-VAP4T0 price source</x:v>
      </x:c>
      <x:c r="B473" s="34" t="str">
        <x:v>https://www.newegg.ca/p/9SIB4UBKVW9858</x:v>
      </x:c>
      <x:c r="C473" s="34" t="str">
        <x:v>storage price seed</x:v>
      </x:c>
      <x:c r="D473" s="34" t="str">
        <x:v>Price/reference</x:v>
      </x:c>
      <x:c r="E473" s="34" t="str">
        <x:v>retail</x:v>
      </x:c>
      <x:c r="F473" s="35" t="str">
        <x:v>2026-06-29</x:v>
      </x:c>
    </x:row>
    <x:row r="474">
      <x:c r="A474" s="33" t="str">
        <x:v>Crucial T710 M.2 2280 2TB PCI-Express 5.0 x4 TLC NAND² Internal Solid State Drive (SSD) CT2000T710SSD8 price source</x:v>
      </x:c>
      <x:c r="B474" s="34" t="str">
        <x:v>https://www.newegg.ca/p/9SIAHEBKRY4208</x:v>
      </x:c>
      <x:c r="C474" s="34" t="str">
        <x:v>storage price seed</x:v>
      </x:c>
      <x:c r="D474" s="34" t="str">
        <x:v>Price/reference</x:v>
      </x:c>
      <x:c r="E474" s="34" t="str">
        <x:v>retail</x:v>
      </x:c>
      <x:c r="F474" s="35" t="str">
        <x:v>2026-06-29</x:v>
      </x:c>
    </x:row>
    <x:row r="475">
      <x:c r="A475" s="33" t="str">
        <x:v>SAMSUNG 990 PRO 2TB SSD, PCIe Gen4 M.2 2280, Seq. Read Speeds Up-to 7,450MB/s for High End Computing, Gaming, and Heavy Duty Workstations (MZ-V9P2T0B/AM) Non-Heatsink price source</x:v>
      </x:c>
      <x:c r="B475" s="34" t="str">
        <x:v>https://www.newegg.ca/p/20-147-861</x:v>
      </x:c>
      <x:c r="C475" s="34" t="str">
        <x:v>storage price seed</x:v>
      </x:c>
      <x:c r="D475" s="34" t="str">
        <x:v>Price/reference</x:v>
      </x:c>
      <x:c r="E475" s="34" t="str">
        <x:v>retail</x:v>
      </x:c>
      <x:c r="F475" s="35" t="str">
        <x:v>2026-06-29</x:v>
      </x:c>
    </x:row>
    <x:row r="476">
      <x:c r="A476" s="33" t="str">
        <x:v>SAMSUNG 990 PRO w/ Heatsink SSD 2TB, PCIe Gen4 M.2 2280 Internal Solid State Hard Drive, Seq. Read Speeds Up To 7,450MB/s for High End Computing, Workstations, Compatible w/ PlayStation 5, MZ-V9P2T0CW price source</x:v>
      </x:c>
      <x:c r="B476" s="34" t="str">
        <x:v>https://www.newegg.ca/p/20-147-863</x:v>
      </x:c>
      <x:c r="C476" s="34" t="str">
        <x:v>storage price seed</x:v>
      </x:c>
      <x:c r="D476" s="34" t="str">
        <x:v>Price/reference</x:v>
      </x:c>
      <x:c r="E476" s="34" t="str">
        <x:v>retail</x:v>
      </x:c>
      <x:c r="F476" s="35" t="str">
        <x:v>2026-06-29</x:v>
      </x:c>
    </x:row>
    <x:row r="477">
      <x:c r="A477" s="33" t="str">
        <x:v>KingSpec M.2 2280 2TB PCIe Gen3 x4, NVMe 1.3 3D NAND Internal Solid State Drive (SSD), up to 3500MB/s price source</x:v>
      </x:c>
      <x:c r="B477" s="34" t="str">
        <x:v>https://www.newegg.ca/p/9SIB1V9HRT2928</x:v>
      </x:c>
      <x:c r="C477" s="34" t="str">
        <x:v>storage price seed</x:v>
      </x:c>
      <x:c r="D477" s="34" t="str">
        <x:v>Price/reference</x:v>
      </x:c>
      <x:c r="E477" s="34" t="str">
        <x:v>retail</x:v>
      </x:c>
      <x:c r="F477" s="35" t="str">
        <x:v>2026-06-29</x:v>
      </x:c>
    </x:row>
    <x:row r="478">
      <x:c r="A478" s="33" t="str">
        <x:v>WD_BLACK 2TB SN850X NVMe Internal Gaming SSD Solid State Drive - Gen4 PCIe, M.2 2280, Up to 7,300 MB/s - WDS200T2X0E price source</x:v>
      </x:c>
      <x:c r="B478" s="34" t="str">
        <x:v>https://www.newegg.ca/p/20-250-247</x:v>
      </x:c>
      <x:c r="C478" s="34" t="str">
        <x:v>storage price seed</x:v>
      </x:c>
      <x:c r="D478" s="34" t="str">
        <x:v>Price/reference</x:v>
      </x:c>
      <x:c r="E478" s="34" t="str">
        <x:v>retail</x:v>
      </x:c>
      <x:c r="F478" s="35" t="str">
        <x:v>2026-06-29</x:v>
      </x:c>
    </x:row>
    <x:row r="479">
      <x:c r="A479" s="33" t="str">
        <x:v>WD_BLACK 2TB SN850X NVMe Internal Gaming SSD Solid State Drive with Heatsink - Works with Playstation 5, Gen4 PCIe, M.2 2280, Up to 7,300 MB/s - WDS200T2XHE price source</x:v>
      </x:c>
      <x:c r="B479" s="34" t="str">
        <x:v>https://www.newegg.ca/p/9SIADGEJ5V5053</x:v>
      </x:c>
      <x:c r="C479" s="34" t="str">
        <x:v>storage price seed</x:v>
      </x:c>
      <x:c r="D479" s="34" t="str">
        <x:v>Price/reference</x:v>
      </x:c>
      <x:c r="E479" s="34" t="str">
        <x:v>retail</x:v>
      </x:c>
      <x:c r="F479" s="35" t="str">
        <x:v>2026-06-29</x:v>
      </x:c>
    </x:row>
    <x:row r="480">
      <x:c r="A480" s="33" t="str">
        <x:v>WD_BLACK SN8100 NVMe SSD - 2TB, With Heatsink, M.2 2280 PCI-Express 5.0 x4 Internal Solid State Drive (SSD) WDS200T1XHM-00CMT0 price source</x:v>
      </x:c>
      <x:c r="B480" s="34" t="str">
        <x:v>https://www.newegg.ca/p/20-250-282</x:v>
      </x:c>
      <x:c r="C480" s="34" t="str">
        <x:v>storage price seed</x:v>
      </x:c>
      <x:c r="D480" s="34" t="str">
        <x:v>Price/reference</x:v>
      </x:c>
      <x:c r="E480" s="34" t="str">
        <x:v>retail</x:v>
      </x:c>
      <x:c r="F480" s="35" t="str">
        <x:v>2026-06-29</x:v>
      </x:c>
    </x:row>
    <x:row r="481">
      <x:c r="A481" s="33" t="str">
        <x:v>Crucial T500 M.2 2280 4TB PCIe 4.0 NVMe 3D NAND TLC Internal Solid State Drive (SSD) CT4000T500SSD5 price source</x:v>
      </x:c>
      <x:c r="B481" s="34" t="str">
        <x:v>https://www.newegg.ca/p/9SIAHEBKYT4579</x:v>
      </x:c>
      <x:c r="C481" s="34" t="str">
        <x:v>storage price seed</x:v>
      </x:c>
      <x:c r="D481" s="34" t="str">
        <x:v>Price/reference</x:v>
      </x:c>
      <x:c r="E481" s="34" t="str">
        <x:v>retail</x:v>
      </x:c>
      <x:c r="F481" s="35" t="str">
        <x:v>2026-06-29</x:v>
      </x:c>
    </x:row>
    <x:row r="482">
      <x:c r="A482" s="33" t="str">
        <x:v>Team Group MP44 M.2 2280 2TB PCIe 4.0 x4 with NVMe Laptop &amp; Desktop &amp; NUC &amp; NAS Internal Solid State Drive (SSD), (R/W Speed up to 7,400/7,000MB/s) TM8FPW002T0C101 price source</x:v>
      </x:c>
      <x:c r="B482" s="34" t="str">
        <x:v>https://www.newegg.ca/p/20-985-037</x:v>
      </x:c>
      <x:c r="C482" s="34" t="str">
        <x:v>storage price seed</x:v>
      </x:c>
      <x:c r="D482" s="34" t="str">
        <x:v>Price/reference</x:v>
      </x:c>
      <x:c r="E482" s="34" t="str">
        <x:v>retail</x:v>
      </x:c>
      <x:c r="F482" s="35" t="str">
        <x:v>2026-06-29</x:v>
      </x:c>
    </x:row>
    <x:row r="483">
      <x:c r="A483" s="33" t="str">
        <x:v>WD_BLACK 1TB SN8100 NVMe SSD Internal Solid State Drive - Gen 5 PCIe 5.0x4, M.2 2280, Seq. Read Speeds Up to 14,900 MB/s, Best for AI Applications, Gaming, and Video Editing - WDS100T1X0M price source</x:v>
      </x:c>
      <x:c r="B483" s="34" t="str">
        <x:v>https://www.newegg.ca/p/20-250-278</x:v>
      </x:c>
      <x:c r="C483" s="34" t="str">
        <x:v>storage price seed</x:v>
      </x:c>
      <x:c r="D483" s="34" t="str">
        <x:v>Price/reference</x:v>
      </x:c>
      <x:c r="E483" s="34" t="str">
        <x:v>retail</x:v>
      </x:c>
      <x:c r="F483" s="35" t="str">
        <x:v>2026-06-29</x:v>
      </x:c>
    </x:row>
    <x:row r="484">
      <x:c r="A484" s="33" t="str">
        <x:v>KingSpec M.2 2280 1TB PCIe Gen 4x4 with NVMe 1.4 3D NAND Laptop &amp; Desktop Internal Solid State Drive NVMe SSD R/W up to 5,100/4,600 MB/s price source</x:v>
      </x:c>
      <x:c r="B484" s="34" t="str">
        <x:v>https://www.newegg.ca/p/9SIB1V9HRT3089</x:v>
      </x:c>
      <x:c r="C484" s="34" t="str">
        <x:v>storage price seed</x:v>
      </x:c>
      <x:c r="D484" s="34" t="str">
        <x:v>Price/reference</x:v>
      </x:c>
      <x:c r="E484" s="34" t="str">
        <x:v>retail</x:v>
      </x:c>
      <x:c r="F484" s="35" t="str">
        <x:v>2026-06-29</x:v>
      </x:c>
    </x:row>
    <x:row r="485">
      <x:c r="A485" s="33" t="str">
        <x:v>WD_BLACK 2TB SN8100 NVMe SSD Internal Solid State Drive - Gen 5 PCIe 5.0x4, M.2 2280, Seq. Read Speeds Up to 14,900 MB/s, Best for AI Applications, Gaming, and Video Editing - WDS200T1X0M price source</x:v>
      </x:c>
      <x:c r="B485" s="34" t="str">
        <x:v>https://www.newegg.ca/p/20-250-279</x:v>
      </x:c>
      <x:c r="C485" s="34" t="str">
        <x:v>storage price seed</x:v>
      </x:c>
      <x:c r="D485" s="34" t="str">
        <x:v>Price/reference</x:v>
      </x:c>
      <x:c r="E485" s="34" t="str">
        <x:v>retail</x:v>
      </x:c>
      <x:c r="F485" s="35" t="str">
        <x:v>2026-06-29</x:v>
      </x:c>
    </x:row>
    <x:row r="486">
      <x:c r="A486" s="33" t="str">
        <x:v>SAMSUNG 990 EVO PLUS SSD 1TB, PCIe Gen 4x4 | Gen 5x2 M.2 2280, Speeds Up-to 7,150 MB/s, Upgrade Storage for PC/Laptops, HMB Technology and Intelligent Turbowrite 2.0 (MZ-V9S1T0B/AM) price source</x:v>
      </x:c>
      <x:c r="B486" s="34" t="str">
        <x:v>https://www.newegg.ca/p/20-147-899</x:v>
      </x:c>
      <x:c r="C486" s="34" t="str">
        <x:v>storage price seed</x:v>
      </x:c>
      <x:c r="D486" s="34" t="str">
        <x:v>Price/reference</x:v>
      </x:c>
      <x:c r="E486" s="34" t="str">
        <x:v>retail</x:v>
      </x:c>
      <x:c r="F486" s="35" t="str">
        <x:v>2026-06-29</x:v>
      </x:c>
    </x:row>
    <x:row r="487">
      <x:c r="A487" s="33" t="str">
        <x:v>WD_BLACK SN7100 M.2 2280 4TB PCI-Express 4.0 x4 TLC 3D NAND Internal Solid State Drive (SSD) WDS400T4X0E price source</x:v>
      </x:c>
      <x:c r="B487" s="34" t="str">
        <x:v>https://www.newegg.ca/p/0D9-001A-003S1</x:v>
      </x:c>
      <x:c r="C487" s="34" t="str">
        <x:v>storage price seed</x:v>
      </x:c>
      <x:c r="D487" s="34" t="str">
        <x:v>Price/reference</x:v>
      </x:c>
      <x:c r="E487" s="34" t="str">
        <x:v>retail</x:v>
      </x:c>
      <x:c r="F487" s="35" t="str">
        <x:v>2026-06-29</x:v>
      </x:c>
    </x:row>
    <x:row r="488">
      <x:c r="A488" s="33" t="str">
        <x:v>SAMSUNG 990 EVO PLUS SSD 2TB, PCIe Gen 4x4 | Gen 5x2 M.2 2280, Speeds Up-to 7,250 MB/s, Upgrade Storage for PC/Laptops, HMB Technology and Intelligent Turbowrite 2.0 (MZ-V9S2T0B/AM) price source</x:v>
      </x:c>
      <x:c r="B488" s="34" t="str">
        <x:v>https://www.newegg.ca/p/20-147-900</x:v>
      </x:c>
      <x:c r="C488" s="34" t="str">
        <x:v>storage price seed</x:v>
      </x:c>
      <x:c r="D488" s="34" t="str">
        <x:v>Price/reference</x:v>
      </x:c>
      <x:c r="E488" s="34" t="str">
        <x:v>retail</x:v>
      </x:c>
      <x:c r="F488" s="35" t="str">
        <x:v>2026-06-29</x:v>
      </x:c>
    </x:row>
    <x:row r="489">
      <x:c r="A489" s="33" t="str">
        <x:v>SAMSUNG 990 PRO w/Heatsink SSD 4TB, PCIe Gen4 M.2 2280 Internal Solid State Hard Drive, Seq. Read Speeds Up to 7,450MB/s for High End Computing, Workstations, Compatible w/PlayStation 5, MZ-V9P4T0CW</x:v>
      </x:c>
      <x:c r="B489" s="34" t="str">
        <x:v>https://www.newegg.ca/p/20-147-878</x:v>
      </x:c>
      <x:c r="C489" s="34" t="str">
        <x:v>storage specifications</x:v>
      </x:c>
      <x:c r="D489" s="34" t="str">
        <x:v>Manufacturer/specification</x:v>
      </x:c>
      <x:c r="E489" s="34" t="str">
        <x:v>retail</x:v>
      </x:c>
      <x:c r="F489" s="35" t="str">
        <x:v>2026-06-29</x:v>
      </x:c>
    </x:row>
    <x:row r="490">
      <x:c r="A490" s="33" t="str">
        <x:v>SAMSUNG 990 PRO w/Heatsink SSD 4TB, PCIe Gen4 M.2 2280 Internal Solid State Hard Drive, Seq. Read Speeds Up to 7,450MB/s for High End Computing, Workstations, Compatible w/PlayStation 5, MZ-V9P4T0CW price source</x:v>
      </x:c>
      <x:c r="B490" s="34" t="str">
        <x:v>https://www.newegg.ca/p/20-147-878R</x:v>
      </x:c>
      <x:c r="C490" s="34" t="str">
        <x:v>storage price seed</x:v>
      </x:c>
      <x:c r="D490" s="34" t="str">
        <x:v>Price/reference</x:v>
      </x:c>
      <x:c r="E490" s="34" t="str">
        <x:v>retail</x:v>
      </x:c>
      <x:c r="F490" s="35" t="str">
        <x:v>2026-06-29</x:v>
      </x:c>
    </x:row>
    <x:row r="491">
      <x:c r="A491" s="33" t="str">
        <x:v>8TB* WD_BLACK™ SN8100 Gen 5 NVMe™ SSD WDS800T1X0M-00CMT0 price source</x:v>
      </x:c>
      <x:c r="B491" s="34" t="str">
        <x:v>https://www.newegg.ca/p/20-250-296</x:v>
      </x:c>
      <x:c r="C491" s="34" t="str">
        <x:v>storage price seed</x:v>
      </x:c>
      <x:c r="D491" s="34" t="str">
        <x:v>Price/reference</x:v>
      </x:c>
      <x:c r="E491" s="34" t="str">
        <x:v>retail</x:v>
      </x:c>
      <x:c r="F491" s="35" t="str">
        <x:v>2026-06-29</x:v>
      </x:c>
    </x:row>
    <x:row r="492">
      <x:c r="A492" s="33" t="str">
        <x:v>WD_BLACK 1TB SN850X NVMe Internal Gaming Solid State Drive with Heatsink - Works with Playstation 5, Gen4 PCIe, M.2 2280, Up to 7,300 MB/s - WDS100T2XHE price source</x:v>
      </x:c>
      <x:c r="B492" s="34" t="str">
        <x:v>https://www.newegg.ca/p/20-250-245</x:v>
      </x:c>
      <x:c r="C492" s="34" t="str">
        <x:v>storage price seed</x:v>
      </x:c>
      <x:c r="D492" s="34" t="str">
        <x:v>Price/reference</x:v>
      </x:c>
      <x:c r="E492" s="34" t="str">
        <x:v>retail</x:v>
      </x:c>
      <x:c r="F492" s="35" t="str">
        <x:v>2026-06-29</x:v>
      </x:c>
    </x:row>
    <x:row r="493">
      <x:c r="A493" s="33" t="str">
        <x:v>WD Blue SN5100 1TB NVMe SSD, PCIe Gen 4.0, up to 7,100 MB/s read speeds price source</x:v>
      </x:c>
      <x:c r="B493" s="34" t="str">
        <x:v>https://www.newegg.ca/p/20-173-682</x:v>
      </x:c>
      <x:c r="C493" s="34" t="str">
        <x:v>storage price seed</x:v>
      </x:c>
      <x:c r="D493" s="34" t="str">
        <x:v>Price/reference</x:v>
      </x:c>
      <x:c r="E493" s="34" t="str">
        <x:v>retail</x:v>
      </x:c>
      <x:c r="F493" s="35" t="str">
        <x:v>2026-06-29</x:v>
      </x:c>
    </x:row>
    <x:row r="494">
      <x:c r="A494" s="33" t="str">
        <x:v>WD_BLACK 4TB SN850X NVMe Internal Gaming SSD Solid State Drive with Heatsink - Works with Playstation 5, Gen4 PCIe, M.2 2280, Up to 7,300 MB/s - WDS400T2XHE price source</x:v>
      </x:c>
      <x:c r="B494" s="34" t="str">
        <x:v>https://www.newegg.ca/p/9SIADGEKDC9666</x:v>
      </x:c>
      <x:c r="C494" s="34" t="str">
        <x:v>storage price seed</x:v>
      </x:c>
      <x:c r="D494" s="34" t="str">
        <x:v>Price/reference</x:v>
      </x:c>
      <x:c r="E494" s="34" t="str">
        <x:v>retail</x:v>
      </x:c>
      <x:c r="F494" s="35" t="str">
        <x:v>2026-06-29</x:v>
      </x:c>
    </x:row>
    <x:row r="495">
      <x:c r="A495" s="33" t="str">
        <x:v>WD Blue SN5100 2TB NVMe SSD, PCIe Gen 4.0, up to 7,100 MB/s read speeds price source</x:v>
      </x:c>
      <x:c r="B495" s="34" t="str">
        <x:v>https://www.newegg.ca/p/20-173-681</x:v>
      </x:c>
      <x:c r="C495" s="34" t="str">
        <x:v>storage price seed</x:v>
      </x:c>
      <x:c r="D495" s="34" t="str">
        <x:v>Price/reference</x:v>
      </x:c>
      <x:c r="E495" s="34" t="str">
        <x:v>retail</x:v>
      </x:c>
      <x:c r="F495" s="35" t="str">
        <x:v>2026-06-29</x:v>
      </x:c>
    </x:row>
    <x:row r="496">
      <x:c r="A496" s="33" t="str">
        <x:v>WD Blue SN5100 500GB NVMe SSD, PCIe Gen 4.0, up to 6,600 MB/s read speeds price source</x:v>
      </x:c>
      <x:c r="B496" s="34" t="str">
        <x:v>https://www.newegg.ca/p/9SIADGEKRF1816</x:v>
      </x:c>
      <x:c r="C496" s="34" t="str">
        <x:v>storage price seed</x:v>
      </x:c>
      <x:c r="D496" s="34" t="str">
        <x:v>Price/reference</x:v>
      </x:c>
      <x:c r="E496" s="34" t="str">
        <x:v>retail</x:v>
      </x:c>
      <x:c r="F496" s="35" t="str">
        <x:v>2026-06-29</x:v>
      </x:c>
    </x:row>
    <x:row r="497">
      <x:c r="A497" s="33" t="str">
        <x:v>Western Digital 4TB WD Blue SN5000 NVMe SSD, PCIe Gen 4.0, up to 5,500 MB/s Read Speeds Internal Solid State Drive (SSD) WDS400T4B0E price source</x:v>
      </x:c>
      <x:c r="B497" s="34" t="str">
        <x:v>https://www.newegg.ca/p/20-250-266</x:v>
      </x:c>
      <x:c r="C497" s="34" t="str">
        <x:v>storage price seed</x:v>
      </x:c>
      <x:c r="D497" s="34" t="str">
        <x:v>Price/reference</x:v>
      </x:c>
      <x:c r="E497" s="34" t="str">
        <x:v>retail</x:v>
      </x:c>
      <x:c r="F497" s="35" t="str">
        <x:v>2026-06-29</x:v>
      </x:c>
    </x:row>
    <x:row r="498">
      <x:c r="A498" s="33" t="str">
        <x:v>Western Digital 1TB WD Blue SN5000 NVMe SSD, PCIe Gen 4.0, up to 5,150 MB/s Read Speeds Internal Solid State Drive (SSD) WDS100T4B0E price source</x:v>
      </x:c>
      <x:c r="B498" s="34" t="str">
        <x:v>https://www.newegg.ca/p/9SIB277KRJ3737</x:v>
      </x:c>
      <x:c r="C498" s="34" t="str">
        <x:v>storage price seed</x:v>
      </x:c>
      <x:c r="D498" s="34" t="str">
        <x:v>Price/reference</x:v>
      </x:c>
      <x:c r="E498" s="34" t="str">
        <x:v>retail</x:v>
      </x:c>
      <x:c r="F498" s="35" t="str">
        <x:v>2026-06-29</x:v>
      </x:c>
    </x:row>
    <x:row r="499">
      <x:c r="A499" s="33" t="str">
        <x:v>WD_BLACK SN8100 NVMe SSD - 4TB, With Heatsink, M.2 2280 PCI-Express 5.0 x4 Internal Solid State Drive (SSD) WDS400T1XHM-00CMT0 price source</x:v>
      </x:c>
      <x:c r="B499" s="34" t="str">
        <x:v>https://www.newegg.ca/p/20-250-283</x:v>
      </x:c>
      <x:c r="C499" s="34" t="str">
        <x:v>storage price seed</x:v>
      </x:c>
      <x:c r="D499" s="34" t="str">
        <x:v>Price/reference</x:v>
      </x:c>
      <x:c r="E499" s="34" t="str">
        <x:v>retail</x:v>
      </x:c>
      <x:c r="F499" s="35" t="str">
        <x:v>2026-06-29</x:v>
      </x:c>
    </x:row>
    <x:row r="500">
      <x:c r="A500" s="33" t="str">
        <x:v>Western Digital 500GB WD Blue SN5000 NVMe SSD, PCIe Gen 4.0, up to 5,000 MB/s Read Speeds Internal Solid State Drive (SSD) WDS500G4B0E price source</x:v>
      </x:c>
      <x:c r="B500" s="34" t="str">
        <x:v>https://www.newegg.ca/p/9SIB277KRV1581</x:v>
      </x:c>
      <x:c r="C500" s="34" t="str">
        <x:v>storage price seed</x:v>
      </x:c>
      <x:c r="D500" s="34" t="str">
        <x:v>Price/reference</x:v>
      </x:c>
      <x:c r="E500" s="34" t="str">
        <x:v>retail</x:v>
      </x:c>
      <x:c r="F500" s="35" t="str">
        <x:v>2026-06-29</x:v>
      </x:c>
    </x:row>
    <x:row r="501">
      <x:c r="A501" s="33" t="str">
        <x:v>Crucial T705 4TB PCIe Gen5 NVMe M.2 SSD - Up to 14,100 MB/s - Game Ready - Internal Solid State Drive (PC) - +1mo Adobe CC - CT4000T705SSD3 price source</x:v>
      </x:c>
      <x:c r="B501" s="34" t="str">
        <x:v>https://www.newegg.ca/p/9SIAMW5KBD5487</x:v>
      </x:c>
      <x:c r="C501" s="34" t="str">
        <x:v>storage price seed</x:v>
      </x:c>
      <x:c r="D501" s="34" t="str">
        <x:v>Price/reference</x:v>
      </x:c>
      <x:c r="E501" s="34" t="str">
        <x:v>retail</x:v>
      </x:c>
      <x:c r="F501" s="35" t="str">
        <x:v>2026-06-29</x:v>
      </x:c>
    </x:row>
    <x:row r="502">
      <x:c r="A502" s="33" t="str">
        <x:v>Western Digital 2TB WD Blue SN5000 NVMe Internal Solid State Drive SSD - PCIe Gen 4.0, M.2 2280, Up to 5,150 MB/s - WDS200T4B0E price source</x:v>
      </x:c>
      <x:c r="B502" s="34" t="str">
        <x:v>https://www.newegg.ca/p/9SIB277KNF5666</x:v>
      </x:c>
      <x:c r="C502" s="34" t="str">
        <x:v>storage price seed</x:v>
      </x:c>
      <x:c r="D502" s="34" t="str">
        <x:v>Price/reference</x:v>
      </x:c>
      <x:c r="E502" s="34" t="str">
        <x:v>retail</x:v>
      </x:c>
      <x:c r="F502" s="35" t="str">
        <x:v>2026-06-29</x:v>
      </x:c>
    </x:row>
    <x:row r="503">
      <x:c r="A503" s="33" t="str">
        <x:v>Team Group T-FORCE GE PRO M.2 2280 4TB PCIe Gen 5.0x4 with DRAM CACHE with NVMe 2.0 3D NAND Internal Solid State Drive (SSD) with AirFlow 1 TM8FG3004T0C133 price source</x:v>
      </x:c>
      <x:c r="B503" s="34" t="str">
        <x:v>https://www.newegg.ca/p/20-985-271</x:v>
      </x:c>
      <x:c r="C503" s="34" t="str">
        <x:v>storage price seed</x:v>
      </x:c>
      <x:c r="D503" s="34" t="str">
        <x:v>Price/reference</x:v>
      </x:c>
      <x:c r="E503" s="34" t="str">
        <x:v>retail</x:v>
      </x:c>
      <x:c r="F503" s="35" t="str">
        <x:v>2026-06-29</x:v>
      </x:c>
    </x:row>
    <x:row r="504">
      <x:c r="A504" s="33" t="str">
        <x:v>KingSpec VP14000 1TB PCIe 5.0x4 M.2 NVMe 2280 Gen5 SSD TLC NAND Internal Solid State Drive, Seq. Read Speeds Up to 14,349/8,957 MB/s, Best for AI Computing, Gaming, and Heavy Duty Workstations price source</x:v>
      </x:c>
      <x:c r="B504" s="34" t="str">
        <x:v>https://www.newegg.ca/p/9SIB1V9KS24771</x:v>
      </x:c>
      <x:c r="C504" s="34" t="str">
        <x:v>storage price seed</x:v>
      </x:c>
      <x:c r="D504" s="34" t="str">
        <x:v>Price/reference</x:v>
      </x:c>
      <x:c r="E504" s="34" t="str">
        <x:v>retail</x:v>
      </x:c>
      <x:c r="F504" s="35" t="str">
        <x:v>2026-06-29</x:v>
      </x:c>
    </x:row>
    <x:row r="505">
      <x:c r="A505" s="33" t="str">
        <x:v>Team Group T-FORCE GC PRO M.2 2280 4TB PCIe Gen 5.0x4 with DRAM CACHE with NVMe 2.0 3D NAND Internal Solid State Drive (SSD) TM8FFL004T0C129 price source</x:v>
      </x:c>
      <x:c r="B505" s="34" t="str">
        <x:v>https://www.newegg.ca/p/20-985-211</x:v>
      </x:c>
      <x:c r="C505" s="34" t="str">
        <x:v>storage price seed</x:v>
      </x:c>
      <x:c r="D505" s="34" t="str">
        <x:v>Price/reference</x:v>
      </x:c>
      <x:c r="E505" s="34" t="str">
        <x:v>retail</x:v>
      </x:c>
      <x:c r="F505" s="35" t="str">
        <x:v>2026-06-29</x:v>
      </x:c>
    </x:row>
    <x:row r="506">
      <x:c r="A506" s="33" t="str">
        <x:v>Corsair MP600 CORE XT M.2 2280 4TB PCI-Express 4.0 x4 3D QLC Internal Solid State Drive Up to 5,000MB/sec (SSD) CSSD-F4000GBMP600CXT price source</x:v>
      </x:c>
      <x:c r="B506" s="34" t="str">
        <x:v>https://www.newegg.ca/p/20-236-990</x:v>
      </x:c>
      <x:c r="C506" s="34" t="str">
        <x:v>storage price seed</x:v>
      </x:c>
      <x:c r="D506" s="34" t="str">
        <x:v>Price/reference</x:v>
      </x:c>
      <x:c r="E506" s="34" t="str">
        <x:v>retail</x:v>
      </x:c>
      <x:c r="F506" s="35" t="str">
        <x:v>2026-06-29</x:v>
      </x:c>
    </x:row>
    <x:row r="507">
      <x:c r="A507" s="33" t="str">
        <x:v>Nextorage Japan Internal SSD 4TB for PS5 and PC Storage Expansion M.2 2280 with Heatsink PCIe Gen4.0*4 NVMe 3D TLC NAND NEM-PA4TB/N SYM 3000TBW with Maximum Transfer Rate Read 7300MB/s Write6900MB/s price source</x:v>
      </x:c>
      <x:c r="B507" s="34" t="str">
        <x:v>https://www.newegg.ca/p/9SIBG8UJMG7907</x:v>
      </x:c>
      <x:c r="C507" s="34" t="str">
        <x:v>storage price seed</x:v>
      </x:c>
      <x:c r="D507" s="34" t="str">
        <x:v>Price/reference</x:v>
      </x:c>
      <x:c r="E507" s="34" t="str">
        <x:v>retail</x:v>
      </x:c>
      <x:c r="F507" s="35" t="str">
        <x:v>2026-06-29</x:v>
      </x:c>
    </x:row>
    <x:row r="508">
      <x:c r="A508" s="33" t="str">
        <x:v>SanDisk Optimus GX PRO 8100 M.2 2280-S3-M 4TB PCI-Express 5.0 x4 3D NAND TLC Internal Solid State Drive (SSD) SDSP82400TAN-000E0 price source</x:v>
      </x:c>
      <x:c r="B508" s="34" t="str">
        <x:v>https://www.newegg.ca/p/9SIADGEKZC0692</x:v>
      </x:c>
      <x:c r="C508" s="34" t="str">
        <x:v>storage price seed</x:v>
      </x:c>
      <x:c r="D508" s="34" t="str">
        <x:v>Price/reference</x:v>
      </x:c>
      <x:c r="E508" s="34" t="str">
        <x:v>retail</x:v>
      </x:c>
      <x:c r="F508" s="35" t="str">
        <x:v>2026-06-29</x:v>
      </x:c>
    </x:row>
    <x:row r="509">
      <x:c r="A509" s="33" t="str">
        <x:v>SanDisk Optimus GX PRO 8100 M.2 2280-S3-M 2TB PCI-Express 5.0 x4 3D NAND TLC Internal Solid State Drive (SSD) SDSP82200TAN-000E0 price source</x:v>
      </x:c>
      <x:c r="B509" s="34" t="str">
        <x:v>https://www.newegg.ca/p/9SIADGEKZC0695</x:v>
      </x:c>
      <x:c r="C509" s="34" t="str">
        <x:v>storage price seed</x:v>
      </x:c>
      <x:c r="D509" s="34" t="str">
        <x:v>Price/reference</x:v>
      </x:c>
      <x:c r="E509" s="34" t="str">
        <x:v>retail</x:v>
      </x:c>
      <x:c r="F509" s="35" t="str">
        <x:v>2026-06-29</x:v>
      </x:c>
    </x:row>
    <x:row r="510">
      <x:c r="A510" s="33" t="str">
        <x:v>SanDisk Optimus GX PRO 8100 M.2 2280-S3-M 4TB PCI-Express 5.0 x4 3D NAND TLC Internal Solid State Drive (SSD) SDSP82400TAH-000E0 price source</x:v>
      </x:c>
      <x:c r="B510" s="34" t="str">
        <x:v>https://www.newegg.ca/p/9SIADGEKZC0699</x:v>
      </x:c>
      <x:c r="C510" s="34" t="str">
        <x:v>storage price seed</x:v>
      </x:c>
      <x:c r="D510" s="34" t="str">
        <x:v>Price/reference</x:v>
      </x:c>
      <x:c r="E510" s="34" t="str">
        <x:v>retail</x:v>
      </x:c>
      <x:c r="F510" s="35" t="str">
        <x:v>2026-06-29</x:v>
      </x:c>
    </x:row>
    <x:row r="511">
      <x:c r="A511" s="33" t="str">
        <x:v>Patriot P410 SSD M.2 2280 4TB Gen 4 PCI-Express 4.0 x4 P410P4TBM28H 5,000MB/s price source</x:v>
      </x:c>
      <x:c r="B511" s="34" t="str">
        <x:v>https://www.newegg.ca/p/20-225-362</x:v>
      </x:c>
      <x:c r="C511" s="34" t="str">
        <x:v>storage price seed</x:v>
      </x:c>
      <x:c r="D511" s="34" t="str">
        <x:v>Price/reference</x:v>
      </x:c>
      <x:c r="E511" s="34" t="str">
        <x:v>retail</x:v>
      </x:c>
      <x:c r="F511" s="35" t="str">
        <x:v>2026-06-29</x:v>
      </x:c>
    </x:row>
    <x:row r="512">
      <x:c r="A512" s="33" t="str">
        <x:v>PNY CS2150 M.2 2280 4TB PCI-Express 5.0 x4 3D NAND Internal Solid State Drive (SSD) M280CS2150-4TB-TB price source</x:v>
      </x:c>
      <x:c r="B512" s="34" t="str">
        <x:v>https://www.newegg.ca/p/20-177-191</x:v>
      </x:c>
      <x:c r="C512" s="34" t="str">
        <x:v>storage price seed</x:v>
      </x:c>
      <x:c r="D512" s="34" t="str">
        <x:v>Price/reference</x:v>
      </x:c>
      <x:c r="E512" s="34" t="str">
        <x:v>retail</x:v>
      </x:c>
      <x:c r="F512" s="35" t="str">
        <x:v>2026-06-29</x:v>
      </x:c>
    </x:row>
    <x:row r="513">
      <x:c r="A513" s="33" t="str">
        <x:v>KingSpec ONEBOOM X400 2280 1TB M.2 NVMe 1.4 PCIe 4.0 Gen4 Gaming SSD, Speed Up to 7400MB/s, 3D TLC NAND, Internal Solid State Disk Compatible for PS5 price source</x:v>
      </x:c>
      <x:c r="B513" s="34" t="str">
        <x:v>https://www.newegg.ca/p/9SIC7BMM094363</x:v>
      </x:c>
      <x:c r="C513" s="34" t="str">
        <x:v>storage price seed</x:v>
      </x:c>
      <x:c r="D513" s="34" t="str">
        <x:v>Price/reference</x:v>
      </x:c>
      <x:c r="E513" s="34" t="str">
        <x:v>retail</x:v>
      </x:c>
      <x:c r="F513" s="35" t="str">
        <x:v>2026-06-29</x:v>
      </x:c>
    </x:row>
    <x:row r="514">
      <x:c r="A514" s="33" t="str">
        <x:v>WD Blue SN5100 4TB NVMe SSD, PCIe Gen 4.0, up to 6,900 MB/s read speeds price source</x:v>
      </x:c>
      <x:c r="B514" s="34" t="str">
        <x:v>https://www.newegg.ca/p/9SIADGEKRV6645</x:v>
      </x:c>
      <x:c r="C514" s="34" t="str">
        <x:v>storage price seed</x:v>
      </x:c>
      <x:c r="D514" s="34" t="str">
        <x:v>Price/reference</x:v>
      </x:c>
      <x:c r="E514" s="34" t="str">
        <x:v>retail</x:v>
      </x:c>
      <x:c r="F514" s="35" t="str">
        <x:v>2026-06-29</x:v>
      </x:c>
    </x:row>
    <x:row r="515">
      <x:c r="A515" s="33" t="str">
        <x:v>Corsair MP700 ELITE M.2 2280 4TB PCI-Express 5.0 x4 3D TLC Internal Solid State Drive (SSD) CSSD-F4000GBMP700ENH price source</x:v>
      </x:c>
      <x:c r="B515" s="34" t="str">
        <x:v>https://www.newegg.ca/p/20-982-289</x:v>
      </x:c>
      <x:c r="C515" s="34" t="str">
        <x:v>storage price seed</x:v>
      </x:c>
      <x:c r="D515" s="34" t="str">
        <x:v>Price/reference</x:v>
      </x:c>
      <x:c r="E515" s="34" t="str">
        <x:v>retail</x:v>
      </x:c>
      <x:c r="F515" s="35" t="str">
        <x:v>2026-06-29</x:v>
      </x:c>
    </x:row>
    <x:row r="516">
      <x:c r="A516" s="33" t="str">
        <x:v>Corsair MP700 ELITE M.2 2280 4TB PCI-Express 5.0 x4 3D TLC Internal Solid State Drive (SSD) CSSD-F4000GBMP700EHS price source</x:v>
      </x:c>
      <x:c r="B516" s="34" t="str">
        <x:v>https://www.newegg.ca/p/20-982-290</x:v>
      </x:c>
      <x:c r="C516" s="34" t="str">
        <x:v>storage price seed</x:v>
      </x:c>
      <x:c r="D516" s="34" t="str">
        <x:v>Price/reference</x:v>
      </x:c>
      <x:c r="E516" s="34" t="str">
        <x:v>retail</x:v>
      </x:c>
      <x:c r="F516" s="35" t="str">
        <x:v>2026-06-29</x:v>
      </x:c>
    </x:row>
    <x:row r="517">
      <x:c r="A517" s="33" t="str">
        <x:v>SanDisk Optimus GX PRO 8100 M.2 2280-S3-M 1TB PCI-Express 5.0 x4 3D NAND TLC Internal Solid State Drive (SSD) SDSP82100TAN-000E0 price source</x:v>
      </x:c>
      <x:c r="B517" s="34" t="str">
        <x:v>https://www.newegg.ca/p/20-173-698</x:v>
      </x:c>
      <x:c r="C517" s="34" t="str">
        <x:v>storage price seed</x:v>
      </x:c>
      <x:c r="D517" s="34" t="str">
        <x:v>Price/reference</x:v>
      </x:c>
      <x:c r="E517" s="34" t="str">
        <x:v>retail</x:v>
      </x:c>
      <x:c r="F517" s="35" t="str">
        <x:v>2026-06-29</x:v>
      </x:c>
    </x:row>
    <x:row r="518">
      <x:c r="A518" s="33" t="str">
        <x:v>4TB* WD_BLACK™ SN8100 PCIe® 5.0x4 NVMe™ M.2 SSD - WDS400T1X0M-00CMT0 price source</x:v>
      </x:c>
      <x:c r="B518" s="34" t="str">
        <x:v>https://www.newegg.ca/p/9SIC4RVKZR0070</x:v>
      </x:c>
      <x:c r="C518" s="34" t="str">
        <x:v>storage price seed</x:v>
      </x:c>
      <x:c r="D518" s="34" t="str">
        <x:v>Price/reference</x:v>
      </x:c>
      <x:c r="E518" s="34" t="str">
        <x:v>retail</x:v>
      </x:c>
      <x:c r="F518" s="35" t="str">
        <x:v>2026-06-29</x:v>
      </x:c>
    </x:row>
    <x:row r="519">
      <x:c r="A519" s="33" t="str">
        <x:v>Silicon Power 4TB UD90 NVMe 4.0 Gen4 PCIe M.2 SSD R/W up to 5,000/4,500 MB/s (SU04KGBP44UD9005SN) price source</x:v>
      </x:c>
      <x:c r="B519" s="34" t="str">
        <x:v>https://www.newegg.ca/p/9SIBYK2KDD2291</x:v>
      </x:c>
      <x:c r="C519" s="34" t="str">
        <x:v>storage price seed</x:v>
      </x:c>
      <x:c r="D519" s="34" t="str">
        <x:v>Price/reference</x:v>
      </x:c>
      <x:c r="E519" s="34" t="str">
        <x:v>retail</x:v>
      </x:c>
      <x:c r="F519" s="35" t="str">
        <x:v>2026-06-29</x:v>
      </x:c>
    </x:row>
    <x:row r="520">
      <x:c r="A520" s="33" t="str">
        <x:v>Crucial T700 GEN5 NVME M.2  SSD w/ Heatsink 2280 1TB PCI-Express 5.0 x4 TLC NAND² Internal Solid State Drive (SSD) CT1000T700SSD5 price source</x:v>
      </x:c>
      <x:c r="B520" s="34" t="str">
        <x:v>https://www.newegg.ca/p/9SIA7BBJXK0559</x:v>
      </x:c>
      <x:c r="C520" s="34" t="str">
        <x:v>storage price seed</x:v>
      </x:c>
      <x:c r="D520" s="34" t="str">
        <x:v>Price/reference</x:v>
      </x:c>
      <x:c r="E520" s="34" t="str">
        <x:v>retail</x:v>
      </x:c>
      <x:c r="F520" s="35" t="str">
        <x:v>2026-06-29</x:v>
      </x:c>
    </x:row>
    <x:row r="521">
      <x:c r="A521" s="33" t="str">
        <x:v>MSI SPATIUM M480 PRO PCIe 4.0 NVMe M.2 1TB PCI-Express 4.0 x4, NVMe 1.4 3D NAND Internal Solid State Drive (SSD) price source</x:v>
      </x:c>
      <x:c r="B521" s="34" t="str">
        <x:v>https://www.newegg.ca/p/9SIA7BBKNF4486</x:v>
      </x:c>
      <x:c r="C521" s="34" t="str">
        <x:v>storage price seed</x:v>
      </x:c>
      <x:c r="D521" s="34" t="str">
        <x:v>Price/reference</x:v>
      </x:c>
      <x:c r="E521" s="34" t="str">
        <x:v>retail</x:v>
      </x:c>
      <x:c r="F521" s="35" t="str">
        <x:v>2026-06-29</x:v>
      </x:c>
    </x:row>
    <x:row r="522">
      <x:c r="A522" s="33" t="str">
        <x:v>WD_BLACK 8TB SN8100 NVMe SSD with Heatsink- work with PCIe Gen 5.0, M.2 2280, Up to 14,900 MBps - WDS800T1XHM price source</x:v>
      </x:c>
      <x:c r="B522" s="34" t="str">
        <x:v>https://www.newegg.ca/p/20-173-694</x:v>
      </x:c>
      <x:c r="C522" s="34" t="str">
        <x:v>storage price seed</x:v>
      </x:c>
      <x:c r="D522" s="34" t="str">
        <x:v>Price/reference</x:v>
      </x:c>
      <x:c r="E522" s="34" t="str">
        <x:v>retail</x:v>
      </x:c>
      <x:c r="F522" s="35" t="str">
        <x:v>2026-06-29</x:v>
      </x:c>
    </x:row>
    <x:row r="523">
      <x:c r="A523" s="33" t="str">
        <x:v>KingSpec XG 7000 4TB M.2 2280 PCIe Gen 4.0x4 NVME 1.4 Speed up to 7400MB/s Write Speed Up to 6600MB/s Internal Solid State Drive for PS5 PC Desktop Laptop Game-Player price source</x:v>
      </x:c>
      <x:c r="B523" s="34" t="str">
        <x:v>https://www.newegg.ca/p/9SIB1V9K2N9311</x:v>
      </x:c>
      <x:c r="C523" s="34" t="str">
        <x:v>storage price seed</x:v>
      </x:c>
      <x:c r="D523" s="34" t="str">
        <x:v>Price/reference</x:v>
      </x:c>
      <x:c r="E523" s="34" t="str">
        <x:v>retail</x:v>
      </x:c>
      <x:c r="F523" s="35" t="str">
        <x:v>2026-06-29</x:v>
      </x:c>
    </x:row>
    <x:row r="524">
      <x:c r="A524" s="33" t="str">
        <x:v>WD_BLACK 8TB SN850X NVMe Internal Gaming SSD Solid State Drive - Gen4 PCIe, M.2 2280, Up to 7,300 MB/s - WDS800T2X0E price source</x:v>
      </x:c>
      <x:c r="B524" s="34" t="str">
        <x:v>https://www.newegg.ca/p/9SIC4RVKXN0409</x:v>
      </x:c>
      <x:c r="C524" s="34" t="str">
        <x:v>storage price seed</x:v>
      </x:c>
      <x:c r="D524" s="34" t="str">
        <x:v>Price/reference</x:v>
      </x:c>
      <x:c r="E524" s="34" t="str">
        <x:v>retail</x:v>
      </x:c>
      <x:c r="F524" s="35" t="str">
        <x:v>2026-06-29</x:v>
      </x:c>
    </x:row>
    <x:row r="525">
      <x:c r="A525" s="33" t="str">
        <x:v>Samsung 9100 PRO Series - 2TB  M.2  NVMe 2.0 PCIe Gen5. x4 SSD price source</x:v>
      </x:c>
      <x:c r="B525" s="34" t="str">
        <x:v>https://www.canadacomputers.com/en/desktop-laptop-internal-ssds/269816/samsung-9100-pro-series-2tb-m-2-nvme-2-0-pcie-gen5-x4-ssd-mz-vap2t0b-am.html</x:v>
      </x:c>
      <x:c r="C525" s="34" t="str">
        <x:v>storage price seed</x:v>
      </x:c>
      <x:c r="D525" s="34" t="str">
        <x:v>Price/reference</x:v>
      </x:c>
      <x:c r="E525" s="34" t="str">
        <x:v>retail</x:v>
      </x:c>
      <x:c r="F525" s="35" t="str">
        <x:v>2026-06-29</x:v>
      </x:c>
    </x:row>
    <x:row r="526">
      <x:c r="A526" s="33" t="str">
        <x:v>Samsung 9100 PRO with Heatsink - 2TB  M.2  NVMe 2.0 PCIe Gen5. x4 SSD price source</x:v>
      </x:c>
      <x:c r="B526" s="34" t="str">
        <x:v>https://www.canadacomputers.com/en/desktop-laptop-internal-ssds/269824/samsung-9100-pro-with-heatsink-2tb-m-2-nvme-2-0-pcie-gen5-x4-ssd-mz-vap2t0cw.html</x:v>
      </x:c>
      <x:c r="C526" s="34" t="str">
        <x:v>storage price seed</x:v>
      </x:c>
      <x:c r="D526" s="34" t="str">
        <x:v>Price/reference</x:v>
      </x:c>
      <x:c r="E526" s="34" t="str">
        <x:v>retail</x:v>
      </x:c>
      <x:c r="F526" s="35" t="str">
        <x:v>2026-06-29</x:v>
      </x:c>
    </x:row>
    <x:row r="527">
      <x:c r="A527" s="33" t="str">
        <x:v>Samsung 9100 PRO Series - 4TB  M.2  NVMe 2.0 PCIe Gen5. x4 SSD price source</x:v>
      </x:c>
      <x:c r="B527" s="34" t="str">
        <x:v>https://www.canadacomputers.com/en/desktop-laptop-internal-ssds/269820/samsung-9100-pro-series-4tb-m-2-nvme-2-0-pcie-gen5-x4-ssd-mz-vap4t0b-am.html</x:v>
      </x:c>
      <x:c r="C527" s="34" t="str">
        <x:v>storage price seed</x:v>
      </x:c>
      <x:c r="D527" s="34" t="str">
        <x:v>Price/reference</x:v>
      </x:c>
      <x:c r="E527" s="34" t="str">
        <x:v>retail</x:v>
      </x:c>
      <x:c r="F527" s="35" t="str">
        <x:v>2026-06-29</x:v>
      </x:c>
    </x:row>
    <x:row r="528">
      <x:c r="A528" s="33" t="str">
        <x:v>Samsung 9100 PRO Series - 1TB  M.2  NVMe 2.0 PCIe Gen5. x4 SSD price source</x:v>
      </x:c>
      <x:c r="B528" s="34" t="str">
        <x:v>https://www.canadacomputers.com/en/desktop-laptop-internal-ssds/269814/samsung-9100-pro-series-1tb-m-2-nvme-2-0-pcie-gen5-x4-ssd-mz-vap1t0b-am.html</x:v>
      </x:c>
      <x:c r="C528" s="34" t="str">
        <x:v>storage price seed</x:v>
      </x:c>
      <x:c r="D528" s="34" t="str">
        <x:v>Price/reference</x:v>
      </x:c>
      <x:c r="E528" s="34" t="str">
        <x:v>retail</x:v>
      </x:c>
      <x:c r="F528" s="35" t="str">
        <x:v>2026-06-29</x:v>
      </x:c>
    </x:row>
    <x:row r="529">
      <x:c r="A529" s="33" t="str">
        <x:v>Samsung 9100 PRO with Heatsink - 4TB  M.2  NVMe 2.0 PCIe Gen5. X4 SSD price source</x:v>
      </x:c>
      <x:c r="B529" s="34" t="str">
        <x:v>https://www.canadacomputers.com/en/desktop-laptop-internal-ssds/269825/samsung-9100-pro-with-heatsink-4tb-m-2-nvme-2-0-pcie-gen5-x4-ssd-mz-vap4t0cw.html</x:v>
      </x:c>
      <x:c r="C529" s="34" t="str">
        <x:v>storage price seed</x:v>
      </x:c>
      <x:c r="D529" s="34" t="str">
        <x:v>Price/reference</x:v>
      </x:c>
      <x:c r="E529" s="34" t="str">
        <x:v>retail</x:v>
      </x:c>
      <x:c r="F529" s="35" t="str">
        <x:v>2026-06-29</x:v>
      </x:c>
    </x:row>
    <x:row r="530">
      <x:c r="A530" s="33" t="str">
        <x:v>Samsung 9100 PRO with Heatsink - 1TB  M.2  NVMe 2.0 PCIe Gen5. x4 SSD price source</x:v>
      </x:c>
      <x:c r="B530" s="34" t="str">
        <x:v>https://www.canadacomputers.com/en/desktop-laptop-internal-ssds/269823/samsung-9100-pro-with-heatsink-1tb-m-2-nvme-2-0-pcie-gen5-x4-ssd-mz-vap1t0cw.html</x:v>
      </x:c>
      <x:c r="C530" s="34" t="str">
        <x:v>storage price seed</x:v>
      </x:c>
      <x:c r="D530" s="34" t="str">
        <x:v>Price/reference</x:v>
      </x:c>
      <x:c r="E530" s="34" t="str">
        <x:v>retail</x:v>
      </x:c>
      <x:c r="F530" s="35" t="str">
        <x:v>2026-06-29</x:v>
      </x:c>
    </x:row>
    <x:row r="531">
      <x:c r="A531" s="33" t="str">
        <x:v>Samsung 9100 PRO Series - 8TB M.2 NVMe 2.0 PCIe Gen5. X4 SSD price source</x:v>
      </x:c>
      <x:c r="B531" s="34" t="str">
        <x:v>https://www.canadacomputers.com/en/desktop-laptop-internal-ssds/281226/samsung-9100-pro-series-8tb-m-2-nvme-2-0-pcie-gen5-x4-ssd-mz-vap8t0b-am.html</x:v>
      </x:c>
      <x:c r="C531" s="34" t="str">
        <x:v>storage price seed</x:v>
      </x:c>
      <x:c r="D531" s="34" t="str">
        <x:v>Price/reference</x:v>
      </x:c>
      <x:c r="E531" s="34" t="str">
        <x:v>retail</x:v>
      </x:c>
      <x:c r="F531" s="35" t="str">
        <x:v>2026-06-29</x:v>
      </x:c>
    </x:row>
    <x:row r="532">
      <x:c r="A532" s="33" t="str">
        <x:v>Samsung 9100 PRO with heatsink Series - 8TB M.2 NVMe 2.0 PCIe Gen5. X4 price source</x:v>
      </x:c>
      <x:c r="B532" s="34" t="str">
        <x:v>https://www.canadacomputers.com/en/desktop-laptop-internal-ssds/281227/samsung-9100-pro-with-heatsink-series-8tb-m-2-nvme-2-0-pcie-gen5-x4-mz-vap8t0cw.html</x:v>
      </x:c>
      <x:c r="C532" s="34" t="str">
        <x:v>storage price seed</x:v>
      </x:c>
      <x:c r="D532" s="34" t="str">
        <x:v>Price/reference</x:v>
      </x:c>
      <x:c r="E532" s="34" t="str">
        <x:v>retail</x:v>
      </x:c>
      <x:c r="F532" s="35" t="str">
        <x:v>2026-06-29</x:v>
      </x:c>
    </x:row>
    <x:row r="533">
      <x:c r="A533" s="33" t="str">
        <x:v>Crucial T710 4TB M.2 SSD w/Heatsink price source</x:v>
      </x:c>
      <x:c r="B533" s="34" t="str">
        <x:v>https://www.canadacomputers.com/en/desktop-laptop-internal-ssds/281445/crucial-t710-4tb-m-2-ssd-w-heatsink-ct4000t710ssd5.html</x:v>
      </x:c>
      <x:c r="C533" s="34" t="str">
        <x:v>storage price seed</x:v>
      </x:c>
      <x:c r="D533" s="34" t="str">
        <x:v>Price/reference</x:v>
      </x:c>
      <x:c r="E533" s="34" t="str">
        <x:v>retail</x:v>
      </x:c>
      <x:c r="F533" s="35" t="str">
        <x:v>2026-06-29</x:v>
      </x:c>
    </x:row>
    <x:row r="534">
      <x:c r="A534" s="33" t="str">
        <x:v>SAMSUNG 990 Pro 2TB M.2 NVMe PCIe 4.0 Solid State Drive price source</x:v>
      </x:c>
      <x:c r="B534" s="34" t="str">
        <x:v>https://www.canadacomputers.com/en/desktop-laptop-internal-ssds/233286/samsung-990-pro-2tb-m-2-nvme-pcie-4-0-solid-state-drive-mz-v9p2t0b-am.html</x:v>
      </x:c>
      <x:c r="C534" s="34" t="str">
        <x:v>storage price seed</x:v>
      </x:c>
      <x:c r="D534" s="34" t="str">
        <x:v>Price/reference</x:v>
      </x:c>
      <x:c r="E534" s="34" t="str">
        <x:v>retail</x:v>
      </x:c>
      <x:c r="F534" s="35" t="str">
        <x:v>2026-06-29</x:v>
      </x:c>
    </x:row>
    <x:row r="535">
      <x:c r="A535" s="33" t="str">
        <x:v>SAMSUNG 990 Pro  2TB with Heatsink M.2 NVMe PCIe 4.0  SSD price source</x:v>
      </x:c>
      <x:c r="B535" s="34" t="str">
        <x:v>https://www.canadacomputers.com/en/desktop-laptop-internal-ssds/241546/samsung-990-pro-2tb-with-heatsink-m-2-nvme-pcie-4-0-ssd-mz-v9p2t0cw.html</x:v>
      </x:c>
      <x:c r="C535" s="34" t="str">
        <x:v>storage price seed</x:v>
      </x:c>
      <x:c r="D535" s="34" t="str">
        <x:v>Price/reference</x:v>
      </x:c>
      <x:c r="E535" s="34" t="str">
        <x:v>retail</x:v>
      </x:c>
      <x:c r="F535" s="35" t="str">
        <x:v>2026-06-29</x:v>
      </x:c>
    </x:row>
    <x:row r="536">
      <x:c r="A536" s="33" t="str">
        <x:v>WD Black SN850X 2TB PCIe Gen4 NVMe M.2 SSD price source</x:v>
      </x:c>
      <x:c r="B536" s="34" t="str">
        <x:v>https://www.canadacomputers.com/en/desktop-laptop-internal-ssds/226019/wd-black-sn850x-2tb-pcie-gen4-nvme-m-2-ssd-wds200t2x0e.html</x:v>
      </x:c>
      <x:c r="C536" s="34" t="str">
        <x:v>storage price seed</x:v>
      </x:c>
      <x:c r="D536" s="34" t="str">
        <x:v>Price/reference</x:v>
      </x:c>
      <x:c r="E536" s="34" t="str">
        <x:v>retail</x:v>
      </x:c>
      <x:c r="F536" s="35" t="str">
        <x:v>2026-06-29</x:v>
      </x:c>
    </x:row>
    <x:row r="537">
      <x:c r="A537" s="33" t="str">
        <x:v>Crucial X10 4TB Portable SSD price source</x:v>
      </x:c>
      <x:c r="B537" s="34" t="str">
        <x:v>https://www.canadacomputers.com/en/external-ssds/281437/crucial-x10-4tb-portable-ssd-ct4000x10ssd9.html</x:v>
      </x:c>
      <x:c r="C537" s="34" t="str">
        <x:v>storage price seed</x:v>
      </x:c>
      <x:c r="D537" s="34" t="str">
        <x:v>Price/reference</x:v>
      </x:c>
      <x:c r="E537" s="34" t="str">
        <x:v>retail</x:v>
      </x:c>
      <x:c r="F537" s="35" t="str">
        <x:v>2026-06-29</x:v>
      </x:c>
    </x:row>
    <x:row r="538">
      <x:c r="A538" s="33" t="str">
        <x:v>Crucial E100 2TB M.2 PCIe Gen 4 x4 NVMe 2280  SSD price source</x:v>
      </x:c>
      <x:c r="B538" s="34" t="str">
        <x:v>https://www.canadacomputers.com/en/desktop-laptop-internal-ssds/284383/crucial-e100-2tb-m-2-pcie-gen-4-x4-nvme-2280-ssd-ct2000e100ssd8.html</x:v>
      </x:c>
      <x:c r="C538" s="34" t="str">
        <x:v>storage price seed</x:v>
      </x:c>
      <x:c r="D538" s="34" t="str">
        <x:v>Price/reference</x:v>
      </x:c>
      <x:c r="E538" s="34" t="str">
        <x:v>retail</x:v>
      </x:c>
      <x:c r="F538" s="35" t="str">
        <x:v>2026-06-29</x:v>
      </x:c>
    </x:row>
    <x:row r="539">
      <x:c r="A539" s="33" t="str">
        <x:v>CRUCIAL BX500 1TB SATA SSD price source</x:v>
      </x:c>
      <x:c r="B539" s="34" t="str">
        <x:v>https://www.canadacomputers.com/en/desktop-laptop-internal-ssds/166939/crucial-bx500-1tb-sata-ssd-ct1000bx500ssd1.html</x:v>
      </x:c>
      <x:c r="C539" s="34" t="str">
        <x:v>storage price seed</x:v>
      </x:c>
      <x:c r="D539" s="34" t="str">
        <x:v>Price/reference</x:v>
      </x:c>
      <x:c r="E539" s="34" t="str">
        <x:v>retail</x:v>
      </x:c>
      <x:c r="F539" s="35" t="str">
        <x:v>2026-06-29</x:v>
      </x:c>
    </x:row>
    <x:row r="540">
      <x:c r="A540" s="33" t="str">
        <x:v>TeamGroup MP44L 2TB PCIe M.2 NVMe SSD price source</x:v>
      </x:c>
      <x:c r="B540" s="34" t="str">
        <x:v>https://www.canadacomputers.com/en/desktop-laptop-internal-ssds/244381/teamgroup-mp44l-2tb-pcie-m-2-nvme-ssd-tm8fpk002t0c101.html</x:v>
      </x:c>
      <x:c r="C540" s="34" t="str">
        <x:v>storage price seed</x:v>
      </x:c>
      <x:c r="D540" s="34" t="str">
        <x:v>Price/reference</x:v>
      </x:c>
      <x:c r="E540" s="34" t="str">
        <x:v>retail</x:v>
      </x:c>
      <x:c r="F540" s="35" t="str">
        <x:v>2026-06-29</x:v>
      </x:c>
    </x:row>
    <x:row r="541">
      <x:c r="A541" s="33" t="str">
        <x:v>SAMSUNG 990 Evo Plus  4TB M.2 NVMe PCIe  Gen 4.0 x4 / 5.0 x2 Solid Sta price source</x:v>
      </x:c>
      <x:c r="B541" s="34" t="str">
        <x:v>https://www.canadacomputers.com/en/desktop-laptop-internal-ssds/265363/samsung-990-evo-plus-4tb-m-2-nvme-pcie-gen-4-0-x4-5-0-x2-solid-sta-mz-v9s4t0b-am.html</x:v>
      </x:c>
      <x:c r="C541" s="34" t="str">
        <x:v>storage price seed</x:v>
      </x:c>
      <x:c r="D541" s="34" t="str">
        <x:v>Price/reference</x:v>
      </x:c>
      <x:c r="E541" s="34" t="str">
        <x:v>retail</x:v>
      </x:c>
      <x:c r="F541" s="35" t="str">
        <x:v>2026-06-29</x:v>
      </x:c>
    </x:row>
    <x:row r="542">
      <x:c r="A542" s="33" t="str">
        <x:v>WD Black SN8100 4TB PCIe Gen5x4 NVMe M.2 2280 SSD price source</x:v>
      </x:c>
      <x:c r="B542" s="34" t="str">
        <x:v>https://www.canadacomputers.com/en/desktop-laptop-internal-ssds/273066/wd-black-sn8100-4tb-pcie-gen5x4-nvme-m-2-2280-ssd-wds400t1x0m.html</x:v>
      </x:c>
      <x:c r="C542" s="34" t="str">
        <x:v>storage price seed</x:v>
      </x:c>
      <x:c r="D542" s="34" t="str">
        <x:v>Price/reference</x:v>
      </x:c>
      <x:c r="E542" s="34" t="str">
        <x:v>retail</x:v>
      </x:c>
      <x:c r="F542" s="35" t="str">
        <x:v>2026-06-29</x:v>
      </x:c>
    </x:row>
    <x:row r="543">
      <x:c r="A543" s="33" t="str">
        <x:v>Kingston FURY Renegade G5  4TB PCIe 5.0 NVMe M.2 SSD price source</x:v>
      </x:c>
      <x:c r="B543" s="34" t="str">
        <x:v>https://www.canadacomputers.com/en/desktop-laptop-internal-ssds/272336/kingston-fury-renegade-g5-4tb-pcie-5-0-nvme-m-2-ssd-sfyr2s-4t0.html</x:v>
      </x:c>
      <x:c r="C543" s="34" t="str">
        <x:v>storage price seed</x:v>
      </x:c>
      <x:c r="D543" s="34" t="str">
        <x:v>Price/reference</x:v>
      </x:c>
      <x:c r="E543" s="34" t="str">
        <x:v>retail</x:v>
      </x:c>
      <x:c r="F543" s="35" t="str">
        <x:v>2026-06-29</x:v>
      </x:c>
    </x:row>
    <x:row r="544">
      <x:c r="A544" s="33" t="str">
        <x:v>Thermalright Phantom Spirit 120 SE price source</x:v>
      </x:c>
      <x:c r="B544" s="34" t="str">
        <x:v>https://www.thermalright.com/product/phantom-spirit-120-se/</x:v>
      </x:c>
      <x:c r="C544" s="34" t="str">
        <x:v>cooler price seed</x:v>
      </x:c>
      <x:c r="D544" s="34" t="str">
        <x:v>Price/reference</x:v>
      </x:c>
      <x:c r="E544" s="34" t="str">
        <x:v>reference</x:v>
      </x:c>
      <x:c r="F544" s="35" t="str">
        <x:v>2026-06-28</x:v>
      </x:c>
    </x:row>
    <x:row r="545">
      <x:c r="A545" s="33" t="str">
        <x:v>Arctic Liquid Freezer III Pro 360 price source</x:v>
      </x:c>
      <x:c r="B545" s="34" t="str">
        <x:v>https://www.arctic.de/en/Liquid-Freezer-III-Pro-360/</x:v>
      </x:c>
      <x:c r="C545" s="34" t="str">
        <x:v>cooler price seed</x:v>
      </x:c>
      <x:c r="D545" s="34" t="str">
        <x:v>Price/reference</x:v>
      </x:c>
      <x:c r="E545" s="34" t="str">
        <x:v>reference</x:v>
      </x:c>
      <x:c r="F545" s="35" t="str">
        <x:v>2026-06-28</x:v>
      </x:c>
    </x:row>
    <x:row r="546">
      <x:c r="A546" s="33" t="str">
        <x:v>Corsair NAUTILUS 360 RS ARGB White price source</x:v>
      </x:c>
      <x:c r="B546" s="34" t="str">
        <x:v>https://www.corsair.com/us/en/p/cpu-coolers/cw-9060093-ww/nautilus-360-rs-argb-liquid-cpu-cooler-white-cw-9060093-ww</x:v>
      </x:c>
      <x:c r="C546" s="34" t="str">
        <x:v>cooler price seed</x:v>
      </x:c>
      <x:c r="D546" s="34" t="str">
        <x:v>Price/reference</x:v>
      </x:c>
      <x:c r="E546" s="34" t="str">
        <x:v>reference</x:v>
      </x:c>
      <x:c r="F546" s="35" t="str">
        <x:v>2026-06-28</x:v>
      </x:c>
    </x:row>
    <x:row r="547">
      <x:c r="A547" s="33" t="str">
        <x:v>Cooler Master Hyper 212 EVO price source</x:v>
      </x:c>
      <x:c r="B547" s="34" t="str">
        <x:v>https://fr.pcpartpicker.com/product/hmtCmG/cooler-master-cpu-cooler-rr212e20pkr2</x:v>
      </x:c>
      <x:c r="C547" s="34" t="str">
        <x:v>cooler price seed</x:v>
      </x:c>
      <x:c r="D547" s="34" t="str">
        <x:v>Price/reference</x:v>
      </x:c>
      <x:c r="E547" s="34" t="str">
        <x:v>reference</x:v>
      </x:c>
      <x:c r="F547" s="35" t="str">
        <x:v>2026-06-28</x:v>
      </x:c>
    </x:row>
    <x:row r="548">
      <x:c r="A548" s="33" t="str">
        <x:v>Noctua NH-D15 chromax.black price source</x:v>
      </x:c>
      <x:c r="B548" s="34" t="str">
        <x:v>https://fr.pcpartpicker.com/product/84MTwP/noctua-nh-d15-chromaxblack-8252-cfm-cpu-cooler-nh-d15-chromaxblack</x:v>
      </x:c>
      <x:c r="C548" s="34" t="str">
        <x:v>cooler price seed</x:v>
      </x:c>
      <x:c r="D548" s="34" t="str">
        <x:v>Price/reference</x:v>
      </x:c>
      <x:c r="E548" s="34" t="str">
        <x:v>reference</x:v>
      </x:c>
      <x:c r="F548" s="35" t="str">
        <x:v>2026-06-28</x:v>
      </x:c>
    </x:row>
    <x:row r="549">
      <x:c r="A549" s="33" t="str">
        <x:v>Cooler Master Hyper 212 RGB Black Edition price source</x:v>
      </x:c>
      <x:c r="B549" s="34" t="str">
        <x:v>https://fr.pcpartpicker.com/product/hHDJ7P/cooler-master-hyper-212-rgb-black-edition-573-cfm-cpu-cooler-rr-212s-20pc-r1</x:v>
      </x:c>
      <x:c r="C549" s="34" t="str">
        <x:v>cooler price seed</x:v>
      </x:c>
      <x:c r="D549" s="34" t="str">
        <x:v>Price/reference</x:v>
      </x:c>
      <x:c r="E549" s="34" t="str">
        <x:v>reference</x:v>
      </x:c>
      <x:c r="F549" s="35" t="str">
        <x:v>2026-06-28</x:v>
      </x:c>
    </x:row>
    <x:row r="550">
      <x:c r="A550" s="33" t="str">
        <x:v>Cooler Master Hyper 212 Black Edition price source</x:v>
      </x:c>
      <x:c r="B550" s="34" t="str">
        <x:v>https://fr.pcpartpicker.com/product/HyTPxr/cooler-master-hyper-212-black-edition-42-cfm-cpu-cooler-rr-212s-20pk-r1</x:v>
      </x:c>
      <x:c r="C550" s="34" t="str">
        <x:v>cooler price seed</x:v>
      </x:c>
      <x:c r="D550" s="34" t="str">
        <x:v>Price/reference</x:v>
      </x:c>
      <x:c r="E550" s="34" t="str">
        <x:v>reference</x:v>
      </x:c>
      <x:c r="F550" s="35" t="str">
        <x:v>2026-06-28</x:v>
      </x:c>
    </x:row>
    <x:row r="551">
      <x:c r="A551" s="33" t="str">
        <x:v>Noctua NH-D15 price source</x:v>
      </x:c>
      <x:c r="B551" s="34" t="str">
        <x:v>https://fr.pcpartpicker.com/product/4vzv6h/noctua-nh-d15-825-cfm-cpu-cooler-nh-d15</x:v>
      </x:c>
      <x:c r="C551" s="34" t="str">
        <x:v>cooler price seed</x:v>
      </x:c>
      <x:c r="D551" s="34" t="str">
        <x:v>Price/reference</x:v>
      </x:c>
      <x:c r="E551" s="34" t="str">
        <x:v>reference</x:v>
      </x:c>
      <x:c r="F551" s="35" t="str">
        <x:v>2026-06-28</x:v>
      </x:c>
    </x:row>
    <x:row r="552">
      <x:c r="A552" s="33" t="str">
        <x:v>Cooler Master Hyper 212 Plus price source</x:v>
      </x:c>
      <x:c r="B552" s="34" t="str">
        <x:v>https://fr.pcpartpicker.com/product/gpw323/cooler-master-cpu-cooler-rrb10212pg1</x:v>
      </x:c>
      <x:c r="C552" s="34" t="str">
        <x:v>cooler price seed</x:v>
      </x:c>
      <x:c r="D552" s="34" t="str">
        <x:v>Price/reference</x:v>
      </x:c>
      <x:c r="E552" s="34" t="str">
        <x:v>reference</x:v>
      </x:c>
      <x:c r="F552" s="35" t="str">
        <x:v>2026-06-28</x:v>
      </x:c>
    </x:row>
    <x:row r="553">
      <x:c r="A553" s="33" t="str">
        <x:v>Noctua NH-U12S chromax.black price source</x:v>
      </x:c>
      <x:c r="B553" s="34" t="str">
        <x:v>https://fr.pcpartpicker.com/product/dMVG3C/noctua-nh-u12s-chromaxblack-55-cfm-cpu-cooler-nh-u12s-chromaxblack</x:v>
      </x:c>
      <x:c r="C553" s="34" t="str">
        <x:v>cooler price seed</x:v>
      </x:c>
      <x:c r="D553" s="34" t="str">
        <x:v>Price/reference</x:v>
      </x:c>
      <x:c r="E553" s="34" t="str">
        <x:v>reference</x:v>
      </x:c>
      <x:c r="F553" s="35" t="str">
        <x:v>2026-06-28</x:v>
      </x:c>
    </x:row>
    <x:row r="554">
      <x:c r="A554" s="33" t="str">
        <x:v>Cooler Master MASTERLIQUID ML240L RGB V2 price source</x:v>
      </x:c>
      <x:c r="B554" s="34" t="str">
        <x:v>https://fr.pcpartpicker.com/product/fLFKHx/cooler-master-masterliquid-ml240l-rgb-v2-6559-cfm-liquid-cpu-cooler-mlw-d24m-a18pc-r2</x:v>
      </x:c>
      <x:c r="C554" s="34" t="str">
        <x:v>cooler price seed</x:v>
      </x:c>
      <x:c r="D554" s="34" t="str">
        <x:v>Price/reference</x:v>
      </x:c>
      <x:c r="E554" s="34" t="str">
        <x:v>reference</x:v>
      </x:c>
      <x:c r="F554" s="35" t="str">
        <x:v>2026-06-28</x:v>
      </x:c>
    </x:row>
    <x:row r="555">
      <x:c r="A555" s="33" t="str">
        <x:v>NZXT Kraken X53 price source</x:v>
      </x:c>
      <x:c r="B555" s="34" t="str">
        <x:v>https://fr.pcpartpicker.com/product/PVfFf7/nzxt-kraken-x53-7311-cfm-liquid-cpu-cooler-rl-krx53-01</x:v>
      </x:c>
      <x:c r="C555" s="34" t="str">
        <x:v>cooler price seed</x:v>
      </x:c>
      <x:c r="D555" s="34" t="str">
        <x:v>Price/reference</x:v>
      </x:c>
      <x:c r="E555" s="34" t="str">
        <x:v>reference</x:v>
      </x:c>
      <x:c r="F555" s="35" t="str">
        <x:v>2026-06-28</x:v>
      </x:c>
    </x:row>
    <x:row r="556">
      <x:c r="A556" s="33" t="str">
        <x:v>Noctua NH-U12S price source</x:v>
      </x:c>
      <x:c r="B556" s="34" t="str">
        <x:v>https://fr.pcpartpicker.com/product/wjmLrH/noctua-nh-u12s-55-cfm-cpu-cooler-nh-u12s</x:v>
      </x:c>
      <x:c r="C556" s="34" t="str">
        <x:v>cooler price seed</x:v>
      </x:c>
      <x:c r="D556" s="34" t="str">
        <x:v>Price/reference</x:v>
      </x:c>
      <x:c r="E556" s="34" t="str">
        <x:v>reference</x:v>
      </x:c>
      <x:c r="F556" s="35" t="str">
        <x:v>2026-06-28</x:v>
      </x:c>
    </x:row>
    <x:row r="557">
      <x:c r="A557" s="33" t="str">
        <x:v>Noctua NH-D15S price source</x:v>
      </x:c>
      <x:c r="B557" s="34" t="str">
        <x:v>https://fr.pcpartpicker.com/product/xCL7YJ/noctua-nh-d15s-8252-cfm-cpu-cooler-nh-d15s</x:v>
      </x:c>
      <x:c r="C557" s="34" t="str">
        <x:v>cooler price seed</x:v>
      </x:c>
      <x:c r="D557" s="34" t="str">
        <x:v>Price/reference</x:v>
      </x:c>
      <x:c r="E557" s="34" t="str">
        <x:v>reference</x:v>
      </x:c>
      <x:c r="F557" s="35" t="str">
        <x:v>2026-06-28</x:v>
      </x:c>
    </x:row>
    <x:row r="558">
      <x:c r="A558" s="33" t="str">
        <x:v>Noctua NH-L9i price source</x:v>
      </x:c>
      <x:c r="B558" s="34" t="str">
        <x:v>https://fr.pcpartpicker.com/product/xxphP6/noctua-nh-l9i-3384-cfm-cpu-cooler-nh-l9i</x:v>
      </x:c>
      <x:c r="C558" s="34" t="str">
        <x:v>cooler price seed</x:v>
      </x:c>
      <x:c r="D558" s="34" t="str">
        <x:v>Price/reference</x:v>
      </x:c>
      <x:c r="E558" s="34" t="str">
        <x:v>reference</x:v>
      </x:c>
      <x:c r="F558" s="35" t="str">
        <x:v>2026-06-28</x:v>
      </x:c>
    </x:row>
    <x:row r="559">
      <x:c r="A559" s="33" t="str">
        <x:v>Thermalright Phantom Spirit 120 SE ARGB price source</x:v>
      </x:c>
      <x:c r="B559" s="34" t="str">
        <x:v>https://fr.pcpartpicker.com/product/MzMMnQ/thermalright-phantom-spirit-120-se-argb-6617-cfm-cpu-cooler-ps120se-argb</x:v>
      </x:c>
      <x:c r="C559" s="34" t="str">
        <x:v>cooler price seed</x:v>
      </x:c>
      <x:c r="D559" s="34" t="str">
        <x:v>Price/reference</x:v>
      </x:c>
      <x:c r="E559" s="34" t="str">
        <x:v>reference</x:v>
      </x:c>
      <x:c r="F559" s="35" t="str">
        <x:v>2026-06-28</x:v>
      </x:c>
    </x:row>
    <x:row r="560">
      <x:c r="A560" s="33" t="str">
        <x:v>Noctua NH-U9S price source</x:v>
      </x:c>
      <x:c r="B560" s="34" t="str">
        <x:v>https://fr.pcpartpicker.com/product/FcfmP6/noctua-nh-u9s-4644-cfm-cpu-cooler-nh-u9s</x:v>
      </x:c>
      <x:c r="C560" s="34" t="str">
        <x:v>cooler price seed</x:v>
      </x:c>
      <x:c r="D560" s="34" t="str">
        <x:v>Price/reference</x:v>
      </x:c>
      <x:c r="E560" s="34" t="str">
        <x:v>reference</x:v>
      </x:c>
      <x:c r="F560" s="35" t="str">
        <x:v>2026-06-28</x:v>
      </x:c>
    </x:row>
    <x:row r="561">
      <x:c r="A561" s="33" t="str">
        <x:v>Thermalright Peerless Assassin 120 SE ARGB price source</x:v>
      </x:c>
      <x:c r="B561" s="34" t="str">
        <x:v>https://fr.pcpartpicker.com/product/zyNxFT/thermalright-peerless-assassin-120-se-argb-6617-cfm-cpu-cooler-pa-120-se-argb</x:v>
      </x:c>
      <x:c r="C561" s="34" t="str">
        <x:v>cooler price seed</x:v>
      </x:c>
      <x:c r="D561" s="34" t="str">
        <x:v>Price/reference</x:v>
      </x:c>
      <x:c r="E561" s="34" t="str">
        <x:v>reference</x:v>
      </x:c>
      <x:c r="F561" s="35" t="str">
        <x:v>2026-06-28</x:v>
      </x:c>
    </x:row>
    <x:row r="562">
      <x:c r="A562" s="33" t="str">
        <x:v>Noctua NH-D15S chromax.black price source</x:v>
      </x:c>
      <x:c r="B562" s="34" t="str">
        <x:v>https://fr.pcpartpicker.com/product/R6kgXL/noctua-nh-d15s-chromaxblack-8251-cfm-cpu-cooler-nh-d15s-chromaxblack</x:v>
      </x:c>
      <x:c r="C562" s="34" t="str">
        <x:v>cooler price seed</x:v>
      </x:c>
      <x:c r="D562" s="34" t="str">
        <x:v>Price/reference</x:v>
      </x:c>
      <x:c r="E562" s="34" t="str">
        <x:v>reference</x:v>
      </x:c>
      <x:c r="F562" s="35" t="str">
        <x:v>2026-06-28</x:v>
      </x:c>
    </x:row>
    <x:row r="563">
      <x:c r="A563" s="33" t="str">
        <x:v>Noctua NH-U14S price source</x:v>
      </x:c>
      <x:c r="B563" s="34" t="str">
        <x:v>https://fr.pcpartpicker.com/product/DMjG3C/noctua-nh-u14s-8252-cfm-cpu-cooler-nh-u14s</x:v>
      </x:c>
      <x:c r="C563" s="34" t="str">
        <x:v>cooler price seed</x:v>
      </x:c>
      <x:c r="D563" s="34" t="str">
        <x:v>Price/reference</x:v>
      </x:c>
      <x:c r="E563" s="34" t="str">
        <x:v>reference</x:v>
      </x:c>
      <x:c r="F563" s="35" t="str">
        <x:v>2026-06-28</x:v>
      </x:c>
    </x:row>
    <x:row r="564">
      <x:c r="A564" s="33" t="str">
        <x:v>Noctua NH-U12A chromax.black price source</x:v>
      </x:c>
      <x:c r="B564" s="34" t="str">
        <x:v>https://fr.pcpartpicker.com/product/HCgFf7/noctua-nh-u12a-chromaxblack-6009-cfm-cpu-cooler-nh-u12a-chromaxblack</x:v>
      </x:c>
      <x:c r="C564" s="34" t="str">
        <x:v>cooler price seed</x:v>
      </x:c>
      <x:c r="D564" s="34" t="str">
        <x:v>Price/reference</x:v>
      </x:c>
      <x:c r="E564" s="34" t="str">
        <x:v>reference</x:v>
      </x:c>
      <x:c r="F564" s="35" t="str">
        <x:v>2026-06-28</x:v>
      </x:c>
    </x:row>
    <x:row r="565">
      <x:c r="A565" s="33" t="str">
        <x:v>Noctua NH-U12A price source</x:v>
      </x:c>
      <x:c r="B565" s="34" t="str">
        <x:v>https://fr.pcpartpicker.com/product/ZLtQzy/noctua-nh-u12a-6009-cfm-cpu-cooler-nh-u12a</x:v>
      </x:c>
      <x:c r="C565" s="34" t="str">
        <x:v>cooler price seed</x:v>
      </x:c>
      <x:c r="D565" s="34" t="str">
        <x:v>Price/reference</x:v>
      </x:c>
      <x:c r="E565" s="34" t="str">
        <x:v>reference</x:v>
      </x:c>
      <x:c r="F565" s="35" t="str">
        <x:v>2026-06-28</x:v>
      </x:c>
    </x:row>
    <x:row r="566">
      <x:c r="A566" s="33" t="str">
        <x:v>Noctua NH-L9a-AM4 price source</x:v>
      </x:c>
      <x:c r="B566" s="34" t="str">
        <x:v>https://fr.pcpartpicker.com/product/DZfhP6/noctua-nh-l9a-am4-3384-cfm-cpu-cooler-nh-l9a-am4</x:v>
      </x:c>
      <x:c r="C566" s="34" t="str">
        <x:v>cooler price seed</x:v>
      </x:c>
      <x:c r="D566" s="34" t="str">
        <x:v>Price/reference</x:v>
      </x:c>
      <x:c r="E566" s="34" t="str">
        <x:v>reference</x:v>
      </x:c>
      <x:c r="F566" s="35" t="str">
        <x:v>2026-06-28</x:v>
      </x:c>
    </x:row>
    <x:row r="567">
      <x:c r="A567" s="33" t="str">
        <x:v>ID-COOLING SE-214-XT ARGB price source</x:v>
      </x:c>
      <x:c r="B567" s="34" t="str">
        <x:v>https://fr.pcpartpicker.com/product/Zr8bt6/id-cooling-se-214-xt-argb-682-cfm-cpu-cooler-se-214-xt-argb</x:v>
      </x:c>
      <x:c r="C567" s="34" t="str">
        <x:v>cooler price seed</x:v>
      </x:c>
      <x:c r="D567" s="34" t="str">
        <x:v>Price/reference</x:v>
      </x:c>
      <x:c r="E567" s="34" t="str">
        <x:v>reference</x:v>
      </x:c>
      <x:c r="F567" s="35" t="str">
        <x:v>2026-06-28</x:v>
      </x:c>
    </x:row>
    <x:row r="568">
      <x:c r="A568" s="33" t="str">
        <x:v>Deepcool AK620 price source</x:v>
      </x:c>
      <x:c r="B568" s="34" t="str">
        <x:v>https://fr.pcpartpicker.com/product/9T92FT/deepcool-ak620-6899-cfm-cpu-cooler-r-ak620-bknnmt-g</x:v>
      </x:c>
      <x:c r="C568" s="34" t="str">
        <x:v>cooler price seed</x:v>
      </x:c>
      <x:c r="D568" s="34" t="str">
        <x:v>Price/reference</x:v>
      </x:c>
      <x:c r="E568" s="34" t="str">
        <x:v>reference</x:v>
      </x:c>
      <x:c r="F568" s="35" t="str">
        <x:v>2026-06-28</x:v>
      </x:c>
    </x:row>
    <x:row r="569">
      <x:c r="A569" s="33" t="str">
        <x:v>Noctua NH-L12S price source</x:v>
      </x:c>
      <x:c r="B569" s="34" t="str">
        <x:v>https://fr.pcpartpicker.com/product/hbnG3C/noctua-nh-l12s-5544-cfm-cpu-cooler-nh-l12s</x:v>
      </x:c>
      <x:c r="C569" s="34" t="str">
        <x:v>cooler price seed</x:v>
      </x:c>
      <x:c r="D569" s="34" t="str">
        <x:v>Price/reference</x:v>
      </x:c>
      <x:c r="E569" s="34" t="str">
        <x:v>reference</x:v>
      </x:c>
      <x:c r="F569" s="35" t="str">
        <x:v>2026-06-28</x:v>
      </x:c>
    </x:row>
    <x:row r="570">
      <x:c r="A570" s="33" t="str">
        <x:v>Thermalright Phantom Spirit EVO price source</x:v>
      </x:c>
      <x:c r="B570" s="34" t="str">
        <x:v>https://fr.pcpartpicker.com/product/BRMMnQ/thermalright-phantom-spirit-evo-69-cfm-cpu-cooler-phantom-spirit-120-evo</x:v>
      </x:c>
      <x:c r="C570" s="34" t="str">
        <x:v>cooler price seed</x:v>
      </x:c>
      <x:c r="D570" s="34" t="str">
        <x:v>Price/reference</x:v>
      </x:c>
      <x:c r="E570" s="34" t="str">
        <x:v>reference</x:v>
      </x:c>
      <x:c r="F570" s="35" t="str">
        <x:v>2026-06-28</x:v>
      </x:c>
    </x:row>
    <x:row r="571">
      <x:c r="A571" s="33" t="str">
        <x:v>Thermalright Aqua Elite V3 price source</x:v>
      </x:c>
      <x:c r="B571" s="34" t="str">
        <x:v>https://fr.pcpartpicker.com/product/ZQBzK8/thermalright-aqua-elite-v3-6617-cfm-liquid-cpu-cooler-aqua-elite-360-black-v3</x:v>
      </x:c>
      <x:c r="C571" s="34" t="str">
        <x:v>cooler price seed</x:v>
      </x:c>
      <x:c r="D571" s="34" t="str">
        <x:v>Price/reference</x:v>
      </x:c>
      <x:c r="E571" s="34" t="str">
        <x:v>reference</x:v>
      </x:c>
      <x:c r="F571" s="35" t="str">
        <x:v>2026-06-28</x:v>
      </x:c>
    </x:row>
    <x:row r="572">
      <x:c r="A572" s="33" t="str">
        <x:v>Deepcool AK620 ZERO DARK price source</x:v>
      </x:c>
      <x:c r="B572" s="34" t="str">
        <x:v>https://fr.pcpartpicker.com/product/7J6p99/deepcool-ak620-zero-dark-6899-cfm-cpu-cooler-r-ak620-bknnmt-g-1</x:v>
      </x:c>
      <x:c r="C572" s="34" t="str">
        <x:v>cooler price seed</x:v>
      </x:c>
      <x:c r="D572" s="34" t="str">
        <x:v>Price/reference</x:v>
      </x:c>
      <x:c r="E572" s="34" t="str">
        <x:v>reference</x:v>
      </x:c>
      <x:c r="F572" s="35" t="str">
        <x:v>2026-06-28</x:v>
      </x:c>
    </x:row>
    <x:row r="573">
      <x:c r="A573" s="33" t="str">
        <x:v>Thermalright Phantom Spirit 120 price source</x:v>
      </x:c>
      <x:c r="B573" s="34" t="str">
        <x:v>https://fr.pcpartpicker.com/product/zkWJ7P/thermalright-phantom-spirit-120-6617-cfm-cpu-cooler-ps120</x:v>
      </x:c>
      <x:c r="C573" s="34" t="str">
        <x:v>cooler price seed</x:v>
      </x:c>
      <x:c r="D573" s="34" t="str">
        <x:v>Price/reference</x:v>
      </x:c>
      <x:c r="E573" s="34" t="str">
        <x:v>reference</x:v>
      </x:c>
      <x:c r="F573" s="35" t="str">
        <x:v>2026-06-28</x:v>
      </x:c>
    </x:row>
    <x:row r="574">
      <x:c r="A574" s="33" t="str">
        <x:v>Noctua NH-D9L price source</x:v>
      </x:c>
      <x:c r="B574" s="34" t="str">
        <x:v>https://fr.pcpartpicker.com/product/8pgPxr/noctua-nh-d9l-4644-cfm-cpu-cooler-nh-d9l</x:v>
      </x:c>
      <x:c r="C574" s="34" t="str">
        <x:v>cooler price seed</x:v>
      </x:c>
      <x:c r="D574" s="34" t="str">
        <x:v>Price/reference</x:v>
      </x:c>
      <x:c r="E574" s="34" t="str">
        <x:v>reference</x:v>
      </x:c>
      <x:c r="F574" s="35" t="str">
        <x:v>2026-06-28</x:v>
      </x:c>
    </x:row>
    <x:row r="575">
      <x:c r="A575" s="33" t="str">
        <x:v>Thermalright Frozen Notte ARGB price source</x:v>
      </x:c>
      <x:c r="B575" s="34" t="str">
        <x:v>https://fr.pcpartpicker.com/product/RD7scf/thermalright-frozen-notte-argb-7237-cfm-liquid-cpu-cooler-frozen-notte-360-black-argb-d1</x:v>
      </x:c>
      <x:c r="C575" s="34" t="str">
        <x:v>cooler price seed</x:v>
      </x:c>
      <x:c r="D575" s="34" t="str">
        <x:v>Price/reference</x:v>
      </x:c>
      <x:c r="E575" s="34" t="str">
        <x:v>reference</x:v>
      </x:c>
      <x:c r="F575" s="35" t="str">
        <x:v>2026-06-28</x:v>
      </x:c>
    </x:row>
    <x:row r="576">
      <x:c r="A576" s="33" t="str">
        <x:v>Deepcool AK400 price source</x:v>
      </x:c>
      <x:c r="B576" s="34" t="str">
        <x:v>https://fr.pcpartpicker.com/product/QPkWGX/deepcool-ak400-6647-cfm-cpu-cooler-r-ak400-bknnmn-g-1</x:v>
      </x:c>
      <x:c r="C576" s="34" t="str">
        <x:v>cooler price seed</x:v>
      </x:c>
      <x:c r="D576" s="34" t="str">
        <x:v>Price/reference</x:v>
      </x:c>
      <x:c r="E576" s="34" t="str">
        <x:v>reference</x:v>
      </x:c>
      <x:c r="F576" s="35" t="str">
        <x:v>2026-06-28</x:v>
      </x:c>
    </x:row>
    <x:row r="577">
      <x:c r="A577" s="33" t="str">
        <x:v>ARCTIC Liquid Freezer III Pro A-RGB 360 price source</x:v>
      </x:c>
      <x:c r="B577" s="34" t="str">
        <x:v>https://fr.pcpartpicker.com/product/Xh9nTW/arctic-liquid-freezer-iii-pro-a-rgb-360-77-cfm-liquid-cpu-cooler-acfre00184a</x:v>
      </x:c>
      <x:c r="C577" s="34" t="str">
        <x:v>cooler price seed</x:v>
      </x:c>
      <x:c r="D577" s="34" t="str">
        <x:v>Price/reference</x:v>
      </x:c>
      <x:c r="E577" s="34" t="str">
        <x:v>reference</x:v>
      </x:c>
      <x:c r="F577" s="35" t="str">
        <x:v>2026-06-28</x:v>
      </x:c>
    </x:row>
    <x:row r="578">
      <x:c r="A578" s="33" t="str">
        <x:v>Noctua NH-C14S price source</x:v>
      </x:c>
      <x:c r="B578" s="34" t="str">
        <x:v>https://fr.pcpartpicker.com/product/kykwrH/noctua-nh-c14s-8252-cfm-cpu-cooler-nh-c14s</x:v>
      </x:c>
      <x:c r="C578" s="34" t="str">
        <x:v>cooler price seed</x:v>
      </x:c>
      <x:c r="D578" s="34" t="str">
        <x:v>Price/reference</x:v>
      </x:c>
      <x:c r="E578" s="34" t="str">
        <x:v>reference</x:v>
      </x:c>
      <x:c r="F578" s="35" t="str">
        <x:v>2026-06-28</x:v>
      </x:c>
    </x:row>
    <x:row r="579">
      <x:c r="A579" s="33" t="str">
        <x:v>Zalman CNPS5X Performa price source</x:v>
      </x:c>
      <x:c r="B579" s="34" t="str">
        <x:v>https://fr.pcpartpicker.com/product/6yMFf7/zalman-cpu-cooler-cnps5xperforma</x:v>
      </x:c>
      <x:c r="C579" s="34" t="str">
        <x:v>cooler price seed</x:v>
      </x:c>
      <x:c r="D579" s="34" t="str">
        <x:v>Price/reference</x:v>
      </x:c>
      <x:c r="E579" s="34" t="str">
        <x:v>reference</x:v>
      </x:c>
      <x:c r="F579" s="35" t="str">
        <x:v>2026-06-28</x:v>
      </x:c>
    </x:row>
    <x:row r="580">
      <x:c r="A580" s="33" t="str">
        <x:v>Lian Li Galahad II Trinity SL-INF price source</x:v>
      </x:c>
      <x:c r="B580" s="34" t="str">
        <x:v>https://fr.pcpartpicker.com/product/hQfxFT/lian-li-galahad-ii-trinity-sl-inf-613-cfm-liquid-cpu-cooler-ga2t36inb</x:v>
      </x:c>
      <x:c r="C580" s="34" t="str">
        <x:v>cooler price seed</x:v>
      </x:c>
      <x:c r="D580" s="34" t="str">
        <x:v>Price/reference</x:v>
      </x:c>
      <x:c r="E580" s="34" t="str">
        <x:v>reference</x:v>
      </x:c>
      <x:c r="F580" s="35" t="str">
        <x:v>2026-06-28</x:v>
      </x:c>
    </x:row>
    <x:row r="581">
      <x:c r="A581" s="33" t="str">
        <x:v>be quiet! Dark Rock Slim price source</x:v>
      </x:c>
      <x:c r="B581" s="34" t="str">
        <x:v>https://fr.pcpartpicker.com/product/krxbt6/be-quiet-dark-rock-slim-cpu-cooler-bk024</x:v>
      </x:c>
      <x:c r="C581" s="34" t="str">
        <x:v>cooler price seed</x:v>
      </x:c>
      <x:c r="D581" s="34" t="str">
        <x:v>Price/reference</x:v>
      </x:c>
      <x:c r="E581" s="34" t="str">
        <x:v>reference</x:v>
      </x:c>
      <x:c r="F581" s="35" t="str">
        <x:v>2026-06-28</x:v>
      </x:c>
    </x:row>
    <x:row r="582">
      <x:c r="A582" s="33" t="str">
        <x:v>Thermalright Peerless Assassin 120 Black price source</x:v>
      </x:c>
      <x:c r="B582" s="34" t="str">
        <x:v>https://fr.pcpartpicker.com/product/YxVmP6/thermalright-peerless-assassin-120-black-6617-cfm-cpu-cooler-pa120-black</x:v>
      </x:c>
      <x:c r="C582" s="34" t="str">
        <x:v>cooler price seed</x:v>
      </x:c>
      <x:c r="D582" s="34" t="str">
        <x:v>Price/reference</x:v>
      </x:c>
      <x:c r="E582" s="34" t="str">
        <x:v>reference</x:v>
      </x:c>
      <x:c r="F582" s="35" t="str">
        <x:v>2026-06-28</x:v>
      </x:c>
    </x:row>
    <x:row r="583">
      <x:c r="A583" s="33" t="str">
        <x:v>ARCTIC Freezer 34 eSports DUO price source</x:v>
      </x:c>
      <x:c r="B583" s="34" t="str">
        <x:v>https://fr.pcpartpicker.com/product/dmXnTW/arctic-freezer-34-esports-duo-cpu-cooler-acfre00060a</x:v>
      </x:c>
      <x:c r="C583" s="34" t="str">
        <x:v>cooler price seed</x:v>
      </x:c>
      <x:c r="D583" s="34" t="str">
        <x:v>Price/reference</x:v>
      </x:c>
      <x:c r="E583" s="34" t="str">
        <x:v>reference</x:v>
      </x:c>
      <x:c r="F583" s="35" t="str">
        <x:v>2026-06-28</x:v>
      </x:c>
    </x:row>
    <x:row r="584">
      <x:c r="A584" s="33" t="str">
        <x:v>Noctua NH-L9a-AM4 chromax.black price source</x:v>
      </x:c>
      <x:c r="B584" s="34" t="str">
        <x:v>https://fr.pcpartpicker.com/product/HZXYcf/noctua-nh-l9a-am4-chromaxblack-338-cfm-cpu-cooler-nh-l9a-am4-chromaxblack</x:v>
      </x:c>
      <x:c r="C584" s="34" t="str">
        <x:v>cooler price seed</x:v>
      </x:c>
      <x:c r="D584" s="34" t="str">
        <x:v>Price/reference</x:v>
      </x:c>
      <x:c r="E584" s="34" t="str">
        <x:v>reference</x:v>
      </x:c>
      <x:c r="F584" s="35" t="str">
        <x:v>2026-06-28</x:v>
      </x:c>
    </x:row>
    <x:row r="585">
      <x:c r="A585" s="33" t="str">
        <x:v>Deepcool LT520 price source</x:v>
      </x:c>
      <x:c r="B585" s="34" t="str">
        <x:v>https://fr.pcpartpicker.com/product/WhWzK8/deepcool-lt520-8585-cfm-liquid-cpu-cooler-r-lt520-bkamnf-g-1</x:v>
      </x:c>
      <x:c r="C585" s="34" t="str">
        <x:v>cooler price seed</x:v>
      </x:c>
      <x:c r="D585" s="34" t="str">
        <x:v>Price/reference</x:v>
      </x:c>
      <x:c r="E585" s="34" t="str">
        <x:v>reference</x:v>
      </x:c>
      <x:c r="F585" s="35" t="str">
        <x:v>2026-06-28</x:v>
      </x:c>
    </x:row>
    <x:row r="586">
      <x:c r="A586" s="33" t="str">
        <x:v>Noctua NH-U9S chromax.black price source</x:v>
      </x:c>
      <x:c r="B586" s="34" t="str">
        <x:v>https://fr.pcpartpicker.com/product/9pfFf7/noctua-nh-u9s-chromaxblack-464-cfm-cpu-cooler-nh-u9s-chromaxblack</x:v>
      </x:c>
      <x:c r="C586" s="34" t="str">
        <x:v>cooler price seed</x:v>
      </x:c>
      <x:c r="D586" s="34" t="str">
        <x:v>Price/reference</x:v>
      </x:c>
      <x:c r="E586" s="34" t="str">
        <x:v>reference</x:v>
      </x:c>
      <x:c r="F586" s="35" t="str">
        <x:v>2026-06-28</x:v>
      </x:c>
    </x:row>
    <x:row r="587">
      <x:c r="A587" s="33" t="str">
        <x:v>ARCTIC Freezer 36 price source</x:v>
      </x:c>
      <x:c r="B587" s="34" t="str">
        <x:v>https://fr.pcpartpicker.com/product/N6bRsY/arctic-freezer-36-cpu-cooler-acfre00123a</x:v>
      </x:c>
      <x:c r="C587" s="34" t="str">
        <x:v>cooler price seed</x:v>
      </x:c>
      <x:c r="D587" s="34" t="str">
        <x:v>Price/reference</x:v>
      </x:c>
      <x:c r="E587" s="34" t="str">
        <x:v>reference</x:v>
      </x:c>
      <x:c r="F587" s="35" t="str">
        <x:v>2026-06-28</x:v>
      </x:c>
    </x:row>
    <x:row r="588">
      <x:c r="A588" s="33" t="str">
        <x:v>AMD Wraith Prism price source</x:v>
      </x:c>
      <x:c r="B588" s="34" t="str">
        <x:v>https://fr.pcpartpicker.com/product/3WfxFT/amd-wraith-prism-2800-cfm-cpu-cooler-199-999888</x:v>
      </x:c>
      <x:c r="C588" s="34" t="str">
        <x:v>cooler price seed</x:v>
      </x:c>
      <x:c r="D588" s="34" t="str">
        <x:v>Price/reference</x:v>
      </x:c>
      <x:c r="E588" s="34" t="str">
        <x:v>reference</x:v>
      </x:c>
      <x:c r="F588" s="35" t="str">
        <x:v>2026-06-28</x:v>
      </x:c>
    </x:row>
    <x:row r="589">
      <x:c r="A589" s="33" t="str">
        <x:v>Thermalright Peerless Assassin 120 SE ARGB CPU Air Cooler,6 Heat Pipes Aluminium Heatsink Cover, for Intel 1700/115X/1200, AMD AM4/AM5 price source</x:v>
      </x:c>
      <x:c r="B589" s="34" t="str">
        <x:v>https://www.newegg.ca/p/9SIBVHYK8J3716</x:v>
      </x:c>
      <x:c r="C589" s="34" t="str">
        <x:v>cooler price seed</x:v>
      </x:c>
      <x:c r="D589" s="34" t="str">
        <x:v>Price/reference</x:v>
      </x:c>
      <x:c r="E589" s="34" t="str">
        <x:v>retail</x:v>
      </x:c>
      <x:c r="F589" s="35" t="str">
        <x:v>2026-06-29</x:v>
      </x:c>
    </x:row>
    <x:row r="590">
      <x:c r="A590" s="33" t="str">
        <x:v>Thermalright Peerless Assassin 120 SE ARGB V2 CPU Air Cooler - 6 Heat Pipes AGHP GEN 5.0 Technology | 1850RPM PWM 120mm Fans, for Intel 1851/1700/115X/1200, AMD AM4/AM5 Black price source</x:v>
      </x:c>
      <x:c r="B590" s="34" t="str">
        <x:v>https://www.newegg.ca/p/9SIBVHYKJF9042</x:v>
      </x:c>
      <x:c r="C590" s="34" t="str">
        <x:v>cooler price seed</x:v>
      </x:c>
      <x:c r="D590" s="34" t="str">
        <x:v>Price/reference</x:v>
      </x:c>
      <x:c r="E590" s="34" t="str">
        <x:v>retail</x:v>
      </x:c>
      <x:c r="F590" s="35" t="str">
        <x:v>2026-06-29</x:v>
      </x:c>
    </x:row>
    <x:row r="591">
      <x:c r="A591" s="33" t="str">
        <x:v>ARCTIC COOLING Liquid Freezer III - 240 A-RGB (White): All-in-One CPU Water Cooler with 240mm radiator and 2x P12 PWM PST A-RGB fan, compatible Intel LGA1700, 1851 and AMD AM4, AM5 - White color price source</x:v>
      </x:c>
      <x:c r="B591" s="34" t="str">
        <x:v>https://www.newegg.ca/p/9SIA7BBKHC3134</x:v>
      </x:c>
      <x:c r="C591" s="34" t="str">
        <x:v>cooler price seed</x:v>
      </x:c>
      <x:c r="D591" s="34" t="str">
        <x:v>Price/reference</x:v>
      </x:c>
      <x:c r="E591" s="34" t="str">
        <x:v>retail</x:v>
      </x:c>
      <x:c r="F591" s="35" t="str">
        <x:v>2026-06-29</x:v>
      </x:c>
    </x:row>
    <x:row r="592">
      <x:c r="A592" s="33" t="str">
        <x:v>PCCOOLER CPS DS360 Display AIO CPU Liquid Cooler, 360mm Radiator, 315W TDP, ARGB LEDs &amp; Customizable 2.4" IPS LCD Display, Ceramic Bearing, for Intel LGA 1851/1700/1200/115X &amp; AMD AM5/AM4, Black price source</x:v>
      </x:c>
      <x:c r="B592" s="34" t="str">
        <x:v>https://www.newegg.ca/p/9SIBYC4KME7861</x:v>
      </x:c>
      <x:c r="C592" s="34" t="str">
        <x:v>cooler price seed</x:v>
      </x:c>
      <x:c r="D592" s="34" t="str">
        <x:v>Price/reference</x:v>
      </x:c>
      <x:c r="E592" s="34" t="str">
        <x:v>retail</x:v>
      </x:c>
      <x:c r="F592" s="35" t="str">
        <x:v>2026-06-29</x:v>
      </x:c>
    </x:row>
    <x:row r="593">
      <x:c r="A593" s="33" t="str">
        <x:v>ARCTIC ACFRE00180A Liquid Freezer III Pro 360 AIO CPU Cooler, Water Cooling 38 mm Radiator, AMD AM5/AM4, Intel LGA1851/1700 (Black) price source</x:v>
      </x:c>
      <x:c r="B593" s="34" t="str">
        <x:v>https://www.newegg.ca/p/9SIA9H5KF33094</x:v>
      </x:c>
      <x:c r="C593" s="34" t="str">
        <x:v>cooler price seed</x:v>
      </x:c>
      <x:c r="D593" s="34" t="str">
        <x:v>Price/reference</x:v>
      </x:c>
      <x:c r="E593" s="34" t="str">
        <x:v>retail</x:v>
      </x:c>
      <x:c r="F593" s="35" t="str">
        <x:v>2026-06-29</x:v>
      </x:c>
    </x:row>
    <x:row r="594">
      <x:c r="A594" s="33" t="str">
        <x:v>LIAN LI Galahad II Trinity SL-INF 360 GA2T36INB Liquid / Water Cooling price source</x:v>
      </x:c>
      <x:c r="B594" s="34" t="str">
        <x:v>https://www.newegg.ca/p/35-353-018</x:v>
      </x:c>
      <x:c r="C594" s="34" t="str">
        <x:v>cooler price seed</x:v>
      </x:c>
      <x:c r="D594" s="34" t="str">
        <x:v>Price/reference</x:v>
      </x:c>
      <x:c r="E594" s="34" t="str">
        <x:v>retail</x:v>
      </x:c>
      <x:c r="F594" s="35" t="str">
        <x:v>2026-06-29</x:v>
      </x:c>
    </x:row>
    <x:row r="595">
      <x:c r="A595" s="33" t="str">
        <x:v>CORSAIR NAUTILUS 360 RS Liquid CPU Cooler – RS120 Fans – Fits Intel® LGA 1851/1700, AMD®  AM5/AM4 – Simple Daisy-Chain - Direct Motherboard Connection price source</x:v>
      </x:c>
      <x:c r="B595" s="34" t="str">
        <x:v>https://www.newegg.ca/p/35-181-474</x:v>
      </x:c>
      <x:c r="C595" s="34" t="str">
        <x:v>cooler price seed</x:v>
      </x:c>
      <x:c r="D595" s="34" t="str">
        <x:v>Price/reference</x:v>
      </x:c>
      <x:c r="E595" s="34" t="str">
        <x:v>retail</x:v>
      </x:c>
      <x:c r="F595" s="35" t="str">
        <x:v>2026-06-29</x:v>
      </x:c>
    </x:row>
    <x:row r="596">
      <x:c r="A596" s="33" t="str">
        <x:v>CORSAIR NAUTILUS 360 RS ARGB Liquid CPU Cooler – RS120 ARGB Fans – Fits Intel® LGA 1851,  AMD® AM5/AM4 – Simple Daisy-Chain Connections - Direct Motherboard Connection price source</x:v>
      </x:c>
      <x:c r="B596" s="34" t="str">
        <x:v>https://www.newegg.ca/p/35-181-478</x:v>
      </x:c>
      <x:c r="C596" s="34" t="str">
        <x:v>cooler price seed</x:v>
      </x:c>
      <x:c r="D596" s="34" t="str">
        <x:v>Price/reference</x:v>
      </x:c>
      <x:c r="E596" s="34" t="str">
        <x:v>retail</x:v>
      </x:c>
      <x:c r="F596" s="35" t="str">
        <x:v>2026-06-29</x:v>
      </x:c>
    </x:row>
    <x:row r="597">
      <x:c r="A597" s="33" t="str">
        <x:v>CORSAIR NAUTILUS 360 RS ARGB Liquid CPU Cooler – White – RS120 ARGB Fans – Fits Intel®  LGA 1851, AMD® AM5/AM4 – Simple Daisy-Chain Connections - Direct Motherboard  Connection</x:v>
      </x:c>
      <x:c r="B597" s="34" t="str">
        <x:v>https://www.newegg.ca/p/35-181-476</x:v>
      </x:c>
      <x:c r="C597" s="34" t="str">
        <x:v>cooler specifications</x:v>
      </x:c>
      <x:c r="D597" s="34" t="str">
        <x:v>Manufacturer/specification</x:v>
      </x:c>
      <x:c r="E597" s="34" t="str">
        <x:v>retail</x:v>
      </x:c>
      <x:c r="F597" s="35" t="str">
        <x:v>2026-06-29</x:v>
      </x:c>
    </x:row>
    <x:row r="598">
      <x:c r="A598" s="33" t="str">
        <x:v>CORSAIR NAUTILUS 360 RS ARGB Liquid CPU Cooler – White – RS120 ARGB Fans – Fits Intel®  LGA 1851, AMD® AM5/AM4 – Simple Daisy-Chain Connections - Direct Motherboard  Connection price source</x:v>
      </x:c>
      <x:c r="B598" s="34" t="str">
        <x:v>https://www.newegg.ca/p/35-181-476R</x:v>
      </x:c>
      <x:c r="C598" s="34" t="str">
        <x:v>cooler price seed</x:v>
      </x:c>
      <x:c r="D598" s="34" t="str">
        <x:v>Price/reference</x:v>
      </x:c>
      <x:c r="E598" s="34" t="str">
        <x:v>retail</x:v>
      </x:c>
      <x:c r="F598" s="35" t="str">
        <x:v>2026-06-29</x:v>
      </x:c>
    </x:row>
    <x:row r="599">
      <x:c r="A599" s="33" t="str">
        <x:v>CORSAIR NAUTILUS 360 RS LCD Liquid CPU Cooler – 2.1" IPS LCD Screen  – RS120 Fans – 360mm Radiator – Fits Intel® LGA 1851/1700, AMD®  AM5/AM4 – Simple Daisy-Chain Connections price source</x:v>
      </x:c>
      <x:c r="B599" s="34" t="str">
        <x:v>https://www.newegg.ca/p/35-181-496</x:v>
      </x:c>
      <x:c r="C599" s="34" t="str">
        <x:v>cooler price seed</x:v>
      </x:c>
      <x:c r="D599" s="34" t="str">
        <x:v>Price/reference</x:v>
      </x:c>
      <x:c r="E599" s="34" t="str">
        <x:v>retail</x:v>
      </x:c>
      <x:c r="F599" s="35" t="str">
        <x:v>2026-06-29</x:v>
      </x:c>
    </x:row>
    <x:row r="600">
      <x:c r="A600" s="33" t="str">
        <x:v>CORSAIR NAUTILUS 240 RS LCD Liquid CPU Cooler – 2.1" IPS LCD Screen  – RS120 Fans – 240/360mm Radiator – Fits Intel® LGA 1851/1700,  AMD® AM5/AM4 – Simple Daisy-Chain Connections price source</x:v>
      </x:c>
      <x:c r="B600" s="34" t="str">
        <x:v>https://www.newegg.ca/p/35-181-493</x:v>
      </x:c>
      <x:c r="C600" s="34" t="str">
        <x:v>cooler price seed</x:v>
      </x:c>
      <x:c r="D600" s="34" t="str">
        <x:v>Price/reference</x:v>
      </x:c>
      <x:c r="E600" s="34" t="str">
        <x:v>retail</x:v>
      </x:c>
      <x:c r="F600" s="35" t="str">
        <x:v>2026-06-29</x:v>
      </x:c>
    </x:row>
    <x:row r="601">
      <x:c r="A601" s="33" t="str">
        <x:v>NZXT KRAKEN PLUS 280 MM AIO LIQUID COOLER WITH 1.54" LCD &amp; STATIC PRESSURE FANS price source</x:v>
      </x:c>
      <x:c r="B601" s="34" t="str">
        <x:v>https://www.newegg.ca/p/35-146-169</x:v>
      </x:c>
      <x:c r="C601" s="34" t="str">
        <x:v>cooler price seed</x:v>
      </x:c>
      <x:c r="D601" s="34" t="str">
        <x:v>Price/reference</x:v>
      </x:c>
      <x:c r="E601" s="34" t="str">
        <x:v>retail</x:v>
      </x:c>
      <x:c r="F601" s="35" t="str">
        <x:v>2026-06-29</x:v>
      </x:c>
    </x:row>
    <x:row r="602">
      <x:c r="A602" s="33" t="str">
        <x:v>bequiet! PURE LOOP 3 280mm Black CPU liquid cooler for heavily overclocked systems, 2x Pure Wings 3 PWM high-speed fans, Daisy chained PWM fans, PWM pump features 6-pole motor with 3 phases BW028 price source</x:v>
      </x:c>
      <x:c r="B602" s="34" t="str">
        <x:v>https://www.newegg.ca/p/35-269-038</x:v>
      </x:c>
      <x:c r="C602" s="34" t="str">
        <x:v>cooler price seed</x:v>
      </x:c>
      <x:c r="D602" s="34" t="str">
        <x:v>Price/reference</x:v>
      </x:c>
      <x:c r="E602" s="34" t="str">
        <x:v>retail</x:v>
      </x:c>
      <x:c r="F602" s="35" t="str">
        <x:v>2026-06-29</x:v>
      </x:c>
    </x:row>
    <x:row r="603">
      <x:c r="A603" s="33" t="str">
        <x:v>PCCOOLER CPS DC360 Pro ARGB Display AIO CPU Liquid Cooler, 360mm Radiator, 310W TDP, Customizable 2.4" IPS LCD Display, Ceramic Bearing, for Intel LGA 1851/1700/1200/115X &amp; AMD AM5/AM4, Black price source</x:v>
      </x:c>
      <x:c r="B603" s="34" t="str">
        <x:v>https://www.newegg.ca/p/9SIBYC4KEB5572</x:v>
      </x:c>
      <x:c r="C603" s="34" t="str">
        <x:v>cooler price seed</x:v>
      </x:c>
      <x:c r="D603" s="34" t="str">
        <x:v>Price/reference</x:v>
      </x:c>
      <x:c r="E603" s="34" t="str">
        <x:v>retail</x:v>
      </x:c>
      <x:c r="F603" s="35" t="str">
        <x:v>2026-06-29</x:v>
      </x:c>
    </x:row>
    <x:row r="604">
      <x:c r="A604" s="33" t="str">
        <x:v>MSI MEG Core Liquid S280 AIO Liquid CPU Cooler, 2.4" IPS Display 280mm Radiator, Duo 140mm Silent Gale P14 PWM Fans, Controlled by MSI Center Software, AM5 Compatible price source</x:v>
      </x:c>
      <x:c r="B604" s="34" t="str">
        <x:v>https://www.newegg.ca/p/9SIADDZJMU9572</x:v>
      </x:c>
      <x:c r="C604" s="34" t="str">
        <x:v>cooler price seed</x:v>
      </x:c>
      <x:c r="D604" s="34" t="str">
        <x:v>Price/reference</x:v>
      </x:c>
      <x:c r="E604" s="34" t="str">
        <x:v>retail</x:v>
      </x:c>
      <x:c r="F604" s="35" t="str">
        <x:v>2026-06-29</x:v>
      </x:c>
    </x:row>
    <x:row r="605">
      <x:c r="A605" s="33" t="str">
        <x:v>NZXT Kraken X63 280mm - RL-KRX63-01 - AIO RGB CPU Liquid Cooler - Rotating Infinity Mirror Design - Improved Pump - Powered By CAM V4 - RGB Connector - Aer P 140mm Radiator Fans LGA 1700 Compatible price source</x:v>
      </x:c>
      <x:c r="B605" s="34" t="str">
        <x:v>https://www.newegg.ca/p/9SIADDZJK69757</x:v>
      </x:c>
      <x:c r="C605" s="34" t="str">
        <x:v>cooler price seed</x:v>
      </x:c>
      <x:c r="D605" s="34" t="str">
        <x:v>Price/reference</x:v>
      </x:c>
      <x:c r="E605" s="34" t="str">
        <x:v>retail</x:v>
      </x:c>
      <x:c r="F605" s="35" t="str">
        <x:v>2026-06-29</x:v>
      </x:c>
    </x:row>
    <x:row r="606">
      <x:c r="A606" s="33" t="str">
        <x:v>NZXT Kraken X62 280mm - All-In-One RGB CPU Liquid Cooler - CAM-Powered - Infinity Mirror Design - Performance Engineered Pump - Reinforced Extended Tubing - Aer P140mm Radiator Fan (2 Included) price source</x:v>
      </x:c>
      <x:c r="B606" s="34" t="str">
        <x:v>https://www.newegg.ca/p/9SIADDZB5S9263</x:v>
      </x:c>
      <x:c r="C606" s="34" t="str">
        <x:v>cooler price seed</x:v>
      </x:c>
      <x:c r="D606" s="34" t="str">
        <x:v>Price/reference</x:v>
      </x:c>
      <x:c r="E606" s="34" t="str">
        <x:v>retail</x:v>
      </x:c>
      <x:c r="F606" s="35" t="str">
        <x:v>2026-06-29</x:v>
      </x:c>
    </x:row>
    <x:row r="607">
      <x:c r="A607" s="33" t="str">
        <x:v>NZXT Kraken Elite RGB 280mm - RL-KR28E-B1 - RGB AIO CPU Liquid Cooler - Customizable LCD Display - 2 x F140RGB Core Fans Radiator Fans Black LGA 1851 / AM5 Compatible price source</x:v>
      </x:c>
      <x:c r="B607" s="34" t="str">
        <x:v>https://www.newegg.ca/p/9SIADDZJT96708</x:v>
      </x:c>
      <x:c r="C607" s="34" t="str">
        <x:v>cooler price seed</x:v>
      </x:c>
      <x:c r="D607" s="34" t="str">
        <x:v>Price/reference</x:v>
      </x:c>
      <x:c r="E607" s="34" t="str">
        <x:v>retail</x:v>
      </x:c>
      <x:c r="F607" s="35" t="str">
        <x:v>2026-06-29</x:v>
      </x:c>
    </x:row>
    <x:row r="608">
      <x:c r="A608" s="33" t="str">
        <x:v>PCCOOLER CPS DA360 Pro ARGB Digital AIO CPU Liquid Cooler, 360mm Radiator, 300W TDP, 270° Rotatable Digital Display, Infinity Halo ARGB Effect, for Intel LGA 1851/1700/1200/115X &amp; AMD AM5/AM4, Black price source</x:v>
      </x:c>
      <x:c r="B608" s="34" t="str">
        <x:v>https://www.newegg.ca/p/9SIBYC4KEB5575</x:v>
      </x:c>
      <x:c r="C608" s="34" t="str">
        <x:v>cooler price seed</x:v>
      </x:c>
      <x:c r="D608" s="34" t="str">
        <x:v>Price/reference</x:v>
      </x:c>
      <x:c r="E608" s="34" t="str">
        <x:v>retail</x:v>
      </x:c>
      <x:c r="F608" s="35" t="str">
        <x:v>2026-06-29</x:v>
      </x:c>
    </x:row>
    <x:row r="609">
      <x:c r="A609" s="33" t="str">
        <x:v>NZXT Kraken Elite 280mm - RL-KN28E-B1 – AIO CPU Liquid Cooler - Customizable LCD Display - 2 x F140P Static Pressure Fan Radiator Fans LGA 1700 / AM5 Compatible price source</x:v>
      </x:c>
      <x:c r="B609" s="34" t="str">
        <x:v>https://www.newegg.ca/p/9SIADDZJT96706</x:v>
      </x:c>
      <x:c r="C609" s="34" t="str">
        <x:v>cooler price seed</x:v>
      </x:c>
      <x:c r="D609" s="34" t="str">
        <x:v>Price/reference</x:v>
      </x:c>
      <x:c r="E609" s="34" t="str">
        <x:v>retail</x:v>
      </x:c>
      <x:c r="F609" s="35" t="str">
        <x:v>2026-06-29</x:v>
      </x:c>
    </x:row>
    <x:row r="610">
      <x:c r="A610" s="33" t="str">
        <x:v>ASUS ROG STRIX LC II 280 RGB AIO Liquid CPU Cooler 280mm Radiator (Dual 140mm 4-pin PWM Fans) with Armoury Creat Controls ARGB price source</x:v>
      </x:c>
      <x:c r="B610" s="34" t="str">
        <x:v>https://www.newegg.ca/p/9SIADDZHY43444</x:v>
      </x:c>
      <x:c r="C610" s="34" t="str">
        <x:v>cooler price seed</x:v>
      </x:c>
      <x:c r="D610" s="34" t="str">
        <x:v>Price/reference</x:v>
      </x:c>
      <x:c r="E610" s="34" t="str">
        <x:v>retail</x:v>
      </x:c>
      <x:c r="F610" s="35" t="str">
        <x:v>2026-06-29</x:v>
      </x:c>
    </x:row>
    <x:row r="611">
      <x:c r="A611" s="33" t="str">
        <x:v>PCCOOLER CPS DS360 AIO CPU Liquid Cooler, 360mm Radiator, 310W TDP, Dual Chamber Pump, ARGB LEDs &amp; Digital Display, Aluminum Pump Cover, for Intel LGA 1851/1700/1200/115X &amp; AMD AM5/AM4, Black price source</x:v>
      </x:c>
      <x:c r="B611" s="34" t="str">
        <x:v>https://www.newegg.ca/p/9SIBYC4KEB5570</x:v>
      </x:c>
      <x:c r="C611" s="34" t="str">
        <x:v>cooler price seed</x:v>
      </x:c>
      <x:c r="D611" s="34" t="str">
        <x:v>Price/reference</x:v>
      </x:c>
      <x:c r="E611" s="34" t="str">
        <x:v>retail</x:v>
      </x:c>
      <x:c r="F611" s="35" t="str">
        <x:v>2026-06-29</x:v>
      </x:c>
    </x:row>
    <x:row r="612">
      <x:c r="A612" s="33" t="str">
        <x:v>NZXT Kraken X63 RGB 280mm - RL-KRX63-RW - AIO RGB CPU Liquid Cooler - Rotating Infinity Mirror Design - Powered By CAM V4 - RGB Connector - 2 x Aer P 140mm Radiator Fans White LGA 1700 Compatible price source</x:v>
      </x:c>
      <x:c r="B612" s="34" t="str">
        <x:v>https://www.newegg.ca/p/9SIADDZKJT1413</x:v>
      </x:c>
      <x:c r="C612" s="34" t="str">
        <x:v>cooler price seed</x:v>
      </x:c>
      <x:c r="D612" s="34" t="str">
        <x:v>Price/reference</x:v>
      </x:c>
      <x:c r="E612" s="34" t="str">
        <x:v>retail</x:v>
      </x:c>
      <x:c r="F612" s="35" t="str">
        <x:v>2026-06-29</x:v>
      </x:c>
    </x:row>
    <x:row r="613">
      <x:c r="A613" s="33" t="str">
        <x:v>ASUS ROG RYUO III 240 ARGB AIO Liquid CPU Cooler 240mm Radiator, Asetek 8th gen pump solution, Anime Matrix LED Display and ROG AF 12S ARGB fan,Intel LGA 1851/1700/1200 &amp; AMD AM5/AM4 Compatible price source</x:v>
      </x:c>
      <x:c r="B613" s="34" t="str">
        <x:v>https://www.newegg.ca/p/9SIA7BBKHA6736</x:v>
      </x:c>
      <x:c r="C613" s="34" t="str">
        <x:v>cooler price seed</x:v>
      </x:c>
      <x:c r="D613" s="34" t="str">
        <x:v>Price/reference</x:v>
      </x:c>
      <x:c r="E613" s="34" t="str">
        <x:v>retail</x:v>
      </x:c>
      <x:c r="F613" s="35" t="str">
        <x:v>2026-06-29</x:v>
      </x:c>
    </x:row>
    <x:row r="614">
      <x:c r="A614" s="33" t="str">
        <x:v>Thermaltake Floe AIO Riing RGB 280 TT Premium Edition PWM TR4 LGA2066 Ready Liquid Cooling System CL-W167-PL14SW-A LGA 1700 Compatible price source</x:v>
      </x:c>
      <x:c r="B614" s="34" t="str">
        <x:v>https://www.newegg.ca/p/9SIA7BBKH90333</x:v>
      </x:c>
      <x:c r="C614" s="34" t="str">
        <x:v>cooler price seed</x:v>
      </x:c>
      <x:c r="D614" s="34" t="str">
        <x:v>Price/reference</x:v>
      </x:c>
      <x:c r="E614" s="34" t="str">
        <x:v>retail</x:v>
      </x:c>
      <x:c r="F614" s="35" t="str">
        <x:v>2026-06-29</x:v>
      </x:c>
    </x:row>
    <x:row r="615">
      <x:c r="A615" s="33" t="str">
        <x:v>NZXT KRAKEN ELITE RGB 420MM WHITE AIO LIQUID COOLER WITH IPS LCD &amp; RGB CORE SINGLE-FRAME FAN price source</x:v>
      </x:c>
      <x:c r="B615" s="34" t="str">
        <x:v>https://www.newegg.ca/p/35-146-174</x:v>
      </x:c>
      <x:c r="C615" s="34" t="str">
        <x:v>cooler price seed</x:v>
      </x:c>
      <x:c r="D615" s="34" t="str">
        <x:v>Price/reference</x:v>
      </x:c>
      <x:c r="E615" s="34" t="str">
        <x:v>retail</x:v>
      </x:c>
      <x:c r="F615" s="35" t="str">
        <x:v>2026-06-29</x:v>
      </x:c>
    </x:row>
    <x:row r="616">
      <x:c r="A616" s="33" t="str">
        <x:v>ARCTIC COOLING Liquid Freezer III - 420 A-RGB (Black): All-in-One CPU Water Cooler with 420mm radiator and 3x P14 PWM PST A-RGB fan, compatible Intel LGA1700, 1851 and AMD AM4, AM5 - Black color price source</x:v>
      </x:c>
      <x:c r="B616" s="34" t="str">
        <x:v>https://www.newegg.ca/p/9SIA7BBKET7573</x:v>
      </x:c>
      <x:c r="C616" s="34" t="str">
        <x:v>cooler price seed</x:v>
      </x:c>
      <x:c r="D616" s="34" t="str">
        <x:v>Price/reference</x:v>
      </x:c>
      <x:c r="E616" s="34" t="str">
        <x:v>retail</x:v>
      </x:c>
      <x:c r="F616" s="35" t="str">
        <x:v>2026-06-29</x:v>
      </x:c>
    </x:row>
    <x:row r="617">
      <x:c r="A617" s="33" t="str">
        <x:v>Thermaltake TH420 ARGB Sync All-In-One Liquid Cooler Snow Edition, AMD(AM5/AM4) Intel(LGA 1700/1200), 420mm High Efficiency Radiator, CL-W369-PL14SW-A price source</x:v>
      </x:c>
      <x:c r="B617" s="34" t="str">
        <x:v>https://www.newegg.ca/p/9SIA7BBKHA7613</x:v>
      </x:c>
      <x:c r="C617" s="34" t="str">
        <x:v>cooler price seed</x:v>
      </x:c>
      <x:c r="D617" s="34" t="str">
        <x:v>Price/reference</x:v>
      </x:c>
      <x:c r="E617" s="34" t="str">
        <x:v>retail</x:v>
      </x:c>
      <x:c r="F617" s="35" t="str">
        <x:v>2026-06-29</x:v>
      </x:c>
    </x:row>
    <x:row r="618">
      <x:c r="A618" s="33" t="str">
        <x:v>ASUS ROG RYUO IV SLC 360 ARGB White Edition All-in-one AIO Liquid CPU Cooler, 200mm short water,3D visual effects, curved 6.67'' AMOLED screen and ROG AF 12C ARGB fan, AMD AM4/AM5 &amp; Intel LGA1851/1700 price source</x:v>
      </x:c>
      <x:c r="B618" s="34" t="str">
        <x:v>https://www.newegg.ca/p/9SIC4RRKTH9368</x:v>
      </x:c>
      <x:c r="C618" s="34" t="str">
        <x:v>cooler price seed</x:v>
      </x:c>
      <x:c r="D618" s="34" t="str">
        <x:v>Price/reference</x:v>
      </x:c>
      <x:c r="E618" s="34" t="str">
        <x:v>retail</x:v>
      </x:c>
      <x:c r="F618" s="35" t="str">
        <x:v>2026-06-29</x:v>
      </x:c>
    </x:row>
    <x:row r="619">
      <x:c r="A619" s="33" t="str">
        <x:v>ASUS ROG Ryuo IV SLC 360 ARGB MIKU Edition All-in-one AIO Liquid CPU Cooler, 200mm short water,curved 6.67'' AMOLED screen, 3D visual effects, AMD AM4/AM5 &amp; Intel LGA1851/1700 price source</x:v>
      </x:c>
      <x:c r="B619" s="34" t="str">
        <x:v>https://www.newegg.ca/p/9SIC4RVKRJ2958</x:v>
      </x:c>
      <x:c r="C619" s="34" t="str">
        <x:v>cooler price seed</x:v>
      </x:c>
      <x:c r="D619" s="34" t="str">
        <x:v>Price/reference</x:v>
      </x:c>
      <x:c r="E619" s="34" t="str">
        <x:v>retail</x:v>
      </x:c>
      <x:c r="F619" s="35" t="str">
        <x:v>2026-06-29</x:v>
      </x:c>
    </x:row>
    <x:row r="620">
      <x:c r="A620" s="33" t="str">
        <x:v>DeepCool R-AG400-BKANMC-G-2 CPU Air Cooler Black price source</x:v>
      </x:c>
      <x:c r="B620" s="34" t="str">
        <x:v>https://www.canadacomputers.com/en/cpu-air-coolers/229273/deepcool-r-ag400-bkanmc-g-2-cpu-air-cooler-black-r-ag400-bkanmc-g-2.html</x:v>
      </x:c>
      <x:c r="C620" s="34" t="str">
        <x:v>cooler price seed</x:v>
      </x:c>
      <x:c r="D620" s="34" t="str">
        <x:v>Price/reference</x:v>
      </x:c>
      <x:c r="E620" s="34" t="str">
        <x:v>retail</x:v>
      </x:c>
      <x:c r="F620" s="35" t="str">
        <x:v>2026-06-29</x:v>
      </x:c>
    </x:row>
    <x:row r="621">
      <x:c r="A621" s="33" t="str">
        <x:v>Arctic Liquid Freezer III Pro 240 Black AIO CPU Water Cooler price source</x:v>
      </x:c>
      <x:c r="B621" s="34" t="str">
        <x:v>https://www.canadacomputers.com/en/aio-cpu-liquid-coolers/279874/arctic-liquid-freezer-iii-pro-240-black-aio-cpu-water-cooler-acfre00178a.html</x:v>
      </x:c>
      <x:c r="C621" s="34" t="str">
        <x:v>cooler price seed</x:v>
      </x:c>
      <x:c r="D621" s="34" t="str">
        <x:v>Price/reference</x:v>
      </x:c>
      <x:c r="E621" s="34" t="str">
        <x:v>retail</x:v>
      </x:c>
      <x:c r="F621" s="35" t="str">
        <x:v>2026-06-29</x:v>
      </x:c>
    </x:row>
    <x:row r="622">
      <x:c r="A622" s="33" t="str">
        <x:v>Arctic Liquid Freezer III PRO 240 A-RGB AIO CPU Water Cooler Black price source</x:v>
      </x:c>
      <x:c r="B622" s="34" t="str">
        <x:v>https://www.canadacomputers.com/en/aio-cpu-liquid-coolers/279879/arctic-liquid-freezer-iii-pro-240-a-rgb-aio-cpu-water-cooler-black-acfre00182a.html</x:v>
      </x:c>
      <x:c r="C622" s="34" t="str">
        <x:v>cooler price seed</x:v>
      </x:c>
      <x:c r="D622" s="34" t="str">
        <x:v>Price/reference</x:v>
      </x:c>
      <x:c r="E622" s="34" t="str">
        <x:v>retail</x:v>
      </x:c>
      <x:c r="F622" s="35" t="str">
        <x:v>2026-06-29</x:v>
      </x:c>
    </x:row>
    <x:row r="623">
      <x:c r="A623" s="33" t="str">
        <x:v>Arctic Liquid Freezer III 240 A-RGB AIO CPU Water Cooler, White price source</x:v>
      </x:c>
      <x:c r="B623" s="34" t="str">
        <x:v>https://www.canadacomputers.com/en/aio-cpu-liquid-coolers/252934/arctic-liquid-freezer-iii-240-a-rgb-aio-cpu-water-cooler-white-acfre00150a.html</x:v>
      </x:c>
      <x:c r="C623" s="34" t="str">
        <x:v>cooler price seed</x:v>
      </x:c>
      <x:c r="D623" s="34" t="str">
        <x:v>Price/reference</x:v>
      </x:c>
      <x:c r="E623" s="34" t="str">
        <x:v>retail</x:v>
      </x:c>
      <x:c r="F623" s="35" t="str">
        <x:v>2026-06-29</x:v>
      </x:c>
    </x:row>
    <x:row r="624">
      <x:c r="A624" s="33" t="str">
        <x:v>Arctic Liquid Freezer III PRO 360 Black AIO CPU Water Cooler price source</x:v>
      </x:c>
      <x:c r="B624" s="34" t="str">
        <x:v>https://www.canadacomputers.com/en/aio-cpu-liquid-coolers/274971/arctic-liquid-freezer-iii-pro-360-black-aio-cpu-water-cooler-acfre00180a.html</x:v>
      </x:c>
      <x:c r="C624" s="34" t="str">
        <x:v>cooler price seed</x:v>
      </x:c>
      <x:c r="D624" s="34" t="str">
        <x:v>Price/reference</x:v>
      </x:c>
      <x:c r="E624" s="34" t="str">
        <x:v>retail</x:v>
      </x:c>
      <x:c r="F624" s="35" t="str">
        <x:v>2026-06-29</x:v>
      </x:c>
    </x:row>
    <x:row r="625">
      <x:c r="A625" s="33" t="str">
        <x:v>Arctic Liquid Freezer III PRO 360 A-RGB Black AIO CPU Water Cooler price source</x:v>
      </x:c>
      <x:c r="B625" s="34" t="str">
        <x:v>https://www.canadacomputers.com/en/aio-cpu-liquid-coolers/274967/arctic-liquid-freezer-iii-pro-360-a-rgb-black-aio-cpu-water-cooler-acfre00184a.html</x:v>
      </x:c>
      <x:c r="C625" s="34" t="str">
        <x:v>cooler price seed</x:v>
      </x:c>
      <x:c r="D625" s="34" t="str">
        <x:v>Price/reference</x:v>
      </x:c>
      <x:c r="E625" s="34" t="str">
        <x:v>retail</x:v>
      </x:c>
      <x:c r="F625" s="35" t="str">
        <x:v>2026-06-29</x:v>
      </x:c>
    </x:row>
    <x:row r="626">
      <x:c r="A626" s="33" t="str">
        <x:v>Arctic Liquid Freezer III PRO 360 A-RGB White AIO CPU Water Cooler price source</x:v>
      </x:c>
      <x:c r="B626" s="34" t="str">
        <x:v>https://www.canadacomputers.com/en/aio-cpu-liquid-coolers/274950/arctic-liquid-freezer-iii-pro-360-a-rgb-white-aio-cpu-water-cooler-acfre00188a.html</x:v>
      </x:c>
      <x:c r="C626" s="34" t="str">
        <x:v>cooler price seed</x:v>
      </x:c>
      <x:c r="D626" s="34" t="str">
        <x:v>Price/reference</x:v>
      </x:c>
      <x:c r="E626" s="34" t="str">
        <x:v>retail</x:v>
      </x:c>
      <x:c r="F626" s="35" t="str">
        <x:v>2026-06-29</x:v>
      </x:c>
    </x:row>
    <x:row r="627">
      <x:c r="A627" s="33" t="str">
        <x:v>Arctic Liquid Freezer III 360 A-RGB AIO CPU Water Cooler, White price source</x:v>
      </x:c>
      <x:c r="B627" s="34" t="str">
        <x:v>https://www.canadacomputers.com/en/aio-cpu-liquid-coolers/252936/arctic-liquid-freezer-iii-360-a-rgb-aio-cpu-water-cooler-white-acfre00152a.html</x:v>
      </x:c>
      <x:c r="C627" s="34" t="str">
        <x:v>cooler price seed</x:v>
      </x:c>
      <x:c r="D627" s="34" t="str">
        <x:v>Price/reference</x:v>
      </x:c>
      <x:c r="E627" s="34" t="str">
        <x:v>retail</x:v>
      </x:c>
      <x:c r="F627" s="35" t="str">
        <x:v>2026-06-29</x:v>
      </x:c>
    </x:row>
    <x:row r="628">
      <x:c r="A628" s="33" t="str">
        <x:v>LIAN LI Galahad II Trinity SL-INF 360mm AIO Liquid CPU Cooler - White price source</x:v>
      </x:c>
      <x:c r="B628" s="34" t="str">
        <x:v>https://www.canadacomputers.com/en/aio-cpu-liquid-coolers/244001/lian-li-galahad-ii-trinity-sl-inf-360mm-aio-liquid-cpu-cooler-white-ga2t36inw.html</x:v>
      </x:c>
      <x:c r="C628" s="34" t="str">
        <x:v>cooler price seed</x:v>
      </x:c>
      <x:c r="D628" s="34" t="str">
        <x:v>Price/reference</x:v>
      </x:c>
      <x:c r="E628" s="34" t="str">
        <x:v>retail</x:v>
      </x:c>
      <x:c r="F628" s="35" t="str">
        <x:v>2026-06-29</x:v>
      </x:c>
    </x:row>
    <x:row r="629">
      <x:c r="A629" s="33" t="str">
        <x:v>LIAN LI Galahad II Trinity 360mm AIO Liquid CPU Cooler - White price source</x:v>
      </x:c>
      <x:c r="B629" s="34" t="str">
        <x:v>https://www.canadacomputers.com/en/aio-cpu-liquid-coolers/243999/lian-li-galahad-ii-trinity-360mm-aio-liquid-cpu-cooler-white-ga2t36w.html</x:v>
      </x:c>
      <x:c r="C629" s="34" t="str">
        <x:v>cooler price seed</x:v>
      </x:c>
      <x:c r="D629" s="34" t="str">
        <x:v>Price/reference</x:v>
      </x:c>
      <x:c r="E629" s="34" t="str">
        <x:v>retail</x:v>
      </x:c>
      <x:c r="F629" s="35" t="str">
        <x:v>2026-06-29</x:v>
      </x:c>
    </x:row>
    <x:row r="630">
      <x:c r="A630" s="33" t="str">
        <x:v>Seasonic Vertex PX-1200 ATX 3.1 price source</x:v>
      </x:c>
      <x:c r="B630" s="34" t="str">
        <x:v>https://seasonic.com/vertex-px/</x:v>
      </x:c>
      <x:c r="C630" s="34" t="str">
        <x:v>psu price seed</x:v>
      </x:c>
      <x:c r="D630" s="34" t="str">
        <x:v>Price/reference</x:v>
      </x:c>
      <x:c r="E630" s="34" t="str">
        <x:v>reference</x:v>
      </x:c>
      <x:c r="F630" s="35" t="str">
        <x:v>2026-06-28</x:v>
      </x:c>
    </x:row>
    <x:row r="631">
      <x:c r="A631" s="33" t="str">
        <x:v>Corsair SF1000 Platinum price source</x:v>
      </x:c>
      <x:c r="B631" s="34" t="str">
        <x:v>https://www.corsair.com/us/en/p/psu/cp-9020257-na/sf-series-sf1000-fully-modular-80-plus-platinum-sfx-power-supply-cp-9020257-na</x:v>
      </x:c>
      <x:c r="C631" s="34" t="str">
        <x:v>psu price seed</x:v>
      </x:c>
      <x:c r="D631" s="34" t="str">
        <x:v>Price/reference</x:v>
      </x:c>
      <x:c r="E631" s="34" t="str">
        <x:v>reference</x:v>
      </x:c>
      <x:c r="F631" s="35" t="str">
        <x:v>2026-06-28</x:v>
      </x:c>
    </x:row>
    <x:row r="632">
      <x:c r="A632" s="33" t="str">
        <x:v>Corsair CXM price source</x:v>
      </x:c>
      <x:c r="B632" s="34" t="str">
        <x:v>https://fr.pcpartpicker.com/product/CVkD4D/corsair-cxm-750-w-80-bronze-certified-semi-modular-atx-power-supply-cx750m</x:v>
      </x:c>
      <x:c r="C632" s="34" t="str">
        <x:v>psu price seed</x:v>
      </x:c>
      <x:c r="D632" s="34" t="str">
        <x:v>Price/reference</x:v>
      </x:c>
      <x:c r="E632" s="34" t="str">
        <x:v>reference</x:v>
      </x:c>
      <x:c r="F632" s="35" t="str">
        <x:v>2026-06-28</x:v>
      </x:c>
    </x:row>
    <x:row r="633">
      <x:c r="A633" s="33" t="str">
        <x:v>Corsair SF750 (2018) price source</x:v>
      </x:c>
      <x:c r="B633" s="34" t="str">
        <x:v>https://fr.pcpartpicker.com/product/nJrmP6/corsair-sf750-2018-750-w-80-platinum-certified-fully-modular-sfx-power-supply-cp-9020186-na</x:v>
      </x:c>
      <x:c r="C633" s="34" t="str">
        <x:v>psu price seed</x:v>
      </x:c>
      <x:c r="D633" s="34" t="str">
        <x:v>Price/reference</x:v>
      </x:c>
      <x:c r="E633" s="34" t="str">
        <x:v>reference</x:v>
      </x:c>
      <x:c r="F633" s="35" t="str">
        <x:v>2026-06-28</x:v>
      </x:c>
    </x:row>
    <x:row r="634">
      <x:c r="A634" s="33" t="str">
        <x:v>Corsair RM750 (2019) price source</x:v>
      </x:c>
      <x:c r="B634" s="34" t="str">
        <x:v>https://fr.pcpartpicker.com/product/6Y66Mp/corsair-rm750-2019-750-w-80-gold-certified-fully-modular-atx-power-supply-cp-9020195-na</x:v>
      </x:c>
      <x:c r="C634" s="34" t="str">
        <x:v>psu price seed</x:v>
      </x:c>
      <x:c r="D634" s="34" t="str">
        <x:v>Price/reference</x:v>
      </x:c>
      <x:c r="E634" s="34" t="str">
        <x:v>reference</x:v>
      </x:c>
      <x:c r="F634" s="35" t="str">
        <x:v>2026-06-28</x:v>
      </x:c>
    </x:row>
    <x:row r="635">
      <x:c r="A635" s="33" t="str">
        <x:v>Corsair RM850x (2018) price source</x:v>
      </x:c>
      <x:c r="B635" s="34" t="str">
        <x:v>https://fr.pcpartpicker.com/product/VgQG3C/corsair-rm850x-2018-850-w-80-gold-certified-fully-modular-atx-power-supply-cp-9020180-na</x:v>
      </x:c>
      <x:c r="C635" s="34" t="str">
        <x:v>psu price seed</x:v>
      </x:c>
      <x:c r="D635" s="34" t="str">
        <x:v>Price/reference</x:v>
      </x:c>
      <x:c r="E635" s="34" t="str">
        <x:v>reference</x:v>
      </x:c>
      <x:c r="F635" s="35" t="str">
        <x:v>2026-06-28</x:v>
      </x:c>
    </x:row>
    <x:row r="636">
      <x:c r="A636" s="33" t="str">
        <x:v>Corsair RM750e (2023) price source</x:v>
      </x:c>
      <x:c r="B636" s="34" t="str">
        <x:v>https://fr.pcpartpicker.com/product/YRJp99/corsair-rm750e-2023-750-w-80-gold-certified-fully-modular-atx-power-supply-cp-9020262-na</x:v>
      </x:c>
      <x:c r="C636" s="34" t="str">
        <x:v>psu price seed</x:v>
      </x:c>
      <x:c r="D636" s="34" t="str">
        <x:v>Price/reference</x:v>
      </x:c>
      <x:c r="E636" s="34" t="str">
        <x:v>reference</x:v>
      </x:c>
      <x:c r="F636" s="35" t="str">
        <x:v>2026-06-28</x:v>
      </x:c>
    </x:row>
    <x:row r="637">
      <x:c r="A637" s="33" t="str">
        <x:v>Corsair RM750x (2018) price source</x:v>
      </x:c>
      <x:c r="B637" s="34" t="str">
        <x:v>https://fr.pcpartpicker.com/product/79tQzy/corsair-rm750x-2018-750-w-80-gold-certified-fully-modular-atx-power-supply-cp-9020179-na</x:v>
      </x:c>
      <x:c r="C637" s="34" t="str">
        <x:v>psu price seed</x:v>
      </x:c>
      <x:c r="D637" s="34" t="str">
        <x:v>Price/reference</x:v>
      </x:c>
      <x:c r="E637" s="34" t="str">
        <x:v>reference</x:v>
      </x:c>
      <x:c r="F637" s="35" t="str">
        <x:v>2026-06-28</x:v>
      </x:c>
    </x:row>
    <x:row r="638">
      <x:c r="A638" s="33" t="str">
        <x:v>Corsair RM750 price source</x:v>
      </x:c>
      <x:c r="B638" s="34" t="str">
        <x:v>https://fr.pcpartpicker.com/product/47mLrH/corsair-rm750-750-w-80-gold-certified-fully-modular-atx-power-supply-rm750</x:v>
      </x:c>
      <x:c r="C638" s="34" t="str">
        <x:v>psu price seed</x:v>
      </x:c>
      <x:c r="D638" s="34" t="str">
        <x:v>Price/reference</x:v>
      </x:c>
      <x:c r="E638" s="34" t="str">
        <x:v>reference</x:v>
      </x:c>
      <x:c r="F638" s="35" t="str">
        <x:v>2026-06-28</x:v>
      </x:c>
    </x:row>
    <x:row r="639">
      <x:c r="A639" s="33" t="str">
        <x:v>Corsair CX600 price source</x:v>
      </x:c>
      <x:c r="B639" s="34" t="str">
        <x:v>https://fr.pcpartpicker.com/product/Cfw323/corsair-cx600-600-w-80-bronze-certified-atx-power-supply-cx600</x:v>
      </x:c>
      <x:c r="C639" s="34" t="str">
        <x:v>psu price seed</x:v>
      </x:c>
      <x:c r="D639" s="34" t="str">
        <x:v>Price/reference</x:v>
      </x:c>
      <x:c r="E639" s="34" t="str">
        <x:v>reference</x:v>
      </x:c>
      <x:c r="F639" s="35" t="str">
        <x:v>2026-06-28</x:v>
      </x:c>
    </x:row>
    <x:row r="640">
      <x:c r="A640" s="33" t="str">
        <x:v>Corsair RM1000x (2021) price source</x:v>
      </x:c>
      <x:c r="B640" s="34" t="str">
        <x:v>https://fr.pcpartpicker.com/product/jRvdnQ/corsair-rm1000x-2021-1000-w-80-gold-certified-fully-modular-atx-power-supply-cp-9020201-na</x:v>
      </x:c>
      <x:c r="C640" s="34" t="str">
        <x:v>psu price seed</x:v>
      </x:c>
      <x:c r="D640" s="34" t="str">
        <x:v>Price/reference</x:v>
      </x:c>
      <x:c r="E640" s="34" t="str">
        <x:v>reference</x:v>
      </x:c>
      <x:c r="F640" s="35" t="str">
        <x:v>2026-06-28</x:v>
      </x:c>
    </x:row>
    <x:row r="641">
      <x:c r="A641" s="33" t="str">
        <x:v>Corsair RM850e (2023) price source</x:v>
      </x:c>
      <x:c r="B641" s="34" t="str">
        <x:v>https://fr.pcpartpicker.com/product/4ZRwrH/corsair-rm850e-2023-850-w-80-gold-certified-fully-modular-atx-power-supply-cp-9020263-na</x:v>
      </x:c>
      <x:c r="C641" s="34" t="str">
        <x:v>psu price seed</x:v>
      </x:c>
      <x:c r="D641" s="34" t="str">
        <x:v>Price/reference</x:v>
      </x:c>
      <x:c r="E641" s="34" t="str">
        <x:v>reference</x:v>
      </x:c>
      <x:c r="F641" s="35" t="str">
        <x:v>2026-06-28</x:v>
      </x:c>
    </x:row>
    <x:row r="642">
      <x:c r="A642" s="33" t="str">
        <x:v>MSI MAG A750GL PCIE5 price source</x:v>
      </x:c>
      <x:c r="B642" s="34" t="str">
        <x:v>https://fr.pcpartpicker.com/product/dbCZxr/msi-mag-a750gl-pcie5-750-w-80-gold-certified-fully-modular-atx-power-supply-mag-a750gl-pcie5</x:v>
      </x:c>
      <x:c r="C642" s="34" t="str">
        <x:v>psu price seed</x:v>
      </x:c>
      <x:c r="D642" s="34" t="str">
        <x:v>Price/reference</x:v>
      </x:c>
      <x:c r="E642" s="34" t="str">
        <x:v>reference</x:v>
      </x:c>
      <x:c r="F642" s="35" t="str">
        <x:v>2026-06-28</x:v>
      </x:c>
    </x:row>
    <x:row r="643">
      <x:c r="A643" s="33" t="str">
        <x:v>MSI MAG A850GL PCIE5 price source</x:v>
      </x:c>
      <x:c r="B643" s="34" t="str">
        <x:v>https://fr.pcpartpicker.com/product/zF4Zxr/msi-mag-a850gl-pcie5-850-w-80-gold-certified-fully-modular-atx-power-supply-mag-a850gl-pcie5</x:v>
      </x:c>
      <x:c r="C643" s="34" t="str">
        <x:v>psu price seed</x:v>
      </x:c>
      <x:c r="D643" s="34" t="str">
        <x:v>Price/reference</x:v>
      </x:c>
      <x:c r="E643" s="34" t="str">
        <x:v>reference</x:v>
      </x:c>
      <x:c r="F643" s="35" t="str">
        <x:v>2026-06-28</x:v>
      </x:c>
    </x:row>
    <x:row r="644">
      <x:c r="A644" s="33" t="str">
        <x:v>Corsair RM850 price source</x:v>
      </x:c>
      <x:c r="B644" s="34" t="str">
        <x:v>https://fr.pcpartpicker.com/product/9KGbt6/corsair-rm850-850-w-80-gold-certified-fully-modular-atx-power-supply-cp-9020232-na</x:v>
      </x:c>
      <x:c r="C644" s="34" t="str">
        <x:v>psu price seed</x:v>
      </x:c>
      <x:c r="D644" s="34" t="str">
        <x:v>Price/reference</x:v>
      </x:c>
      <x:c r="E644" s="34" t="str">
        <x:v>reference</x:v>
      </x:c>
      <x:c r="F644" s="35" t="str">
        <x:v>2026-06-28</x:v>
      </x:c>
    </x:row>
    <x:row r="645">
      <x:c r="A645" s="33" t="str">
        <x:v>Corsair RM1000e (2023) price source</x:v>
      </x:c>
      <x:c r="B645" s="34" t="str">
        <x:v>https://fr.pcpartpicker.com/product/fxGhP6/corsair-rm1000e-2023-1000-w-80-gold-certified-fully-modular-atx-power-supply-cp-9020264-na</x:v>
      </x:c>
      <x:c r="C645" s="34" t="str">
        <x:v>psu price seed</x:v>
      </x:c>
      <x:c r="D645" s="34" t="str">
        <x:v>Price/reference</x:v>
      </x:c>
      <x:c r="E645" s="34" t="str">
        <x:v>reference</x:v>
      </x:c>
      <x:c r="F645" s="35" t="str">
        <x:v>2026-06-28</x:v>
      </x:c>
    </x:row>
    <x:row r="646">
      <x:c r="A646" s="33" t="str">
        <x:v>Corsair RM750x price source</x:v>
      </x:c>
      <x:c r="B646" s="34" t="str">
        <x:v>https://fr.pcpartpicker.com/product/9q38TW/corsair-rm750x-750-w-80-gold-certified-fully-modular-atx-power-supply-cp-9020092-na</x:v>
      </x:c>
      <x:c r="C646" s="34" t="str">
        <x:v>psu price seed</x:v>
      </x:c>
      <x:c r="D646" s="34" t="str">
        <x:v>Price/reference</x:v>
      </x:c>
      <x:c r="E646" s="34" t="str">
        <x:v>reference</x:v>
      </x:c>
      <x:c r="F646" s="35" t="str">
        <x:v>2026-06-28</x:v>
      </x:c>
    </x:row>
    <x:row r="647">
      <x:c r="A647" s="33" t="str">
        <x:v>EVGA 750 GQ price source</x:v>
      </x:c>
      <x:c r="B647" s="34" t="str">
        <x:v>https://fr.pcpartpicker.com/product/rt8H99/evga-750-gq-750-w-80-gold-certified-semi-modular-atx-power-supply-210-gq-0750</x:v>
      </x:c>
      <x:c r="C647" s="34" t="str">
        <x:v>psu price seed</x:v>
      </x:c>
      <x:c r="D647" s="34" t="str">
        <x:v>Price/reference</x:v>
      </x:c>
      <x:c r="E647" s="34" t="str">
        <x:v>reference</x:v>
      </x:c>
      <x:c r="F647" s="35" t="str">
        <x:v>2026-06-28</x:v>
      </x:c>
    </x:row>
    <x:row r="648">
      <x:c r="A648" s="33" t="str">
        <x:v>Cooler Master V850 SFX GOLD price source</x:v>
      </x:c>
      <x:c r="B648" s="34" t="str">
        <x:v>https://fr.pcpartpicker.com/product/Q36qqs/cooler-master-v850-sfx-gold-850-w-80-gold-certified-fully-modular-sfx-power-supply-mpy-8501-sfhagv-us</x:v>
      </x:c>
      <x:c r="C648" s="34" t="str">
        <x:v>psu price seed</x:v>
      </x:c>
      <x:c r="D648" s="34" t="str">
        <x:v>Price/reference</x:v>
      </x:c>
      <x:c r="E648" s="34" t="str">
        <x:v>reference</x:v>
      </x:c>
      <x:c r="F648" s="35" t="str">
        <x:v>2026-06-28</x:v>
      </x:c>
    </x:row>
    <x:row r="649">
      <x:c r="A649" s="33" t="str">
        <x:v>MSI MAG A650BN price source</x:v>
      </x:c>
      <x:c r="B649" s="34" t="str">
        <x:v>https://fr.pcpartpicker.com/product/8LNxFT/msi-mag-a-bn-650-w-80-bronze-certified-atx-power-supply-mag-a650bn</x:v>
      </x:c>
      <x:c r="C649" s="34" t="str">
        <x:v>psu price seed</x:v>
      </x:c>
      <x:c r="D649" s="34" t="str">
        <x:v>Price/reference</x:v>
      </x:c>
      <x:c r="E649" s="34" t="str">
        <x:v>reference</x:v>
      </x:c>
      <x:c r="F649" s="35" t="str">
        <x:v>2026-06-28</x:v>
      </x:c>
    </x:row>
    <x:row r="650">
      <x:c r="A650" s="33" t="str">
        <x:v>Corsair RM850x (2024) price source</x:v>
      </x:c>
      <x:c r="B650" s="34" t="str">
        <x:v>https://fr.pcpartpicker.com/product/vY4Zxr/corsair-rm850x-2024-850-w-fully-modular-atx-power-supply-cp-9020270-na</x:v>
      </x:c>
      <x:c r="C650" s="34" t="str">
        <x:v>psu price seed</x:v>
      </x:c>
      <x:c r="D650" s="34" t="str">
        <x:v>Price/reference</x:v>
      </x:c>
      <x:c r="E650" s="34" t="str">
        <x:v>reference</x:v>
      </x:c>
      <x:c r="F650" s="35" t="str">
        <x:v>2026-06-28</x:v>
      </x:c>
    </x:row>
    <x:row r="651">
      <x:c r="A651" s="33" t="str">
        <x:v>Corsair RM1000x (2024) price source</x:v>
      </x:c>
      <x:c r="B651" s="34" t="str">
        <x:v>https://fr.pcpartpicker.com/product/XZsV3C/corsair-rm1000x-2024-1000-w-fully-modular-atx-power-supply-cp-9020271-na</x:v>
      </x:c>
      <x:c r="C651" s="34" t="str">
        <x:v>psu price seed</x:v>
      </x:c>
      <x:c r="D651" s="34" t="str">
        <x:v>Price/reference</x:v>
      </x:c>
      <x:c r="E651" s="34" t="str">
        <x:v>reference</x:v>
      </x:c>
      <x:c r="F651" s="35" t="str">
        <x:v>2026-06-28</x:v>
      </x:c>
    </x:row>
    <x:row r="652">
      <x:c r="A652" s="33" t="str">
        <x:v>MSI A1000G PCIE5 price source</x:v>
      </x:c>
      <x:c r="B652" s="34" t="str">
        <x:v>https://fr.pcpartpicker.com/product/ZDt9TW/msi-a1000g-pcie5-1000-w-80-gold-certified-fully-modular-atx-power-supply-mpg-a1000g-pcie-5</x:v>
      </x:c>
      <x:c r="C652" s="34" t="str">
        <x:v>psu price seed</x:v>
      </x:c>
      <x:c r="D652" s="34" t="str">
        <x:v>Price/reference</x:v>
      </x:c>
      <x:c r="E652" s="34" t="str">
        <x:v>reference</x:v>
      </x:c>
      <x:c r="F652" s="35" t="str">
        <x:v>2026-06-28</x:v>
      </x:c>
    </x:row>
    <x:row r="653">
      <x:c r="A653" s="33" t="str">
        <x:v>Gigabyte UD750GM price source</x:v>
      </x:c>
      <x:c r="B653" s="34" t="str">
        <x:v>https://fr.pcpartpicker.com/product/W4Tp99/gigabyte-ud750gm-750-w-80-gold-certified-fully-modular-atx-power-supply-gp-ud750gm</x:v>
      </x:c>
      <x:c r="C653" s="34" t="str">
        <x:v>psu price seed</x:v>
      </x:c>
      <x:c r="D653" s="34" t="str">
        <x:v>Price/reference</x:v>
      </x:c>
      <x:c r="E653" s="34" t="str">
        <x:v>reference</x:v>
      </x:c>
      <x:c r="F653" s="35" t="str">
        <x:v>2026-06-28</x:v>
      </x:c>
    </x:row>
    <x:row r="654">
      <x:c r="A654" s="33" t="str">
        <x:v>Corsair HX1200 Platinum price source</x:v>
      </x:c>
      <x:c r="B654" s="34" t="str">
        <x:v>https://fr.pcpartpicker.com/product/f7L7YJ/corsair-hx1200-platinum-1200-w-80-platinum-certified-fully-modular-atx-power-supply-cp-9020140-na</x:v>
      </x:c>
      <x:c r="C654" s="34" t="str">
        <x:v>psu price seed</x:v>
      </x:c>
      <x:c r="D654" s="34" t="str">
        <x:v>Price/reference</x:v>
      </x:c>
      <x:c r="E654" s="34" t="str">
        <x:v>reference</x:v>
      </x:c>
      <x:c r="F654" s="35" t="str">
        <x:v>2026-06-28</x:v>
      </x:c>
    </x:row>
    <x:row r="655">
      <x:c r="A655" s="33" t="str">
        <x:v>EVGA SuperNOVA 1000 G2 price source</x:v>
      </x:c>
      <x:c r="B655" s="34" t="str">
        <x:v>https://fr.pcpartpicker.com/product/MKfp99/evga-supernova-1000-g2-1000-w-80-gold-certified-fully-modular-atx-power-supply-120-g2-1000-xr</x:v>
      </x:c>
      <x:c r="C655" s="34" t="str">
        <x:v>psu price seed</x:v>
      </x:c>
      <x:c r="D655" s="34" t="str">
        <x:v>Price/reference</x:v>
      </x:c>
      <x:c r="E655" s="34" t="str">
        <x:v>reference</x:v>
      </x:c>
      <x:c r="F655" s="35" t="str">
        <x:v>2026-06-28</x:v>
      </x:c>
    </x:row>
    <x:row r="656">
      <x:c r="A656" s="33" t="str">
        <x:v>Corsair CX450 (2017) price source</x:v>
      </x:c>
      <x:c r="B656" s="34" t="str">
        <x:v>https://fr.pcpartpicker.com/product/Q7L7YJ/corsair-cx450-2017-450-w-80-bronze-certified-atx-power-supply-cp-9020120-na</x:v>
      </x:c>
      <x:c r="C656" s="34" t="str">
        <x:v>psu price seed</x:v>
      </x:c>
      <x:c r="D656" s="34" t="str">
        <x:v>Price/reference</x:v>
      </x:c>
      <x:c r="E656" s="34" t="str">
        <x:v>reference</x:v>
      </x:c>
      <x:c r="F656" s="35" t="str">
        <x:v>2026-06-28</x:v>
      </x:c>
    </x:row>
    <x:row r="657">
      <x:c r="A657" s="33" t="str">
        <x:v>MSI MAG A550BN price source</x:v>
      </x:c>
      <x:c r="B657" s="34" t="str">
        <x:v>https://fr.pcpartpicker.com/product/mnVmP6/msi-mag-a550bn-550-w-80-bronze-certified-atx-power-supply-mag-a550bn</x:v>
      </x:c>
      <x:c r="C657" s="34" t="str">
        <x:v>psu price seed</x:v>
      </x:c>
      <x:c r="D657" s="34" t="str">
        <x:v>Price/reference</x:v>
      </x:c>
      <x:c r="E657" s="34" t="str">
        <x:v>reference</x:v>
      </x:c>
      <x:c r="F657" s="35" t="str">
        <x:v>2026-06-28</x:v>
      </x:c>
    </x:row>
    <x:row r="658">
      <x:c r="A658" s="33" t="str">
        <x:v>Thermaltake Toughpower GF1 PE price source</x:v>
      </x:c>
      <x:c r="B658" s="34" t="str">
        <x:v>https://fr.pcpartpicker.com/product/P7pmP6/thermaltake-toughpower-gf1-pe-850-w-80-gold-certified-fully-modular-atx-power-supply-ps-tpd-0850fnfagu-1</x:v>
      </x:c>
      <x:c r="C658" s="34" t="str">
        <x:v>psu price seed</x:v>
      </x:c>
      <x:c r="D658" s="34" t="str">
        <x:v>Price/reference</x:v>
      </x:c>
      <x:c r="E658" s="34" t="str">
        <x:v>reference</x:v>
      </x:c>
      <x:c r="F658" s="35" t="str">
        <x:v>2026-06-28</x:v>
      </x:c>
    </x:row>
    <x:row r="659">
      <x:c r="A659" s="33" t="str">
        <x:v>Corsair SF750 (2024) price source</x:v>
      </x:c>
      <x:c r="B659" s="34" t="str">
        <x:v>https://fr.pcpartpicker.com/product/TsTZxr/corsair-sf750-2024-750-w-80-platinum-certified-fully-modular-sfx-power-supply-cp-9020284</x:v>
      </x:c>
      <x:c r="C659" s="34" t="str">
        <x:v>psu price seed</x:v>
      </x:c>
      <x:c r="D659" s="34" t="str">
        <x:v>Price/reference</x:v>
      </x:c>
      <x:c r="E659" s="34" t="str">
        <x:v>reference</x:v>
      </x:c>
      <x:c r="F659" s="35" t="str">
        <x:v>2026-06-28</x:v>
      </x:c>
    </x:row>
    <x:row r="660">
      <x:c r="A660" s="33" t="str">
        <x:v>Corsair SF1000 (2024) price source</x:v>
      </x:c>
      <x:c r="B660" s="34" t="str">
        <x:v>https://fr.pcpartpicker.com/product/Y4zXsY/corsair-sf1000-2024-1000-w-80-platinum-certified-fully-modular-sfx-power-supply-cp-9020257</x:v>
      </x:c>
      <x:c r="C660" s="34" t="str">
        <x:v>psu price seed</x:v>
      </x:c>
      <x:c r="D660" s="34" t="str">
        <x:v>Price/reference</x:v>
      </x:c>
      <x:c r="E660" s="34" t="str">
        <x:v>reference</x:v>
      </x:c>
      <x:c r="F660" s="35" t="str">
        <x:v>2026-06-28</x:v>
      </x:c>
    </x:row>
    <x:row r="661">
      <x:c r="A661" s="33" t="str">
        <x:v>EVGA SuperNOVA 750 P2 price source</x:v>
      </x:c>
      <x:c r="B661" s="34" t="str">
        <x:v>https://fr.pcpartpicker.com/product/jBZ2FT/evga-supernova-750-p2-750-w-80-platinum-certified-fully-modular-atx-power-supply-220-p2-0750-x1</x:v>
      </x:c>
      <x:c r="C661" s="34" t="str">
        <x:v>psu price seed</x:v>
      </x:c>
      <x:c r="D661" s="34" t="str">
        <x:v>Price/reference</x:v>
      </x:c>
      <x:c r="E661" s="34" t="str">
        <x:v>reference</x:v>
      </x:c>
      <x:c r="F661" s="35" t="str">
        <x:v>2026-06-28</x:v>
      </x:c>
    </x:row>
    <x:row r="662">
      <x:c r="A662" s="33" t="str">
        <x:v>Corsair RM850x price source</x:v>
      </x:c>
      <x:c r="B662" s="34" t="str">
        <x:v>https://fr.pcpartpicker.com/product/7Dx9TW/corsair-rm850x-850-w-80-gold-certified-fully-modular-atx-power-supply-cp-9020093-na</x:v>
      </x:c>
      <x:c r="C662" s="34" t="str">
        <x:v>psu price seed</x:v>
      </x:c>
      <x:c r="D662" s="34" t="str">
        <x:v>Price/reference</x:v>
      </x:c>
      <x:c r="E662" s="34" t="str">
        <x:v>reference</x:v>
      </x:c>
      <x:c r="F662" s="35" t="str">
        <x:v>2026-06-28</x:v>
      </x:c>
    </x:row>
    <x:row r="663">
      <x:c r="A663" s="33" t="str">
        <x:v>Corsair CX550 (2017) price source</x:v>
      </x:c>
      <x:c r="B663" s="34" t="str">
        <x:v>https://fr.pcpartpicker.com/product/FdRFf7/corsair-cx550-2017-550-w-80-bronze-certified-atx-power-supply-cp-9020121-na</x:v>
      </x:c>
      <x:c r="C663" s="34" t="str">
        <x:v>psu price seed</x:v>
      </x:c>
      <x:c r="D663" s="34" t="str">
        <x:v>Price/reference</x:v>
      </x:c>
      <x:c r="E663" s="34" t="str">
        <x:v>reference</x:v>
      </x:c>
      <x:c r="F663" s="35" t="str">
        <x:v>2026-06-28</x:v>
      </x:c>
    </x:row>
    <x:row r="664">
      <x:c r="A664" s="33" t="str">
        <x:v>Corsair TX650 V2 price source</x:v>
      </x:c>
      <x:c r="B664" s="34" t="str">
        <x:v>https://fr.pcpartpicker.com/product/Z4fp99/corsair-tx650-v2-650-w-80-bronze-certified-atx-power-supply-cmpsu-650txv2</x:v>
      </x:c>
      <x:c r="C664" s="34" t="str">
        <x:v>psu price seed</x:v>
      </x:c>
      <x:c r="D664" s="34" t="str">
        <x:v>Price/reference</x:v>
      </x:c>
      <x:c r="E664" s="34" t="str">
        <x:v>reference</x:v>
      </x:c>
      <x:c r="F664" s="35" t="str">
        <x:v>2026-06-28</x:v>
      </x:c>
    </x:row>
    <x:row r="665">
      <x:c r="A665" s="33" t="str">
        <x:v>Corsair RM850e (2025) price source</x:v>
      </x:c>
      <x:c r="B665" s="34" t="str">
        <x:v>https://fr.pcpartpicker.com/product/zBbypg/corsair-rm850e-2025-850-w-fully-modular-atx-power-supply-cp-9020296-na</x:v>
      </x:c>
      <x:c r="C665" s="34" t="str">
        <x:v>psu price seed</x:v>
      </x:c>
      <x:c r="D665" s="34" t="str">
        <x:v>Price/reference</x:v>
      </x:c>
      <x:c r="E665" s="34" t="str">
        <x:v>reference</x:v>
      </x:c>
      <x:c r="F665" s="35" t="str">
        <x:v>2026-06-28</x:v>
      </x:c>
    </x:row>
    <x:row r="666">
      <x:c r="A666" s="33" t="str">
        <x:v>Montech CENTURY II price source</x:v>
      </x:c>
      <x:c r="B666" s="34" t="str">
        <x:v>https://fr.pcpartpicker.com/product/sqbypg/montech-century-ii-850-w-80-gold-certified-fully-modular-atx-power-supply-century-ii-850w</x:v>
      </x:c>
      <x:c r="C666" s="34" t="str">
        <x:v>psu price seed</x:v>
      </x:c>
      <x:c r="D666" s="34" t="str">
        <x:v>Price/reference</x:v>
      </x:c>
      <x:c r="E666" s="34" t="str">
        <x:v>reference</x:v>
      </x:c>
      <x:c r="F666" s="35" t="str">
        <x:v>2026-06-28</x:v>
      </x:c>
    </x:row>
    <x:row r="667">
      <x:c r="A667" s="33" t="str">
        <x:v>MSI MPG A850G PCIE5 price source</x:v>
      </x:c>
      <x:c r="B667" s="34" t="str">
        <x:v>https://fr.pcpartpicker.com/product/nhC48d/msi-mpg-a850g-pcie5-850-w-80-gold-certified-fully-modular-atx-power-supply-mpg-a850g-pcie5</x:v>
      </x:c>
      <x:c r="C667" s="34" t="str">
        <x:v>psu price seed</x:v>
      </x:c>
      <x:c r="D667" s="34" t="str">
        <x:v>Price/reference</x:v>
      </x:c>
      <x:c r="E667" s="34" t="str">
        <x:v>reference</x:v>
      </x:c>
      <x:c r="F667" s="35" t="str">
        <x:v>2026-06-28</x:v>
      </x:c>
    </x:row>
    <x:row r="668">
      <x:c r="A668" s="33" t="str">
        <x:v>Corsair SF850 (2024) price source</x:v>
      </x:c>
      <x:c r="B668" s="34" t="str">
        <x:v>https://fr.pcpartpicker.com/product/ZsTZxr/corsair-sf850-2024-850-w-80-platinum-certified-fully-modular-sfx-power-supply-cp-9020256</x:v>
      </x:c>
      <x:c r="C668" s="34" t="str">
        <x:v>psu price seed</x:v>
      </x:c>
      <x:c r="D668" s="34" t="str">
        <x:v>Price/reference</x:v>
      </x:c>
      <x:c r="E668" s="34" t="str">
        <x:v>reference</x:v>
      </x:c>
      <x:c r="F668" s="35" t="str">
        <x:v>2026-06-28</x:v>
      </x:c>
    </x:row>
    <x:row r="669">
      <x:c r="A669" s="33" t="str">
        <x:v>Gigabyte P750GM price source</x:v>
      </x:c>
      <x:c r="B669" s="34" t="str">
        <x:v>https://fr.pcpartpicker.com/product/RhH8TW/gigabyte-750-w-80-gold-certified-fully-modular-atx-power-supply-gp-p750gm</x:v>
      </x:c>
      <x:c r="C669" s="34" t="str">
        <x:v>psu price seed</x:v>
      </x:c>
      <x:c r="D669" s="34" t="str">
        <x:v>Price/reference</x:v>
      </x:c>
      <x:c r="E669" s="34" t="str">
        <x:v>reference</x:v>
      </x:c>
      <x:c r="F669" s="35" t="str">
        <x:v>2026-06-28</x:v>
      </x:c>
    </x:row>
    <x:row r="670">
      <x:c r="A670" s="33" t="str">
        <x:v>CORSAIR RMe Series RM850e 850 W Power Supply price source</x:v>
      </x:c>
      <x:c r="B670" s="34" t="str">
        <x:v>https://www.newegg.ca/p/17-139-336</x:v>
      </x:c>
      <x:c r="C670" s="34" t="str">
        <x:v>psu price seed</x:v>
      </x:c>
      <x:c r="D670" s="34" t="str">
        <x:v>Price/reference</x:v>
      </x:c>
      <x:c r="E670" s="34" t="str">
        <x:v>retail</x:v>
      </x:c>
      <x:c r="F670" s="35" t="str">
        <x:v>2026-06-29</x:v>
      </x:c>
    </x:row>
    <x:row r="671">
      <x:c r="A671" s="33" t="str">
        <x:v>PCCOOLER CPS YN1000 Fully Modular Power Supply, 80 PLUS Gold 1000W PSU, 12V-2x6 Cable, ATX 3.1 &amp; PCIe 5.1 Ready, 105°C Rated Japanese Capacitors, ECO Mode, 135mm FDB Fan, 10 Years Warranty price source</x:v>
      </x:c>
      <x:c r="B671" s="34" t="str">
        <x:v>https://www.newegg.ca/p/9SIBYC4KME7973</x:v>
      </x:c>
      <x:c r="C671" s="34" t="str">
        <x:v>psu price seed</x:v>
      </x:c>
      <x:c r="D671" s="34" t="str">
        <x:v>Price/reference</x:v>
      </x:c>
      <x:c r="E671" s="34" t="str">
        <x:v>retail</x:v>
      </x:c>
      <x:c r="F671" s="35" t="str">
        <x:v>2026-06-29</x:v>
      </x:c>
    </x:row>
    <x:row r="672">
      <x:c r="A672" s="33" t="str">
        <x:v>CORSAIR RMx Series RM750x CP-9020179-NA 750 W Power Supply price source</x:v>
      </x:c>
      <x:c r="B672" s="34" t="str">
        <x:v>https://www.newegg.ca/p/9SIA7BB7K24477</x:v>
      </x:c>
      <x:c r="C672" s="34" t="str">
        <x:v>psu price seed</x:v>
      </x:c>
      <x:c r="D672" s="34" t="str">
        <x:v>Price/reference</x:v>
      </x:c>
      <x:c r="E672" s="34" t="str">
        <x:v>retail</x:v>
      </x:c>
      <x:c r="F672" s="35" t="str">
        <x:v>2026-06-29</x:v>
      </x:c>
    </x:row>
    <x:row r="673">
      <x:c r="A673" s="33" t="str">
        <x:v>PCCOOLER CPS KN1000 Fully Modular Power Supply, 80 PLUS Gold 1000W PSU, Native 12V-2x6 Connector, ATX 3.1 &amp; PCIe 5.1 Ready, Dual CPU Power Cables, 105°C Rated Japanese Capacitors, P3-KN1000-G1F price source</x:v>
      </x:c>
      <x:c r="B673" s="34" t="str">
        <x:v>https://www.newegg.ca/p/9SIBYC4KME8024</x:v>
      </x:c>
      <x:c r="C673" s="34" t="str">
        <x:v>psu price seed</x:v>
      </x:c>
      <x:c r="D673" s="34" t="str">
        <x:v>Price/reference</x:v>
      </x:c>
      <x:c r="E673" s="34" t="str">
        <x:v>retail</x:v>
      </x:c>
      <x:c r="F673" s="35" t="str">
        <x:v>2026-06-29</x:v>
      </x:c>
    </x:row>
    <x:row r="674">
      <x:c r="A674" s="33" t="str">
        <x:v>PCCOOLER CPS KN750 Fully Modular Power Supply, 80 PLUS Gold 750W PSU, Native 12V-2x6 Connector, ATX 3.1 &amp; PCIe 5.1 Ready, Dual CPU Power Cables, 105°C Rated Japanese Capacitors, P3-KN750-G1F price source</x:v>
      </x:c>
      <x:c r="B674" s="34" t="str">
        <x:v>https://www.newegg.ca/p/9SIBYC4KME8050</x:v>
      </x:c>
      <x:c r="C674" s="34" t="str">
        <x:v>psu price seed</x:v>
      </x:c>
      <x:c r="D674" s="34" t="str">
        <x:v>Price/reference</x:v>
      </x:c>
      <x:c r="E674" s="34" t="str">
        <x:v>retail</x:v>
      </x:c>
      <x:c r="F674" s="35" t="str">
        <x:v>2026-06-29</x:v>
      </x:c>
    </x:row>
    <x:row r="675">
      <x:c r="A675" s="33" t="str">
        <x:v>MSI MAG A1000GLS PCIE5, Fully Modular Compact Gaming 1000W Power Supply, 80+ Gold, ATX 3.1 &amp; PCIe 5.1 Ready, Dual-color 12V-2x6 cable, Low-Noise, Embossed Jacket Cables, 10 Year Warranty price source</x:v>
      </x:c>
      <x:c r="B675" s="34" t="str">
        <x:v>https://www.newegg.ca/p/17-701-032</x:v>
      </x:c>
      <x:c r="C675" s="34" t="str">
        <x:v>psu price seed</x:v>
      </x:c>
      <x:c r="D675" s="34" t="str">
        <x:v>Price/reference</x:v>
      </x:c>
      <x:c r="E675" s="34" t="str">
        <x:v>retail</x:v>
      </x:c>
      <x:c r="F675" s="35" t="str">
        <x:v>2026-06-29</x:v>
      </x:c>
    </x:row>
    <x:row r="676">
      <x:c r="A676" s="33" t="str">
        <x:v>Super Flower Leadex III GE Gold ATX 3.1 1000W, Cybenetics Platinum, 80+ Gold, 10 Years Warranty, ECO Semi-Fanless Mode, FDB Fan With Copper Shaft, Full Modular Power Supply, SF-1000F14GE, Black price source</x:v>
      </x:c>
      <x:c r="B676" s="34" t="str">
        <x:v>https://www.newegg.ca/p/9SIAU16KCU2204</x:v>
      </x:c>
      <x:c r="C676" s="34" t="str">
        <x:v>psu price seed</x:v>
      </x:c>
      <x:c r="D676" s="34" t="str">
        <x:v>Price/reference</x:v>
      </x:c>
      <x:c r="E676" s="34" t="str">
        <x:v>retail</x:v>
      </x:c>
      <x:c r="F676" s="35" t="str">
        <x:v>2026-06-29</x:v>
      </x:c>
    </x:row>
    <x:row r="677">
      <x:c r="A677" s="33" t="str">
        <x:v>CORSAIR RMe Series RM1000e 1000 W Power Supply price source</x:v>
      </x:c>
      <x:c r="B677" s="34" t="str">
        <x:v>https://www.newegg.ca/p/17-139-337</x:v>
      </x:c>
      <x:c r="C677" s="34" t="str">
        <x:v>psu price seed</x:v>
      </x:c>
      <x:c r="D677" s="34" t="str">
        <x:v>Price/reference</x:v>
      </x:c>
      <x:c r="E677" s="34" t="str">
        <x:v>retail</x:v>
      </x:c>
      <x:c r="F677" s="35" t="str">
        <x:v>2026-06-29</x:v>
      </x:c>
    </x:row>
    <x:row r="678">
      <x:c r="A678" s="33" t="str">
        <x:v>MONTECH CENTURY II - 1050W High-End ATX Gaming Power Supply - 80 Plus Gold &amp; Cybenetics Platinum price source</x:v>
      </x:c>
      <x:c r="B678" s="34" t="str">
        <x:v>https://www.newegg.ca/p/17-959-009</x:v>
      </x:c>
      <x:c r="C678" s="34" t="str">
        <x:v>psu price seed</x:v>
      </x:c>
      <x:c r="D678" s="34" t="str">
        <x:v>Price/reference</x:v>
      </x:c>
      <x:c r="E678" s="34" t="str">
        <x:v>retail</x:v>
      </x:c>
      <x:c r="F678" s="35" t="str">
        <x:v>2026-06-29</x:v>
      </x:c>
    </x:row>
    <x:row r="679">
      <x:c r="A679" s="33" t="str">
        <x:v>SAMA G1000W ATX 3.1 Power Supply, 1000W, Cybenetics Gold Standards, PCIe 5.1 Ready, Full Modular, Japanese Capacitors, FDB Fan, Black Version price source</x:v>
      </x:c>
      <x:c r="B679" s="34" t="str">
        <x:v>https://www.newegg.ca/p/9SIB41PKG91417</x:v>
      </x:c>
      <x:c r="C679" s="34" t="str">
        <x:v>psu price seed</x:v>
      </x:c>
      <x:c r="D679" s="34" t="str">
        <x:v>Price/reference</x:v>
      </x:c>
      <x:c r="E679" s="34" t="str">
        <x:v>retail</x:v>
      </x:c>
      <x:c r="F679" s="35" t="str">
        <x:v>2026-06-29</x:v>
      </x:c>
    </x:row>
    <x:row r="680">
      <x:c r="A680" s="33" t="str">
        <x:v>Super Flower Leadex VII XG 1000W 80+ Gold, Cybenetics Platinum, Full Modular, ATX 3.1 &amp; PCIe 5.1, W/12VHPWR Cable (2x8pin - 16pin native cables) , Power Supply, FDB Fan, SF-1000F14XG, Black version price source</x:v>
      </x:c>
      <x:c r="B680" s="34" t="str">
        <x:v>https://www.newegg.ca/p/9SIAU16K1A4578</x:v>
      </x:c>
      <x:c r="C680" s="34" t="str">
        <x:v>psu price seed</x:v>
      </x:c>
      <x:c r="D680" s="34" t="str">
        <x:v>Price/reference</x:v>
      </x:c>
      <x:c r="E680" s="34" t="str">
        <x:v>retail</x:v>
      </x:c>
      <x:c r="F680" s="35" t="str">
        <x:v>2026-06-29</x:v>
      </x:c>
    </x:row>
    <x:row r="681">
      <x:c r="A681" s="33" t="str">
        <x:v>SAMA G1000W ATX 3.1 Power Supply, 1000W, Cybenetics Gold Standards, PCIe 5.1 Ready, Full Modular, Japanese Capacitors, FDB Fan, White Version price source</x:v>
      </x:c>
      <x:c r="B681" s="34" t="str">
        <x:v>https://www.newegg.ca/p/9SIB41PKG91421</x:v>
      </x:c>
      <x:c r="C681" s="34" t="str">
        <x:v>psu price seed</x:v>
      </x:c>
      <x:c r="D681" s="34" t="str">
        <x:v>Price/reference</x:v>
      </x:c>
      <x:c r="E681" s="34" t="str">
        <x:v>retail</x:v>
      </x:c>
      <x:c r="F681" s="35" t="str">
        <x:v>2026-06-29</x:v>
      </x:c>
    </x:row>
    <x:row r="682">
      <x:c r="A682" s="33" t="str">
        <x:v>Super Flower Leadex VII XG 1000W 80+ Gold White, Cybenetics Platinum, Full Modular, ATX 3.1 &amp; PCIe 5.1,12VHPWR Cable (2x8pin-16pin native cables) , Power Supply, FDB Fan, SF-1000F14XG, White version price source</x:v>
      </x:c>
      <x:c r="B682" s="34" t="str">
        <x:v>https://www.newegg.ca/p/9SIAU16KCU2198</x:v>
      </x:c>
      <x:c r="C682" s="34" t="str">
        <x:v>psu price seed</x:v>
      </x:c>
      <x:c r="D682" s="34" t="str">
        <x:v>Price/reference</x:v>
      </x:c>
      <x:c r="E682" s="34" t="str">
        <x:v>retail</x:v>
      </x:c>
      <x:c r="F682" s="35" t="str">
        <x:v>2026-06-29</x:v>
      </x:c>
    </x:row>
    <x:row r="683">
      <x:c r="A683" s="33" t="str">
        <x:v>Lian Li Edge Serie - 1000W Full Modular Power Supply (Fan USB Hub Included) - Gold - ATX 3.1 - PCIE 5.1 Support - 12V-2x6 Connector - L-Shape Design for Dual Chamber Case - White (EG1000G.WH) price source</x:v>
      </x:c>
      <x:c r="B683" s="34" t="str">
        <x:v>https://www.newegg.ca/p/1HU-01PP-00016</x:v>
      </x:c>
      <x:c r="C683" s="34" t="str">
        <x:v>psu price seed</x:v>
      </x:c>
      <x:c r="D683" s="34" t="str">
        <x:v>Price/reference</x:v>
      </x:c>
      <x:c r="E683" s="34" t="str">
        <x:v>retail</x:v>
      </x:c>
      <x:c r="F683" s="35" t="str">
        <x:v>2026-06-29</x:v>
      </x:c>
    </x:row>
    <x:row r="684">
      <x:c r="A684" s="33" t="str">
        <x:v>MSI MAG A1000GL PCIE5 WHITE, Fully Modular Compact Gaming 1000W Power Supply, 80+ Gold, ATX 3.1 &amp; PCIe 5.1 Ready, Native Dual-color 12V-2x6 cable, 10 Year Warranty price source</x:v>
      </x:c>
      <x:c r="B684" s="34" t="str">
        <x:v>https://www.newegg.ca/p/17-701-039</x:v>
      </x:c>
      <x:c r="C684" s="34" t="str">
        <x:v>psu price seed</x:v>
      </x:c>
      <x:c r="D684" s="34" t="str">
        <x:v>Price/reference</x:v>
      </x:c>
      <x:c r="E684" s="34" t="str">
        <x:v>retail</x:v>
      </x:c>
      <x:c r="F684" s="35" t="str">
        <x:v>2026-06-29</x:v>
      </x:c>
    </x:row>
    <x:row r="685">
      <x:c r="A685" s="33" t="str">
        <x:v>PCCOOLER CPS YS1000 Fully Modular Power Supply, 80 PLUS Gold 1000W PSU, 12V-2x6 Cable, ATX 3.1 &amp; PCIe 5.1 Ready, 105°C Rated Japanese Capacitors, ECO Mode, 135mm FDB Fan, 12 Years Warranty price source</x:v>
      </x:c>
      <x:c r="B685" s="34" t="str">
        <x:v>https://www.newegg.ca/p/9SIBYC4KME7923</x:v>
      </x:c>
      <x:c r="C685" s="34" t="str">
        <x:v>psu price seed</x:v>
      </x:c>
      <x:c r="D685" s="34" t="str">
        <x:v>Price/reference</x:v>
      </x:c>
      <x:c r="E685" s="34" t="str">
        <x:v>retail</x:v>
      </x:c>
      <x:c r="F685" s="35" t="str">
        <x:v>2026-06-29</x:v>
      </x:c>
    </x:row>
    <x:row r="686">
      <x:c r="A686" s="33" t="str">
        <x:v>ASRock SL-1000P 1000W Power Supply price source</x:v>
      </x:c>
      <x:c r="B686" s="34" t="str">
        <x:v>https://www.newegg.ca/p/17-955-031</x:v>
      </x:c>
      <x:c r="C686" s="34" t="str">
        <x:v>psu price seed</x:v>
      </x:c>
      <x:c r="D686" s="34" t="str">
        <x:v>Price/reference</x:v>
      </x:c>
      <x:c r="E686" s="34" t="str">
        <x:v>retail</x:v>
      </x:c>
      <x:c r="F686" s="35" t="str">
        <x:v>2026-06-29</x:v>
      </x:c>
    </x:row>
    <x:row r="687">
      <x:c r="A687" s="33" t="str">
        <x:v>MSI MAG A1000GL PCIE5, Fully Modular Compact Gaming 1000W Power Supply, 80+ Gold, ATX 3.1 &amp; PCIe 5.1 Ready, Native Dual-color 12V-2x6 cable, 10 Year Warranty price source</x:v>
      </x:c>
      <x:c r="B687" s="34" t="str">
        <x:v>https://www.newegg.ca/p/17-701-026</x:v>
      </x:c>
      <x:c r="C687" s="34" t="str">
        <x:v>psu price seed</x:v>
      </x:c>
      <x:c r="D687" s="34" t="str">
        <x:v>Price/reference</x:v>
      </x:c>
      <x:c r="E687" s="34" t="str">
        <x:v>retail</x:v>
      </x:c>
      <x:c r="F687" s="35" t="str">
        <x:v>2026-06-29</x:v>
      </x:c>
    </x:row>
    <x:row r="688">
      <x:c r="A688" s="33" t="str">
        <x:v>Rosewill CMG5 1000W, ATX 3.0 &amp; 3.1 Compatible, 80+ Gold 1000W Full Modular Power Supply, PCIe 5.0 600W 12V-2x6 Connector, 100% Japanese Electrolytic Capacitors, 120mm FDB Fans - CMG1000G5 price source</x:v>
      </x:c>
      <x:c r="B688" s="34" t="str">
        <x:v>https://www.newegg.ca/p/17-182-453</x:v>
      </x:c>
      <x:c r="C688" s="34" t="str">
        <x:v>psu price seed</x:v>
      </x:c>
      <x:c r="D688" s="34" t="str">
        <x:v>Price/reference</x:v>
      </x:c>
      <x:c r="E688" s="34" t="str">
        <x:v>retail</x:v>
      </x:c>
      <x:c r="F688" s="35" t="str">
        <x:v>2026-06-29</x:v>
      </x:c>
    </x:row>
    <x:row r="689">
      <x:c r="A689" s="33" t="str">
        <x:v>SeaSonic CORE GX-1000 ATX3 1000 W power supply price source</x:v>
      </x:c>
      <x:c r="B689" s="34" t="str">
        <x:v>https://www.newegg.ca/p/17-151-283</x:v>
      </x:c>
      <x:c r="C689" s="34" t="str">
        <x:v>psu price seed</x:v>
      </x:c>
      <x:c r="D689" s="34" t="str">
        <x:v>Price/reference</x:v>
      </x:c>
      <x:c r="E689" s="34" t="str">
        <x:v>retail</x:v>
      </x:c>
      <x:c r="F689" s="35" t="str">
        <x:v>2026-06-29</x:v>
      </x:c>
    </x:row>
    <x:row r="690">
      <x:c r="A690" s="33" t="str">
        <x:v>MSI MPG A1000GS PCIE5, Fully Modular Gaming 1000W Power Supply, 80+ Gold, Dual 12V-2x6 Cables, Server-grade Capacitor, ATX 3.1 &amp; PCIe 5.1 Ready, Low-Noise, Semi Digital, 10 Year Warranty price source</x:v>
      </x:c>
      <x:c r="B690" s="34" t="str">
        <x:v>https://www.newegg.ca/p/9SIB277KHJ9228</x:v>
      </x:c>
      <x:c r="C690" s="34" t="str">
        <x:v>psu price seed</x:v>
      </x:c>
      <x:c r="D690" s="34" t="str">
        <x:v>Price/reference</x:v>
      </x:c>
      <x:c r="E690" s="34" t="str">
        <x:v>retail</x:v>
      </x:c>
      <x:c r="F690" s="35" t="str">
        <x:v>2026-06-29</x:v>
      </x:c>
    </x:row>
    <x:row r="691">
      <x:c r="A691" s="33" t="str">
        <x:v>Rosewill VMG 1000W 80+ Gold, ATX 3.0 &amp; 3.1 Compatible, Full Modular Low-Noise Power Supply, PCIe 5.1 12V-2x6 Connector, 100% Japanese Electrolytic Capacitor, 120mm FDB Silent Fan - VMG1000 price source</x:v>
      </x:c>
      <x:c r="B691" s="34" t="str">
        <x:v>https://www.newegg.ca/p/17-182-469</x:v>
      </x:c>
      <x:c r="C691" s="34" t="str">
        <x:v>psu price seed</x:v>
      </x:c>
      <x:c r="D691" s="34" t="str">
        <x:v>Price/reference</x:v>
      </x:c>
      <x:c r="E691" s="34" t="str">
        <x:v>retail</x:v>
      </x:c>
      <x:c r="F691" s="35" t="str">
        <x:v>2026-06-29</x:v>
      </x:c>
    </x:row>
    <x:row r="692">
      <x:c r="A692" s="33" t="str">
        <x:v>be quiet! Pure Power 13 M 1000W ATX 3.1 Power Supply | 80 Plus Gold efficiency | PCIe 5.1 GPUs | Modular | BP028US price source</x:v>
      </x:c>
      <x:c r="B692" s="34" t="str">
        <x:v>https://www.newegg.ca/p/17-222-042</x:v>
      </x:c>
      <x:c r="C692" s="34" t="str">
        <x:v>psu price seed</x:v>
      </x:c>
      <x:c r="D692" s="34" t="str">
        <x:v>Price/reference</x:v>
      </x:c>
      <x:c r="E692" s="34" t="str">
        <x:v>retail</x:v>
      </x:c>
      <x:c r="F692" s="35" t="str">
        <x:v>2026-06-29</x:v>
      </x:c>
    </x:row>
    <x:row r="693">
      <x:c r="A693" s="33" t="str">
        <x:v>Lian Li RS 1000W Rotational Shift Fully Modular ATX Power Supply (W/ USB Fan Hub) 90° AC inlet,Cybenetics Platinum, 80+ Gold, ATX 3.1, PCle 5.1, 12V-2x6 Cable, 10 Year Warranty, Black(RS1000G.BH) price source</x:v>
      </x:c>
      <x:c r="B693" s="34" t="str">
        <x:v>https://www.newegg.ca/p/1HU-01PP-00022</x:v>
      </x:c>
      <x:c r="C693" s="34" t="str">
        <x:v>psu price seed</x:v>
      </x:c>
      <x:c r="D693" s="34" t="str">
        <x:v>Price/reference</x:v>
      </x:c>
      <x:c r="E693" s="34" t="str">
        <x:v>retail</x:v>
      </x:c>
      <x:c r="F693" s="35" t="str">
        <x:v>2026-06-29</x:v>
      </x:c>
    </x:row>
    <x:row r="694">
      <x:c r="A694" s="33" t="str">
        <x:v>MSI MPG A1000G PCIE5, Fully Modular Compact Gaming 1000W Power Supply, 80+ Gold, Native 12V-2x6 Cable, 100% Japanese Capacitor, ATX 3.1 &amp; PCIe 5.1 Ready, Low-Noise, 10 Year Warranty price source</x:v>
      </x:c>
      <x:c r="B694" s="34" t="str">
        <x:v>https://www.newegg.ca/p/9SIADDZJK69846</x:v>
      </x:c>
      <x:c r="C694" s="34" t="str">
        <x:v>psu price seed</x:v>
      </x:c>
      <x:c r="D694" s="34" t="str">
        <x:v>Price/reference</x:v>
      </x:c>
      <x:c r="E694" s="34" t="str">
        <x:v>retail</x:v>
      </x:c>
      <x:c r="F694" s="35" t="str">
        <x:v>2026-06-29</x:v>
      </x:c>
    </x:row>
    <x:row r="695">
      <x:c r="A695" s="33" t="str">
        <x:v>ASRock PG-1000PSF 1000W Power Supply price source</x:v>
      </x:c>
      <x:c r="B695" s="34" t="str">
        <x:v>https://www.newegg.ca/p/17-955-028</x:v>
      </x:c>
      <x:c r="C695" s="34" t="str">
        <x:v>psu price seed</x:v>
      </x:c>
      <x:c r="D695" s="34" t="str">
        <x:v>Price/reference</x:v>
      </x:c>
      <x:c r="E695" s="34" t="str">
        <x:v>retail</x:v>
      </x:c>
      <x:c r="F695" s="35" t="str">
        <x:v>2026-06-29</x:v>
      </x:c>
    </x:row>
    <x:row r="696">
      <x:c r="A696" s="33" t="str">
        <x:v>Super Flower Zillion FG 1050W Cybenetics Platinum, 80+ Gold, Full Modular, ATX 3.1 / PCIe 5.0, W/12V-2x6 Cable (2x8pin - 16pin native cables), Power Supply, FDB Fan, SF-1050Z12FG, Black version price source</x:v>
      </x:c>
      <x:c r="B696" s="34" t="str">
        <x:v>https://www.newegg.ca/p/1HU-024C-00077</x:v>
      </x:c>
      <x:c r="C696" s="34" t="str">
        <x:v>psu price seed</x:v>
      </x:c>
      <x:c r="D696" s="34" t="str">
        <x:v>Price/reference</x:v>
      </x:c>
      <x:c r="E696" s="34" t="str">
        <x:v>retail</x:v>
      </x:c>
      <x:c r="F696" s="35" t="str">
        <x:v>2026-06-29</x:v>
      </x:c>
    </x:row>
    <x:row r="697">
      <x:c r="A697" s="33" t="str">
        <x:v>Lian Li RS 1000W Rotational Shift Fully Modular ATX Power Supply (W/USB Fan Hub) 90° AC Inlet, Cybenetics Platinum, 80+ Gold, ATX 3.1, PCIe 5.1, 12V-2×6 Cable, 10 Year Warranty, White (RS1000G.WH) price source</x:v>
      </x:c>
      <x:c r="B697" s="34" t="str">
        <x:v>https://www.newegg.ca/p/1HU-01PP-00023</x:v>
      </x:c>
      <x:c r="C697" s="34" t="str">
        <x:v>psu price seed</x:v>
      </x:c>
      <x:c r="D697" s="34" t="str">
        <x:v>Price/reference</x:v>
      </x:c>
      <x:c r="E697" s="34" t="str">
        <x:v>retail</x:v>
      </x:c>
      <x:c r="F697" s="35" t="str">
        <x:v>2026-06-29</x:v>
      </x:c>
    </x:row>
    <x:row r="698">
      <x:c r="A698" s="33" t="str">
        <x:v>Cooler Master MWE V4 1000W Power Supply, GPU Shield™ Intelligent Management, Native dual color 12V-2x6 GPU Cable, Wave Heatsink Design, Noise Reduction, 80+ Gold, Fully Modular 10 Year Warranty price source</x:v>
      </x:c>
      <x:c r="B698" s="34" t="str">
        <x:v>https://www.newegg.ca/p/17-171-249</x:v>
      </x:c>
      <x:c r="C698" s="34" t="str">
        <x:v>psu price seed</x:v>
      </x:c>
      <x:c r="D698" s="34" t="str">
        <x:v>Price/reference</x:v>
      </x:c>
      <x:c r="E698" s="34" t="str">
        <x:v>retail</x:v>
      </x:c>
      <x:c r="F698" s="35" t="str">
        <x:v>2026-06-29</x:v>
      </x:c>
    </x:row>
    <x:row r="699">
      <x:c r="A699" s="33" t="str">
        <x:v>Fractal Design Ion 3 Gold 1000W White 80 PLUS Gold Certified Fully Modular ATX12V 3.1 Power Supply Unit (PSU) price source</x:v>
      </x:c>
      <x:c r="B699" s="34" t="str">
        <x:v>https://www.newegg.ca/p/17-580-037</x:v>
      </x:c>
      <x:c r="C699" s="34" t="str">
        <x:v>psu price seed</x:v>
      </x:c>
      <x:c r="D699" s="34" t="str">
        <x:v>Price/reference</x:v>
      </x:c>
      <x:c r="E699" s="34" t="str">
        <x:v>retail</x:v>
      </x:c>
      <x:c r="F699" s="35" t="str">
        <x:v>2026-06-29</x:v>
      </x:c>
    </x:row>
    <x:row r="700">
      <x:c r="A700" s="33" t="str">
        <x:v>Fractal Design Ion 3 Gold 1000W Black 80 PLUS Gold Certified Fully Modular ATX12V 3.1 Power Supply Unit (PSU) price source</x:v>
      </x:c>
      <x:c r="B700" s="34" t="str">
        <x:v>https://www.newegg.ca/p/17-580-036</x:v>
      </x:c>
      <x:c r="C700" s="34" t="str">
        <x:v>psu price seed</x:v>
      </x:c>
      <x:c r="D700" s="34" t="str">
        <x:v>Price/reference</x:v>
      </x:c>
      <x:c r="E700" s="34" t="str">
        <x:v>retail</x:v>
      </x:c>
      <x:c r="F700" s="35" t="str">
        <x:v>2026-06-29</x:v>
      </x:c>
    </x:row>
    <x:row r="701">
      <x:c r="A701" s="33" t="str">
        <x:v>Lian Li RS 1000W Rotational Shift Fully Modular ATX Power Supply (W/o USB Fan Hub) 90° AC Inlet, Cybenetics Platinum, 80+ Gold, ATX 3.1, PCIe 5.1, 12V-2×6 Cable, 10 Year Warranty, Black (RS1000G.B) price source</x:v>
      </x:c>
      <x:c r="B701" s="34" t="str">
        <x:v>https://www.newegg.ca/p/1HU-01PP-00024</x:v>
      </x:c>
      <x:c r="C701" s="34" t="str">
        <x:v>psu price seed</x:v>
      </x:c>
      <x:c r="D701" s="34" t="str">
        <x:v>Price/reference</x:v>
      </x:c>
      <x:c r="E701" s="34" t="str">
        <x:v>retail</x:v>
      </x:c>
      <x:c r="F701" s="35" t="str">
        <x:v>2026-06-29</x:v>
      </x:c>
    </x:row>
    <x:row r="702">
      <x:c r="A702" s="33" t="str">
        <x:v>Lian Li RS 1000W Rotational Shift Fully Modular ATX Power Supply (W/o USB Fan Hub) 90° AC Inlet, Cybenetics Platinum, 80+ Gold, ATX 3.1, PCIe 5.1, 12V-2×6 Cable, 10 Year Warranty, White (RS1000G.W) price source</x:v>
      </x:c>
      <x:c r="B702" s="34" t="str">
        <x:v>https://www.newegg.ca/p/1HU-01PP-00025</x:v>
      </x:c>
      <x:c r="C702" s="34" t="str">
        <x:v>psu price seed</x:v>
      </x:c>
      <x:c r="D702" s="34" t="str">
        <x:v>Price/reference</x:v>
      </x:c>
      <x:c r="E702" s="34" t="str">
        <x:v>retail</x:v>
      </x:c>
      <x:c r="F702" s="35" t="str">
        <x:v>2026-06-29</x:v>
      </x:c>
    </x:row>
    <x:row r="703">
      <x:c r="A703" s="33" t="str">
        <x:v>Lian Li SP Platinum 1000W SFX Form Factor Power Supply with 12V-2x6 Connectors - ATX 3.1 &amp; PCIE 5.1 Compliant - Low-Noise - Fully Modular - 105°C Capacitors - 10 Year Warranty - White (SP1000P.W) price source</x:v>
      </x:c>
      <x:c r="B703" s="34" t="str">
        <x:v>https://www.newegg.ca/p/1HU-01PP-00034</x:v>
      </x:c>
      <x:c r="C703" s="34" t="str">
        <x:v>psu price seed</x:v>
      </x:c>
      <x:c r="D703" s="34" t="str">
        <x:v>Price/reference</x:v>
      </x:c>
      <x:c r="E703" s="34" t="str">
        <x:v>retail</x:v>
      </x:c>
      <x:c r="F703" s="35" t="str">
        <x:v>2026-06-29</x:v>
      </x:c>
    </x:row>
    <x:row r="704">
      <x:c r="A704" s="33" t="str">
        <x:v>Lian Li SP Platinum 850W SFX Form Factor Power Supply with 12V-2x6 Connectors - ATX 3.1 &amp; PCIE 5.1 Compliant - Low-Noise - Fully Modular - 105°C Capacitors - 10 Year Warranty - Black (SP0850P.B) price source</x:v>
      </x:c>
      <x:c r="B704" s="34" t="str">
        <x:v>https://www.newegg.ca/p/1HU-01PP-00033</x:v>
      </x:c>
      <x:c r="C704" s="34" t="str">
        <x:v>psu price seed</x:v>
      </x:c>
      <x:c r="D704" s="34" t="str">
        <x:v>Price/reference</x:v>
      </x:c>
      <x:c r="E704" s="34" t="str">
        <x:v>retail</x:v>
      </x:c>
      <x:c r="F704" s="35" t="str">
        <x:v>2026-06-29</x:v>
      </x:c>
    </x:row>
    <x:row r="705">
      <x:c r="A705" s="33" t="str">
        <x:v>CORSAIR CORSAIR RM850e 850W Gold ATX Power Supply, Black price source</x:v>
      </x:c>
      <x:c r="B705" s="34" t="str">
        <x:v>https://www.canadacomputers.com/en/power-supplies/266815/corsair-corsair-rm850e-850w-gold-atx-power-supply-black-cp-9020296-na.html</x:v>
      </x:c>
      <x:c r="C705" s="34" t="str">
        <x:v>psu price seed</x:v>
      </x:c>
      <x:c r="D705" s="34" t="str">
        <x:v>Price/reference</x:v>
      </x:c>
      <x:c r="E705" s="34" t="str">
        <x:v>retail</x:v>
      </x:c>
      <x:c r="F705" s="35" t="str">
        <x:v>2026-06-29</x:v>
      </x:c>
    </x:row>
    <x:row r="706">
      <x:c r="A706" s="33" t="str">
        <x:v>SUPERFLOWER 850W Gold ATX Power Supply, Black price source</x:v>
      </x:c>
      <x:c r="B706" s="34" t="str">
        <x:v>https://www.canadacomputers.com/en/power-supplies/257977/superflower-850w-gold-atx-power-supply-black-sf-850f14ge.html</x:v>
      </x:c>
      <x:c r="C706" s="34" t="str">
        <x:v>psu price seed</x:v>
      </x:c>
      <x:c r="D706" s="34" t="str">
        <x:v>Price/reference</x:v>
      </x:c>
      <x:c r="E706" s="34" t="str">
        <x:v>retail</x:v>
      </x:c>
      <x:c r="F706" s="35" t="str">
        <x:v>2026-06-29</x:v>
      </x:c>
    </x:row>
    <x:row r="707">
      <x:c r="A707" s="33" t="str">
        <x:v>be quiet! Dark Power Pro 13 1600W 80+ Titanium Power Supply, ATX 3.1 price source</x:v>
      </x:c>
      <x:c r="B707" s="34" t="str">
        <x:v>https://www.canadacomputers.com/en/power-supplies/242299/be-quiet-dark-power-pro-13-1600w-80-titanium-power-supply-atx-3-1-bn501.html</x:v>
      </x:c>
      <x:c r="C707" s="34" t="str">
        <x:v>psu price seed</x:v>
      </x:c>
      <x:c r="D707" s="34" t="str">
        <x:v>Price/reference</x:v>
      </x:c>
      <x:c r="E707" s="34" t="str">
        <x:v>retail</x:v>
      </x:c>
      <x:c r="F707" s="35" t="str">
        <x:v>2026-06-29</x:v>
      </x:c>
    </x:row>
    <x:row r="708">
      <x:c r="A708" s="33" t="str">
        <x:v>be quiet! Dark Power Pro 13 1300W 80+ Titanium Power Supply price source</x:v>
      </x:c>
      <x:c r="B708" s="34" t="str">
        <x:v>https://www.canadacomputers.com/en/power-supplies/242300/be-quiet-dark-power-pro-13-1300w-80-titanium-power-supply-bn500.html</x:v>
      </x:c>
      <x:c r="C708" s="34" t="str">
        <x:v>psu price seed</x:v>
      </x:c>
      <x:c r="D708" s="34" t="str">
        <x:v>Price/reference</x:v>
      </x:c>
      <x:c r="E708" s="34" t="str">
        <x:v>retail</x:v>
      </x:c>
      <x:c r="F708" s="35" t="str">
        <x:v>2026-06-29</x:v>
      </x:c>
    </x:row>
    <x:row r="709">
      <x:c r="A709" s="33" t="str">
        <x:v>ASUS ROG STRIX 1200W Platinum  Platinum ATX Power Supply, Black price source</x:v>
      </x:c>
      <x:c r="B709" s="34" t="str">
        <x:v>https://www.canadacomputers.com/en/power-supplies/268226/asus-rog-strix-1200w-platinum-platinum-atx-power-supply-black-rog-strix-1200p-gaming.html</x:v>
      </x:c>
      <x:c r="C709" s="34" t="str">
        <x:v>psu price seed</x:v>
      </x:c>
      <x:c r="D709" s="34" t="str">
        <x:v>Price/reference</x:v>
      </x:c>
      <x:c r="E709" s="34" t="str">
        <x:v>retail</x:v>
      </x:c>
      <x:c r="F709" s="35" t="str">
        <x:v>2026-06-29</x:v>
      </x:c>
    </x:row>
    <x:row r="710">
      <x:c r="A710" s="33" t="str">
        <x:v>Super Flower Leadex VII XP 1200W ATX 3.1 Platinum Power Supply, Black price source</x:v>
      </x:c>
      <x:c r="B710" s="34" t="str">
        <x:v>https://www.canadacomputers.com/en/power-supplies/257981/super-flower-leadex-vii-xp-1200w-atx-3-1-platinum-power-supply-black-sf-1200f14xp.html</x:v>
      </x:c>
      <x:c r="C710" s="34" t="str">
        <x:v>psu price seed</x:v>
      </x:c>
      <x:c r="D710" s="34" t="str">
        <x:v>Price/reference</x:v>
      </x:c>
      <x:c r="E710" s="34" t="str">
        <x:v>retail</x:v>
      </x:c>
      <x:c r="F710" s="35" t="str">
        <x:v>2026-06-29</x:v>
      </x:c>
    </x:row>
    <x:row r="711">
      <x:c r="A711" s="33" t="str">
        <x:v>CORSAIR CORSAIR SF1000 1000W Platinum ATX Power Supply, Black price source</x:v>
      </x:c>
      <x:c r="B711" s="34" t="str">
        <x:v>https://www.canadacomputers.com/en/power-supplies/262853/corsair-corsair-sf1000-1000w-platinum-atx-power-supply-black-cp-9020257-na.html</x:v>
      </x:c>
      <x:c r="C711" s="34" t="str">
        <x:v>psu price seed</x:v>
      </x:c>
      <x:c r="D711" s="34" t="str">
        <x:v>Price/reference</x:v>
      </x:c>
      <x:c r="E711" s="34" t="str">
        <x:v>retail</x:v>
      </x:c>
      <x:c r="F711" s="35" t="str">
        <x:v>2026-06-29</x:v>
      </x:c>
    </x:row>
    <x:row r="712">
      <x:c r="A712" s="33" t="str">
        <x:v>Super Flower Leadex VII XP 1200W ATX 3.1 Platinum Power Supply, White price source</x:v>
      </x:c>
      <x:c r="B712" s="34" t="str">
        <x:v>https://www.canadacomputers.com/en/power-supplies/264783/super-flower-leadex-vii-xp-1200w-atx-3-1-platinum-power-supply-white-sf-1200f14xpwh.html</x:v>
      </x:c>
      <x:c r="C712" s="34" t="str">
        <x:v>psu price seed</x:v>
      </x:c>
      <x:c r="D712" s="34" t="str">
        <x:v>Price/reference</x:v>
      </x:c>
      <x:c r="E712" s="34" t="str">
        <x:v>retail</x:v>
      </x:c>
      <x:c r="F712" s="35" t="str">
        <x:v>2026-06-29</x:v>
      </x:c>
    </x:row>
    <x:row r="713">
      <x:c r="A713" s="33" t="str">
        <x:v>THERMALTAKE Toughpower GF A3 850W ATX 3.0 &amp;amp; PCIe 5 Power Supply, Whit price source</x:v>
      </x:c>
      <x:c r="B713" s="34" t="str">
        <x:v>https://www.canadacomputers.com/en/power-supplies/248846/thermaltake-toughpower-gf-a3-850w-atx-3-0-pcie-5-power-supply-whit-ps-tpd-0850fnfagu-n.html</x:v>
      </x:c>
      <x:c r="C713" s="34" t="str">
        <x:v>psu price seed</x:v>
      </x:c>
      <x:c r="D713" s="34" t="str">
        <x:v>Price/reference</x:v>
      </x:c>
      <x:c r="E713" s="34" t="str">
        <x:v>retail</x:v>
      </x:c>
      <x:c r="F713" s="35" t="str">
        <x:v>2026-06-29</x:v>
      </x:c>
    </x:row>
    <x:row r="714">
      <x:c r="A714" s="33" t="str">
        <x:v>ASUS ROG-STRIX 1000W Platinum Full Modular ATX PSU -White price source</x:v>
      </x:c>
      <x:c r="B714" s="34" t="str">
        <x:v>https://www.canadacomputers.com/en/power-supplies/275700/asus-rog-strix-1000w-platinum-full-modular-atx-psu-white-rog-strix-1000p-gaming-white.html</x:v>
      </x:c>
      <x:c r="C714" s="34" t="str">
        <x:v>psu price seed</x:v>
      </x:c>
      <x:c r="D714" s="34" t="str">
        <x:v>Price/reference</x:v>
      </x:c>
      <x:c r="E714" s="34" t="str">
        <x:v>retail</x:v>
      </x:c>
      <x:c r="F714" s="35" t="str">
        <x:v>2026-06-29</x:v>
      </x:c>
    </x:row>
    <x:row r="715">
      <x:c r="A715" s="33" t="str">
        <x:v>FSP Hydro PTM Pro 1350W Power Supply, 80 Plus Platinum, Full Modular price source</x:v>
      </x:c>
      <x:c r="B715" s="34" t="str">
        <x:v>https://www.canadacomputers.com/en/power-supplies/246758/fsp-hydro-ptm-pro-1350w-power-supply-80-plus-platinum-full-modular-hpt2-1350m.html</x:v>
      </x:c>
      <x:c r="C715" s="34" t="str">
        <x:v>psu price seed</x:v>
      </x:c>
      <x:c r="D715" s="34" t="str">
        <x:v>Price/reference</x:v>
      </x:c>
      <x:c r="E715" s="34" t="str">
        <x:v>retail</x:v>
      </x:c>
      <x:c r="F715" s="35" t="str">
        <x:v>2026-06-29</x:v>
      </x:c>
    </x:row>
    <x:row r="716">
      <x:c r="A716" s="33" t="str">
        <x:v>Fractal Design North XL price source</x:v>
      </x:c>
      <x:c r="B716" s="34" t="str">
        <x:v>https://www.fractal-design.com/products/cases/north/north-xl/</x:v>
      </x:c>
      <x:c r="C716" s="34" t="str">
        <x:v>case price seed</x:v>
      </x:c>
      <x:c r="D716" s="34" t="str">
        <x:v>Price/reference</x:v>
      </x:c>
      <x:c r="E716" s="34" t="str">
        <x:v>reference</x:v>
      </x:c>
      <x:c r="F716" s="35" t="str">
        <x:v>2026-06-28</x:v>
      </x:c>
    </x:row>
    <x:row r="717">
      <x:c r="A717" s="33" t="str">
        <x:v>Lian Li O11D EVO RGB White price source</x:v>
      </x:c>
      <x:c r="B717" s="34" t="str">
        <x:v>https://lian-li.com/product/o11d-evo-rgb/</x:v>
      </x:c>
      <x:c r="C717" s="34" t="str">
        <x:v>case price seed</x:v>
      </x:c>
      <x:c r="D717" s="34" t="str">
        <x:v>Price/reference</x:v>
      </x:c>
      <x:c r="E717" s="34" t="str">
        <x:v>reference</x:v>
      </x:c>
      <x:c r="F717" s="35" t="str">
        <x:v>2026-06-28</x:v>
      </x:c>
    </x:row>
    <x:row r="718">
      <x:c r="A718" s="33" t="str">
        <x:v>Corsair 3500X ARGB White price source</x:v>
      </x:c>
      <x:c r="B718" s="34" t="str">
        <x:v>https://www.corsair.com/us/en/p/pc-cases/cc-9011279-ww/3500x-argb-mid-tower-pc-case-white-cc-9011279-ww</x:v>
      </x:c>
      <x:c r="C718" s="34" t="str">
        <x:v>case price seed</x:v>
      </x:c>
      <x:c r="D718" s="34" t="str">
        <x:v>Price/reference</x:v>
      </x:c>
      <x:c r="E718" s="34" t="str">
        <x:v>reference</x:v>
      </x:c>
      <x:c r="F718" s="35" t="str">
        <x:v>2026-06-28</x:v>
      </x:c>
    </x:row>
    <x:row r="719">
      <x:c r="A719" s="33" t="str">
        <x:v>Fractal Design Meshify C price source</x:v>
      </x:c>
      <x:c r="B719" s="34" t="str">
        <x:v>https://fr.pcpartpicker.com/product/Y6Crxr/fractal-design-meshify-c-atx-mid-tower-case-fd-ca-mesh-c-bko-tg</x:v>
      </x:c>
      <x:c r="C719" s="34" t="str">
        <x:v>case price seed</x:v>
      </x:c>
      <x:c r="D719" s="34" t="str">
        <x:v>Price/reference</x:v>
      </x:c>
      <x:c r="E719" s="34" t="str">
        <x:v>reference</x:v>
      </x:c>
      <x:c r="F719" s="35" t="str">
        <x:v>2026-06-28</x:v>
      </x:c>
    </x:row>
    <x:row r="720">
      <x:c r="A720" s="33" t="str">
        <x:v>Cooler Master MasterBox Q300L price source</x:v>
      </x:c>
      <x:c r="B720" s="34" t="str">
        <x:v>https://fr.pcpartpicker.com/product/rnGxFT/cooler-master-masterbox-q300l-microatx-mini-tower-case-mcb-q300l-kann-s00</x:v>
      </x:c>
      <x:c r="C720" s="34" t="str">
        <x:v>case price seed</x:v>
      </x:c>
      <x:c r="D720" s="34" t="str">
        <x:v>Price/reference</x:v>
      </x:c>
      <x:c r="E720" s="34" t="str">
        <x:v>reference</x:v>
      </x:c>
      <x:c r="F720" s="35" t="str">
        <x:v>2026-06-28</x:v>
      </x:c>
    </x:row>
    <x:row r="721">
      <x:c r="A721" s="33" t="str">
        <x:v>Cooler Master N200 price source</x:v>
      </x:c>
      <x:c r="B721" s="34" t="str">
        <x:v>https://fr.pcpartpicker.com/product/T3rG3C/cooler-master-case-nse200kkn1</x:v>
      </x:c>
      <x:c r="C721" s="34" t="str">
        <x:v>case price seed</x:v>
      </x:c>
      <x:c r="D721" s="34" t="str">
        <x:v>Price/reference</x:v>
      </x:c>
      <x:c r="E721" s="34" t="str">
        <x:v>reference</x:v>
      </x:c>
      <x:c r="F721" s="35" t="str">
        <x:v>2026-06-28</x:v>
      </x:c>
    </x:row>
    <x:row r="722">
      <x:c r="A722" s="33" t="str">
        <x:v>be quiet! Pure Base 500DX price source</x:v>
      </x:c>
      <x:c r="B722" s="34" t="str">
        <x:v>https://fr.pcpartpicker.com/product/FCK2FT/be-quiet-pure-base-500dx-atx-mid-tower-case-bgw37</x:v>
      </x:c>
      <x:c r="C722" s="34" t="str">
        <x:v>case price seed</x:v>
      </x:c>
      <x:c r="D722" s="34" t="str">
        <x:v>Price/reference</x:v>
      </x:c>
      <x:c r="E722" s="34" t="str">
        <x:v>reference</x:v>
      </x:c>
      <x:c r="F722" s="35" t="str">
        <x:v>2026-06-28</x:v>
      </x:c>
    </x:row>
    <x:row r="723">
      <x:c r="A723" s="33" t="str">
        <x:v>Montech XR price source</x:v>
      </x:c>
      <x:c r="B723" s="34" t="str">
        <x:v>https://fr.pcpartpicker.com/product/fc88TW/montech-xr-atx-mid-tower-case-xr-b</x:v>
      </x:c>
      <x:c r="C723" s="34" t="str">
        <x:v>case price seed</x:v>
      </x:c>
      <x:c r="D723" s="34" t="str">
        <x:v>Price/reference</x:v>
      </x:c>
      <x:c r="E723" s="34" t="str">
        <x:v>reference</x:v>
      </x:c>
      <x:c r="F723" s="35" t="str">
        <x:v>2026-06-28</x:v>
      </x:c>
    </x:row>
    <x:row r="724">
      <x:c r="A724" s="33" t="str">
        <x:v>Fractal Design North price source</x:v>
      </x:c>
      <x:c r="B724" s="34" t="str">
        <x:v>https://fr.pcpartpicker.com/product/ybNxFT/fractal-design-north-atx-mid-tower-case-fd-c-nor1c-02</x:v>
      </x:c>
      <x:c r="C724" s="34" t="str">
        <x:v>case price seed</x:v>
      </x:c>
      <x:c r="D724" s="34" t="str">
        <x:v>Price/reference</x:v>
      </x:c>
      <x:c r="E724" s="34" t="str">
        <x:v>reference</x:v>
      </x:c>
      <x:c r="F724" s="35" t="str">
        <x:v>2026-06-28</x:v>
      </x:c>
    </x:row>
    <x:row r="725">
      <x:c r="A725" s="33" t="str">
        <x:v>Fractal Design Focus G price source</x:v>
      </x:c>
      <x:c r="B725" s="34" t="str">
        <x:v>https://fr.pcpartpicker.com/product/ZHmxFT/fractal-design-focus-g-black-atx-mid-tower-case-fd-ca-focus-bk-w</x:v>
      </x:c>
      <x:c r="C725" s="34" t="str">
        <x:v>case price seed</x:v>
      </x:c>
      <x:c r="D725" s="34" t="str">
        <x:v>Price/reference</x:v>
      </x:c>
      <x:c r="E725" s="34" t="str">
        <x:v>reference</x:v>
      </x:c>
      <x:c r="F725" s="35" t="str">
        <x:v>2026-06-28</x:v>
      </x:c>
    </x:row>
    <x:row r="726">
      <x:c r="A726" s="33" t="str">
        <x:v>Fractal Design Define Nano S price source</x:v>
      </x:c>
      <x:c r="B726" s="34" t="str">
        <x:v>https://fr.pcpartpicker.com/product/VH2rxr/fractal-design-case-fdcadefnanosbkw</x:v>
      </x:c>
      <x:c r="C726" s="34" t="str">
        <x:v>case price seed</x:v>
      </x:c>
      <x:c r="D726" s="34" t="str">
        <x:v>Price/reference</x:v>
      </x:c>
      <x:c r="E726" s="34" t="str">
        <x:v>reference</x:v>
      </x:c>
      <x:c r="F726" s="35" t="str">
        <x:v>2026-06-28</x:v>
      </x:c>
    </x:row>
    <x:row r="727">
      <x:c r="A727" s="33" t="str">
        <x:v>Montech AIR 903 MAX price source</x:v>
      </x:c>
      <x:c r="B727" s="34" t="str">
        <x:v>https://fr.pcpartpicker.com/product/2MwmP6/montech-air-903-max-atx-mid-tower-case-air-903-max-b</x:v>
      </x:c>
      <x:c r="C727" s="34" t="str">
        <x:v>case price seed</x:v>
      </x:c>
      <x:c r="D727" s="34" t="str">
        <x:v>Price/reference</x:v>
      </x:c>
      <x:c r="E727" s="34" t="str">
        <x:v>reference</x:v>
      </x:c>
      <x:c r="F727" s="35" t="str">
        <x:v>2026-06-28</x:v>
      </x:c>
    </x:row>
    <x:row r="728">
      <x:c r="A728" s="33" t="str">
        <x:v>Fractal Design Define R5 price source</x:v>
      </x:c>
      <x:c r="B728" s="34" t="str">
        <x:v>https://fr.pcpartpicker.com/product/sjX2FT/fractal-design-case-fdcadefr5bk</x:v>
      </x:c>
      <x:c r="C728" s="34" t="str">
        <x:v>case price seed</x:v>
      </x:c>
      <x:c r="D728" s="34" t="str">
        <x:v>Price/reference</x:v>
      </x:c>
      <x:c r="E728" s="34" t="str">
        <x:v>reference</x:v>
      </x:c>
      <x:c r="F728" s="35" t="str">
        <x:v>2026-06-28</x:v>
      </x:c>
    </x:row>
    <x:row r="729">
      <x:c r="A729" s="33" t="str">
        <x:v>Corsair iCUE 220T RGB Airflow price source</x:v>
      </x:c>
      <x:c r="B729" s="34" t="str">
        <x:v>https://fr.pcpartpicker.com/product/wMpmP6/corsair-icue-220t-rgb-atx-mid-tower-case-cc-9011173-ww</x:v>
      </x:c>
      <x:c r="C729" s="34" t="str">
        <x:v>case price seed</x:v>
      </x:c>
      <x:c r="D729" s="34" t="str">
        <x:v>Price/reference</x:v>
      </x:c>
      <x:c r="E729" s="34" t="str">
        <x:v>reference</x:v>
      </x:c>
      <x:c r="F729" s="35" t="str">
        <x:v>2026-06-28</x:v>
      </x:c>
    </x:row>
    <x:row r="730">
      <x:c r="A730" s="33" t="str">
        <x:v>Asus Prime AP201 price source</x:v>
      </x:c>
      <x:c r="B730" s="34" t="str">
        <x:v>https://fr.pcpartpicker.com/product/fPZ9TW/asus-prime-ap201-microatx-mini-tower-case-ap201blkmesh</x:v>
      </x:c>
      <x:c r="C730" s="34" t="str">
        <x:v>case price seed</x:v>
      </x:c>
      <x:c r="D730" s="34" t="str">
        <x:v>Price/reference</x:v>
      </x:c>
      <x:c r="E730" s="34" t="str">
        <x:v>reference</x:v>
      </x:c>
      <x:c r="F730" s="35" t="str">
        <x:v>2026-06-28</x:v>
      </x:c>
    </x:row>
    <x:row r="731">
      <x:c r="A731" s="33" t="str">
        <x:v>Corsair iCUE 4000X RGB price source</x:v>
      </x:c>
      <x:c r="B731" s="34" t="str">
        <x:v>https://fr.pcpartpicker.com/product/6qFKHx/corsair-icue-4000x-rgb-atx-mid-tower-case-cc-9011204-ww</x:v>
      </x:c>
      <x:c r="C731" s="34" t="str">
        <x:v>case price seed</x:v>
      </x:c>
      <x:c r="D731" s="34" t="str">
        <x:v>Price/reference</x:v>
      </x:c>
      <x:c r="E731" s="34" t="str">
        <x:v>reference</x:v>
      </x:c>
      <x:c r="F731" s="35" t="str">
        <x:v>2026-06-28</x:v>
      </x:c>
    </x:row>
    <x:row r="732">
      <x:c r="A732" s="33" t="str">
        <x:v>Lian Li LANCOOL 216 RGB price source</x:v>
      </x:c>
      <x:c r="B732" s="34" t="str">
        <x:v>https://fr.pcpartpicker.com/product/KKytt6/lian-li-lancool-216-rgb-atx-mid-tower-case-lancool-216rx</x:v>
      </x:c>
      <x:c r="C732" s="34" t="str">
        <x:v>case price seed</x:v>
      </x:c>
      <x:c r="D732" s="34" t="str">
        <x:v>Price/reference</x:v>
      </x:c>
      <x:c r="E732" s="34" t="str">
        <x:v>reference</x:v>
      </x:c>
      <x:c r="F732" s="35" t="str">
        <x:v>2026-06-28</x:v>
      </x:c>
    </x:row>
    <x:row r="733">
      <x:c r="A733" s="33" t="str">
        <x:v>Fractal Design Node 304 price source</x:v>
      </x:c>
      <x:c r="B733" s="34" t="str">
        <x:v>https://fr.pcpartpicker.com/product/BWFPxr/fractal-design-case-fdcanode304bl</x:v>
      </x:c>
      <x:c r="C733" s="34" t="str">
        <x:v>case price seed</x:v>
      </x:c>
      <x:c r="D733" s="34" t="str">
        <x:v>Price/reference</x:v>
      </x:c>
      <x:c r="E733" s="34" t="str">
        <x:v>reference</x:v>
      </x:c>
      <x:c r="F733" s="35" t="str">
        <x:v>2026-06-28</x:v>
      </x:c>
    </x:row>
    <x:row r="734">
      <x:c r="A734" s="33" t="str">
        <x:v>NZXT H9 Flow (2023) price source</x:v>
      </x:c>
      <x:c r="B734" s="34" t="str">
        <x:v>https://fr.pcpartpicker.com/product/7ZBG3C/nzxt-h9-flow-atx-mid-tower-case-cm-h91fw-01</x:v>
      </x:c>
      <x:c r="C734" s="34" t="str">
        <x:v>case price seed</x:v>
      </x:c>
      <x:c r="D734" s="34" t="str">
        <x:v>Price/reference</x:v>
      </x:c>
      <x:c r="E734" s="34" t="str">
        <x:v>reference</x:v>
      </x:c>
      <x:c r="F734" s="35" t="str">
        <x:v>2026-06-28</x:v>
      </x:c>
    </x:row>
    <x:row r="735">
      <x:c r="A735" s="33" t="str">
        <x:v>Lian Li O11 Dynamic Mini Snow Edition price source</x:v>
      </x:c>
      <x:c r="B735" s="34" t="str">
        <x:v>https://fr.pcpartpicker.com/product/PgbTwP/lian-li-o11-dynamic-mini-snow-edition-atx-mid-tower-case-o11d-mini-s</x:v>
      </x:c>
      <x:c r="C735" s="34" t="str">
        <x:v>case price seed</x:v>
      </x:c>
      <x:c r="D735" s="34" t="str">
        <x:v>Price/reference</x:v>
      </x:c>
      <x:c r="E735" s="34" t="str">
        <x:v>reference</x:v>
      </x:c>
      <x:c r="F735" s="35" t="str">
        <x:v>2026-06-28</x:v>
      </x:c>
    </x:row>
    <x:row r="736">
      <x:c r="A736" s="33" t="str">
        <x:v>Montech AIR 100 ARGB price source</x:v>
      </x:c>
      <x:c r="B736" s="34" t="str">
        <x:v>https://fr.pcpartpicker.com/product/M7Z9TW/montech-air-100-argb-microatx-mid-tower-case-air-100-argb-black</x:v>
      </x:c>
      <x:c r="C736" s="34" t="str">
        <x:v>case price seed</x:v>
      </x:c>
      <x:c r="D736" s="34" t="str">
        <x:v>Price/reference</x:v>
      </x:c>
      <x:c r="E736" s="34" t="str">
        <x:v>reference</x:v>
      </x:c>
      <x:c r="F736" s="35" t="str">
        <x:v>2026-06-28</x:v>
      </x:c>
    </x:row>
    <x:row r="737">
      <x:c r="A737" s="33" t="str">
        <x:v>NZXT H6 Flow price source</x:v>
      </x:c>
      <x:c r="B737" s="34" t="str">
        <x:v>https://fr.pcpartpicker.com/product/8QMMnQ/nzxt-h6-flow-atx-mid-tower-case-cc-h61fw-01</x:v>
      </x:c>
      <x:c r="C737" s="34" t="str">
        <x:v>case price seed</x:v>
      </x:c>
      <x:c r="D737" s="34" t="str">
        <x:v>Price/reference</x:v>
      </x:c>
      <x:c r="E737" s="34" t="str">
        <x:v>reference</x:v>
      </x:c>
      <x:c r="F737" s="35" t="str">
        <x:v>2026-06-28</x:v>
      </x:c>
    </x:row>
    <x:row r="738">
      <x:c r="A738" s="33" t="str">
        <x:v>Silverstone SG13 price source</x:v>
      </x:c>
      <x:c r="B738" s="34" t="str">
        <x:v>https://fr.pcpartpicker.com/product/dM8H99/silverstone-case-sstsg13b</x:v>
      </x:c>
      <x:c r="C738" s="34" t="str">
        <x:v>case price seed</x:v>
      </x:c>
      <x:c r="D738" s="34" t="str">
        <x:v>Price/reference</x:v>
      </x:c>
      <x:c r="E738" s="34" t="str">
        <x:v>reference</x:v>
      </x:c>
      <x:c r="F738" s="35" t="str">
        <x:v>2026-06-28</x:v>
      </x:c>
    </x:row>
    <x:row r="739">
      <x:c r="A739" s="33" t="str">
        <x:v>Thermaltake Versa H15 price source</x:v>
      </x:c>
      <x:c r="B739" s="34" t="str">
        <x:v>https://fr.pcpartpicker.com/product/Yn7CmG/thermaltake-case-ca1d400s1nn00</x:v>
      </x:c>
      <x:c r="C739" s="34" t="str">
        <x:v>case price seed</x:v>
      </x:c>
      <x:c r="D739" s="34" t="str">
        <x:v>Price/reference</x:v>
      </x:c>
      <x:c r="E739" s="34" t="str">
        <x:v>reference</x:v>
      </x:c>
      <x:c r="F739" s="35" t="str">
        <x:v>2026-06-28</x:v>
      </x:c>
    </x:row>
    <x:row r="740">
      <x:c r="A740" s="33" t="str">
        <x:v>Lian Li O11 Dynamic Mini price source</x:v>
      </x:c>
      <x:c r="B740" s="34" t="str">
        <x:v>https://fr.pcpartpicker.com/product/ByJmP6/lian-li-o11-dynamic-mini-atx-mid-tower-case-o11d-mini-x</x:v>
      </x:c>
      <x:c r="C740" s="34" t="str">
        <x:v>case price seed</x:v>
      </x:c>
      <x:c r="D740" s="34" t="str">
        <x:v>Price/reference</x:v>
      </x:c>
      <x:c r="E740" s="34" t="str">
        <x:v>reference</x:v>
      </x:c>
      <x:c r="F740" s="35" t="str">
        <x:v>2026-06-28</x:v>
      </x:c>
    </x:row>
    <x:row r="741">
      <x:c r="A741" s="33" t="str">
        <x:v>Lian Li A3-mATX price source</x:v>
      </x:c>
      <x:c r="B741" s="34" t="str">
        <x:v>https://fr.pcpartpicker.com/product/FG7scf/lian-li-a3-matx-microatx-mini-tower-case-a3-matx-wd-black</x:v>
      </x:c>
      <x:c r="C741" s="34" t="str">
        <x:v>case price seed</x:v>
      </x:c>
      <x:c r="D741" s="34" t="str">
        <x:v>Price/reference</x:v>
      </x:c>
      <x:c r="E741" s="34" t="str">
        <x:v>reference</x:v>
      </x:c>
      <x:c r="F741" s="35" t="str">
        <x:v>2026-06-28</x:v>
      </x:c>
    </x:row>
    <x:row r="742">
      <x:c r="A742" s="33" t="str">
        <x:v>Lian Li O11 Air Mini price source</x:v>
      </x:c>
      <x:c r="B742" s="34" t="str">
        <x:v>https://fr.pcpartpicker.com/product/RvNxFT/lian-li-o11-air-mini-atx-mid-tower-case-o11amx</x:v>
      </x:c>
      <x:c r="C742" s="34" t="str">
        <x:v>case price seed</x:v>
      </x:c>
      <x:c r="D742" s="34" t="str">
        <x:v>Price/reference</x:v>
      </x:c>
      <x:c r="E742" s="34" t="str">
        <x:v>reference</x:v>
      </x:c>
      <x:c r="F742" s="35" t="str">
        <x:v>2026-06-28</x:v>
      </x:c>
    </x:row>
    <x:row r="743">
      <x:c r="A743" s="33" t="str">
        <x:v>HYTE Y60 price source</x:v>
      </x:c>
      <x:c r="B743" s="34" t="str">
        <x:v>https://fr.pcpartpicker.com/product/pyBG3C/hyte-y60-atx-mid-tower-case-cs-hyte-y60-bw</x:v>
      </x:c>
      <x:c r="C743" s="34" t="str">
        <x:v>case price seed</x:v>
      </x:c>
      <x:c r="D743" s="34" t="str">
        <x:v>Price/reference</x:v>
      </x:c>
      <x:c r="E743" s="34" t="str">
        <x:v>reference</x:v>
      </x:c>
      <x:c r="F743" s="35" t="str">
        <x:v>2026-06-28</x:v>
      </x:c>
    </x:row>
    <x:row r="744">
      <x:c r="A744" s="33" t="str">
        <x:v>Montech KING 95 PRO price source</x:v>
      </x:c>
      <x:c r="B744" s="34" t="str">
        <x:v>https://fr.pcpartpicker.com/product/7qQKHx/montech-king-95-pro-atx-mid-tower-case-king-95-pro-black</x:v>
      </x:c>
      <x:c r="C744" s="34" t="str">
        <x:v>case price seed</x:v>
      </x:c>
      <x:c r="D744" s="34" t="str">
        <x:v>Price/reference</x:v>
      </x:c>
      <x:c r="E744" s="34" t="str">
        <x:v>reference</x:v>
      </x:c>
      <x:c r="F744" s="35" t="str">
        <x:v>2026-06-28</x:v>
      </x:c>
    </x:row>
    <x:row r="745">
      <x:c r="A745" s="33" t="str">
        <x:v>Fractal Design Pop Mini Air price source</x:v>
      </x:c>
      <x:c r="B745" s="34" t="str">
        <x:v>https://fr.pcpartpicker.com/product/gx3gXL/fractal-design-pop-mini-air-microatx-mid-tower-case-fd-c-por1m-06</x:v>
      </x:c>
      <x:c r="C745" s="34" t="str">
        <x:v>case price seed</x:v>
      </x:c>
      <x:c r="D745" s="34" t="str">
        <x:v>Price/reference</x:v>
      </x:c>
      <x:c r="E745" s="34" t="str">
        <x:v>reference</x:v>
      </x:c>
      <x:c r="F745" s="35" t="str">
        <x:v>2026-06-28</x:v>
      </x:c>
    </x:row>
    <x:row r="746">
      <x:c r="A746" s="33" t="str">
        <x:v>Fractal Design Core 1000 USB 3.0 price source</x:v>
      </x:c>
      <x:c r="B746" s="34" t="str">
        <x:v>https://fr.pcpartpicker.com/product/KPw323/fractal-design-case-fdcacore1000usb3bl</x:v>
      </x:c>
      <x:c r="C746" s="34" t="str">
        <x:v>case price seed</x:v>
      </x:c>
      <x:c r="D746" s="34" t="str">
        <x:v>Price/reference</x:v>
      </x:c>
      <x:c r="E746" s="34" t="str">
        <x:v>reference</x:v>
      </x:c>
      <x:c r="F746" s="35" t="str">
        <x:v>2026-06-28</x:v>
      </x:c>
    </x:row>
    <x:row r="747">
      <x:c r="A747" s="33" t="str">
        <x:v>Fractal Design Meshify 2 Compact TG Light Tint price source</x:v>
      </x:c>
      <x:c r="B747" s="34" t="str">
        <x:v>https://fr.pcpartpicker.com/product/mgwypg/fractal-design-meshify-2-compact-tg-light-tint-atx-mid-tower-case-fd-c-mes2c-03</x:v>
      </x:c>
      <x:c r="C747" s="34" t="str">
        <x:v>case price seed</x:v>
      </x:c>
      <x:c r="D747" s="34" t="str">
        <x:v>Price/reference</x:v>
      </x:c>
      <x:c r="E747" s="34" t="str">
        <x:v>reference</x:v>
      </x:c>
      <x:c r="F747" s="35" t="str">
        <x:v>2026-06-28</x:v>
      </x:c>
    </x:row>
    <x:row r="748">
      <x:c r="A748" s="33" t="str">
        <x:v>Fractal Design Pop Air RGB price source</x:v>
      </x:c>
      <x:c r="B748" s="34" t="str">
        <x:v>https://fr.pcpartpicker.com/product/mpcG3C/fractal-design-pop-air-rgb-atx-mid-tower-case-fd-c-por1a-06</x:v>
      </x:c>
      <x:c r="C748" s="34" t="str">
        <x:v>case price seed</x:v>
      </x:c>
      <x:c r="D748" s="34" t="str">
        <x:v>Price/reference</x:v>
      </x:c>
      <x:c r="E748" s="34" t="str">
        <x:v>reference</x:v>
      </x:c>
      <x:c r="F748" s="35" t="str">
        <x:v>2026-06-28</x:v>
      </x:c>
    </x:row>
    <x:row r="749">
      <x:c r="A749" s="33" t="str">
        <x:v>Corsair iCUE 465X RGB price source</x:v>
      </x:c>
      <x:c r="B749" s="34" t="str">
        <x:v>https://fr.pcpartpicker.com/product/QTJmP6/corsair-icue-465x-rgb-atx-mid-tower-case-cc-9011189-ww</x:v>
      </x:c>
      <x:c r="C749" s="34" t="str">
        <x:v>case price seed</x:v>
      </x:c>
      <x:c r="D749" s="34" t="str">
        <x:v>Price/reference</x:v>
      </x:c>
      <x:c r="E749" s="34" t="str">
        <x:v>reference</x:v>
      </x:c>
      <x:c r="F749" s="35" t="str">
        <x:v>2026-06-28</x:v>
      </x:c>
    </x:row>
    <x:row r="750">
      <x:c r="A750" s="33" t="str">
        <x:v>Antec C5 ARGB price source</x:v>
      </x:c>
      <x:c r="B750" s="34" t="str">
        <x:v>https://fr.pcpartpicker.com/product/MFNYcf/antec-c5-argb-atx-mid-tower-case-0-761345-10033-5</x:v>
      </x:c>
      <x:c r="C750" s="34" t="str">
        <x:v>case price seed</x:v>
      </x:c>
      <x:c r="D750" s="34" t="str">
        <x:v>Price/reference</x:v>
      </x:c>
      <x:c r="E750" s="34" t="str">
        <x:v>reference</x:v>
      </x:c>
      <x:c r="F750" s="35" t="str">
        <x:v>2026-06-28</x:v>
      </x:c>
    </x:row>
    <x:row r="751">
      <x:c r="A751" s="33" t="str">
        <x:v>Fractal Design Node 804 price source</x:v>
      </x:c>
      <x:c r="B751" s="34" t="str">
        <x:v>https://fr.pcpartpicker.com/product/yTdqqs/fractal-design-case-fdcanode804blw</x:v>
      </x:c>
      <x:c r="C751" s="34" t="str">
        <x:v>case price seed</x:v>
      </x:c>
      <x:c r="D751" s="34" t="str">
        <x:v>Price/reference</x:v>
      </x:c>
      <x:c r="E751" s="34" t="str">
        <x:v>reference</x:v>
      </x:c>
      <x:c r="F751" s="35" t="str">
        <x:v>2026-06-28</x:v>
      </x:c>
    </x:row>
    <x:row r="752">
      <x:c r="A752" s="33" t="str">
        <x:v>NZXT H7 Flow (2022) price source</x:v>
      </x:c>
      <x:c r="B752" s="34" t="str">
        <x:v>https://fr.pcpartpicker.com/product/c7jBD3/nzxt-h7-flow-atx-mid-tower-case-cm-h71fb-01</x:v>
      </x:c>
      <x:c r="C752" s="34" t="str">
        <x:v>case price seed</x:v>
      </x:c>
      <x:c r="D752" s="34" t="str">
        <x:v>Price/reference</x:v>
      </x:c>
      <x:c r="E752" s="34" t="str">
        <x:v>reference</x:v>
      </x:c>
      <x:c r="F752" s="35" t="str">
        <x:v>2026-06-28</x:v>
      </x:c>
    </x:row>
    <x:row r="753">
      <x:c r="A753" s="33" t="str">
        <x:v>Lian Li Lancool 207 price source</x:v>
      </x:c>
      <x:c r="B753" s="34" t="str">
        <x:v>https://fr.pcpartpicker.com/product/zysV3C/lian-li-lancool-207-atx-mid-tower-case-lan207rx</x:v>
      </x:c>
      <x:c r="C753" s="34" t="str">
        <x:v>case price seed</x:v>
      </x:c>
      <x:c r="D753" s="34" t="str">
        <x:v>Price/reference</x:v>
      </x:c>
      <x:c r="E753" s="34" t="str">
        <x:v>reference</x:v>
      </x:c>
      <x:c r="F753" s="35" t="str">
        <x:v>2026-06-28</x:v>
      </x:c>
    </x:row>
    <x:row r="754">
      <x:c r="A754" s="33" t="str">
        <x:v>Lian Li LANCOOL 216 price source</x:v>
      </x:c>
      <x:c r="B754" s="34" t="str">
        <x:v>https://fr.pcpartpicker.com/product/qP2WGX/lian-li-lancool-216-atx-mid-tower-case-lancool-216x</x:v>
      </x:c>
      <x:c r="C754" s="34" t="str">
        <x:v>case price seed</x:v>
      </x:c>
      <x:c r="D754" s="34" t="str">
        <x:v>Price/reference</x:v>
      </x:c>
      <x:c r="E754" s="34" t="str">
        <x:v>reference</x:v>
      </x:c>
      <x:c r="F754" s="35" t="str">
        <x:v>2026-06-28</x:v>
      </x:c>
    </x:row>
    <x:row r="755">
      <x:c r="A755" s="33" t="str">
        <x:v>Lian Li O11 VISION COMPACT price source</x:v>
      </x:c>
      <x:c r="B755" s="34" t="str">
        <x:v>https://fr.pcpartpicker.com/product/7qKscf/lian-li-o11-vision-compact-atx-mid-tower-case-o11vpw</x:v>
      </x:c>
      <x:c r="C755" s="34" t="str">
        <x:v>case price seed</x:v>
      </x:c>
      <x:c r="D755" s="34" t="str">
        <x:v>Price/reference</x:v>
      </x:c>
      <x:c r="E755" s="34" t="str">
        <x:v>reference</x:v>
      </x:c>
      <x:c r="F755" s="35" t="str">
        <x:v>2026-06-28</x:v>
      </x:c>
    </x:row>
    <x:row r="756">
      <x:c r="A756" s="33" t="str">
        <x:v>Thermaltake Versa H17 price source</x:v>
      </x:c>
      <x:c r="B756" s="34" t="str">
        <x:v>https://fr.pcpartpicker.com/product/JtWfrH/thermaltake-versa-h17-microatx-mini-tower-case-ca-1j1-00s1nn-00</x:v>
      </x:c>
      <x:c r="C756" s="34" t="str">
        <x:v>case price seed</x:v>
      </x:c>
      <x:c r="D756" s="34" t="str">
        <x:v>Price/reference</x:v>
      </x:c>
      <x:c r="E756" s="34" t="str">
        <x:v>reference</x:v>
      </x:c>
      <x:c r="F756" s="35" t="str">
        <x:v>2026-06-28</x:v>
      </x:c>
    </x:row>
    <x:row r="757">
      <x:c r="A757" s="33" t="str">
        <x:v>Lian Li O11D EVO RGB price source</x:v>
      </x:c>
      <x:c r="B757" s="34" t="str">
        <x:v>https://fr.pcpartpicker.com/product/qrXV3C/lian-li-o11d-evo-rgb-atx-mid-tower-case-o11dergbx</x:v>
      </x:c>
      <x:c r="C757" s="34" t="str">
        <x:v>case price seed</x:v>
      </x:c>
      <x:c r="D757" s="34" t="str">
        <x:v>Price/reference</x:v>
      </x:c>
      <x:c r="E757" s="34" t="str">
        <x:v>reference</x:v>
      </x:c>
      <x:c r="F757" s="35" t="str">
        <x:v>2026-06-28</x:v>
      </x:c>
    </x:row>
    <x:row r="758">
      <x:c r="A758" s="33" t="str">
        <x:v>Fractal Design North ATX mATX Mid Tower PC Case - North Charcoal Black with Walnut Front and Dark Tinted TG Side Panel price source</x:v>
      </x:c>
      <x:c r="B758" s="34" t="str">
        <x:v>https://www.newegg.ca/p/11-352-204</x:v>
      </x:c>
      <x:c r="C758" s="34" t="str">
        <x:v>case price seed</x:v>
      </x:c>
      <x:c r="D758" s="34" t="str">
        <x:v>Price/reference</x:v>
      </x:c>
      <x:c r="E758" s="34" t="str">
        <x:v>retail</x:v>
      </x:c>
      <x:c r="F758" s="35" t="str">
        <x:v>2026-06-29</x:v>
      </x:c>
    </x:row>
    <x:row r="759">
      <x:c r="A759" s="33" t="str">
        <x:v>Fractal Design North ATX mATX Mid Tower PC Case - Charcoal Black Chassis with Walnut Front and Mesh Side Panel price source</x:v>
      </x:c>
      <x:c r="B759" s="34" t="str">
        <x:v>https://www.newegg.ca/p/9SIADGEJWT8522</x:v>
      </x:c>
      <x:c r="C759" s="34" t="str">
        <x:v>case price seed</x:v>
      </x:c>
      <x:c r="D759" s="34" t="str">
        <x:v>Price/reference</x:v>
      </x:c>
      <x:c r="E759" s="34" t="str">
        <x:v>retail</x:v>
      </x:c>
      <x:c r="F759" s="35" t="str">
        <x:v>2026-06-29</x:v>
      </x:c>
    </x:row>
    <x:row r="760">
      <x:c r="A760" s="33" t="str">
        <x:v>PCCOOLER CPS C3 T700 PC Case, Dual-Chamber Mid-Tower ATX Case, High-Airflow Computer Case, BTF Motherboard Supports, Sturdy Tempered Glass Front &amp; Side Panels, Black (Fans Not Included) price source</x:v>
      </x:c>
      <x:c r="B760" s="34" t="str">
        <x:v>https://www.newegg.ca/p/9SIBYC4KME7904</x:v>
      </x:c>
      <x:c r="C760" s="34" t="str">
        <x:v>case price seed</x:v>
      </x:c>
      <x:c r="D760" s="34" t="str">
        <x:v>Price/reference</x:v>
      </x:c>
      <x:c r="E760" s="34" t="str">
        <x:v>retail</x:v>
      </x:c>
      <x:c r="F760" s="35" t="str">
        <x:v>2026-06-29</x:v>
      </x:c>
    </x:row>
    <x:row r="761">
      <x:c r="A761" s="33" t="str">
        <x:v>Fractal Design North XL ATX mATX Full Tower PC Case - Charcoal Black Chassis with Walnut Front and Dark Tinted TG Side Panel - FD-C-NOR1X-02 price source</x:v>
      </x:c>
      <x:c r="B761" s="34" t="str">
        <x:v>https://www.newegg.ca/p/11-352-216</x:v>
      </x:c>
      <x:c r="C761" s="34" t="str">
        <x:v>case price seed</x:v>
      </x:c>
      <x:c r="D761" s="34" t="str">
        <x:v>Price/reference</x:v>
      </x:c>
      <x:c r="E761" s="34" t="str">
        <x:v>retail</x:v>
      </x:c>
      <x:c r="F761" s="35" t="str">
        <x:v>2026-06-29</x:v>
      </x:c>
    </x:row>
    <x:row r="762">
      <x:c r="A762" s="33" t="str">
        <x:v>Fractal Design North ATX mATX Mid Tower PC Case - North Chalk White with Oak Front and Clear TG Side Panel</x:v>
      </x:c>
      <x:c r="B762" s="34" t="str">
        <x:v>https://www.newegg.ca/p/9SIA9H5JVT0385</x:v>
      </x:c>
      <x:c r="C762" s="34" t="str">
        <x:v>case specifications</x:v>
      </x:c>
      <x:c r="D762" s="34" t="str">
        <x:v>Manufacturer/specification</x:v>
      </x:c>
      <x:c r="E762" s="34" t="str">
        <x:v>retail</x:v>
      </x:c>
      <x:c r="F762" s="35" t="str">
        <x:v>2026-06-29</x:v>
      </x:c>
    </x:row>
    <x:row r="763">
      <x:c r="A763" s="33" t="str">
        <x:v>Fractal Design North ATX mATX Mid Tower PC Case - North Chalk White with Oak Front and Clear TG Side Panel price source</x:v>
      </x:c>
      <x:c r="B763" s="34" t="str">
        <x:v>https://www.newegg.ca/p/11-352-206R</x:v>
      </x:c>
      <x:c r="C763" s="34" t="str">
        <x:v>case price seed</x:v>
      </x:c>
      <x:c r="D763" s="34" t="str">
        <x:v>Price/reference</x:v>
      </x:c>
      <x:c r="E763" s="34" t="str">
        <x:v>retail</x:v>
      </x:c>
      <x:c r="F763" s="35" t="str">
        <x:v>2026-06-29</x:v>
      </x:c>
    </x:row>
    <x:row r="764">
      <x:c r="A764" s="33" t="str">
        <x:v>Fractal Design North XL ATX mATX Mid Tower PC Case - Chalk White Chassis with Oak Front and Clear TG Side Panel - FD-C-NOR1X-04 price source</x:v>
      </x:c>
      <x:c r="B764" s="34" t="str">
        <x:v>https://www.newegg.ca/p/11-352-218</x:v>
      </x:c>
      <x:c r="C764" s="34" t="str">
        <x:v>case price seed</x:v>
      </x:c>
      <x:c r="D764" s="34" t="str">
        <x:v>Price/reference</x:v>
      </x:c>
      <x:c r="E764" s="34" t="str">
        <x:v>retail</x:v>
      </x:c>
      <x:c r="F764" s="35" t="str">
        <x:v>2026-06-29</x:v>
      </x:c>
    </x:row>
    <x:row r="765">
      <x:c r="A765" s="33" t="str">
        <x:v>Fractal Design North XL ATX mATX Mid Tower PC Case - Charcoal Black Chassis with Walnut Front and Mesh Side Panel - FD-C-NOR1X-01 price source</x:v>
      </x:c>
      <x:c r="B765" s="34" t="str">
        <x:v>https://www.newegg.ca/p/11-352-215</x:v>
      </x:c>
      <x:c r="C765" s="34" t="str">
        <x:v>case price seed</x:v>
      </x:c>
      <x:c r="D765" s="34" t="str">
        <x:v>Price/reference</x:v>
      </x:c>
      <x:c r="E765" s="34" t="str">
        <x:v>retail</x:v>
      </x:c>
      <x:c r="F765" s="35" t="str">
        <x:v>2026-06-29</x:v>
      </x:c>
    </x:row>
    <x:row r="766">
      <x:c r="A766" s="33" t="str">
        <x:v>Fractal Design North ATX mATX Mid Tower PC Case - Chalk White Chassis with Oak Front and Mesh Side Panel price source</x:v>
      </x:c>
      <x:c r="B766" s="34" t="str">
        <x:v>https://www.newegg.ca/p/11-352-205</x:v>
      </x:c>
      <x:c r="C766" s="34" t="str">
        <x:v>case price seed</x:v>
      </x:c>
      <x:c r="D766" s="34" t="str">
        <x:v>Price/reference</x:v>
      </x:c>
      <x:c r="E766" s="34" t="str">
        <x:v>retail</x:v>
      </x:c>
      <x:c r="F766" s="35" t="str">
        <x:v>2026-06-29</x:v>
      </x:c>
    </x:row>
    <x:row r="767">
      <x:c r="A767" s="33" t="str">
        <x:v>JONSBO C6 BLACK MATX Mesh Case,Simple Compact Desktop Micro ATX Chassis,1+2 Disk Bays Steel Plate Case, ATX Power Bite (L185mm Max.),Support 75mm CPU Cooler,Upper Cover/Side Panel Tool-free Open,Black price source</x:v>
      </x:c>
      <x:c r="B767" s="34" t="str">
        <x:v>https://www.newegg.ca/p/9SIAY3TKEP2693</x:v>
      </x:c>
      <x:c r="C767" s="34" t="str">
        <x:v>case price seed</x:v>
      </x:c>
      <x:c r="D767" s="34" t="str">
        <x:v>Price/reference</x:v>
      </x:c>
      <x:c r="E767" s="34" t="str">
        <x:v>retail</x:v>
      </x:c>
      <x:c r="F767" s="35" t="str">
        <x:v>2026-06-29</x:v>
      </x:c>
    </x:row>
    <x:row r="768">
      <x:c r="A768" s="33" t="str">
        <x:v>Fractal Design North XL ATX mATX Mid Tower PC Case - Chalk White Chassis with Oak Front and Mesh Side Panel - FD-C-NOR1X-03</x:v>
      </x:c>
      <x:c r="B768" s="34" t="str">
        <x:v>https://www.newegg.ca/p/11-352-217</x:v>
      </x:c>
      <x:c r="C768" s="34" t="str">
        <x:v>case specifications</x:v>
      </x:c>
      <x:c r="D768" s="34" t="str">
        <x:v>Manufacturer/specification</x:v>
      </x:c>
      <x:c r="E768" s="34" t="str">
        <x:v>retail</x:v>
      </x:c>
      <x:c r="F768" s="35" t="str">
        <x:v>2026-06-29</x:v>
      </x:c>
    </x:row>
    <x:row r="769">
      <x:c r="A769" s="33" t="str">
        <x:v>Fractal Design North XL ATX mATX Mid Tower PC Case - Chalk White Chassis with Oak Front and Mesh Side Panel - FD-C-NOR1X-03 price source</x:v>
      </x:c>
      <x:c r="B769" s="34" t="str">
        <x:v>https://www.newegg.ca/p/11-352-217R</x:v>
      </x:c>
      <x:c r="C769" s="34" t="str">
        <x:v>case price seed</x:v>
      </x:c>
      <x:c r="D769" s="34" t="str">
        <x:v>Price/reference</x:v>
      </x:c>
      <x:c r="E769" s="34" t="str">
        <x:v>retail</x:v>
      </x:c>
      <x:c r="F769" s="35" t="str">
        <x:v>2026-06-29</x:v>
      </x:c>
    </x:row>
    <x:row r="770">
      <x:c r="A770" s="33" t="str">
        <x:v>Fractal Design North Momentum Edition Black - Three powerful 120mm Momentum Fans Included - Genuine Blackened Oak Wood Front - Glass Side Panel - Type C USB - ATX Airflow Mid Tower PC Gaming Case price source</x:v>
      </x:c>
      <x:c r="B770" s="34" t="str">
        <x:v>https://www.newegg.ca/p/11-352-254</x:v>
      </x:c>
      <x:c r="C770" s="34" t="str">
        <x:v>case price seed</x:v>
      </x:c>
      <x:c r="D770" s="34" t="str">
        <x:v>Price/reference</x:v>
      </x:c>
      <x:c r="E770" s="34" t="str">
        <x:v>retail</x:v>
      </x:c>
      <x:c r="F770" s="35" t="str">
        <x:v>2026-06-29</x:v>
      </x:c>
    </x:row>
    <x:row r="771">
      <x:c r="A771" s="33" t="str">
        <x:v>JONSBO TK-0 Separated Cabinet ITX Case Mini Tower,270° Dual-Curved Glass, Al/Solid Walnut Wood, Compact Desktop Case SP GPU 230mm,Separate Air Intake for PSU, Multi Vents Cooling,4 Fan Position,Black price source</x:v>
      </x:c>
      <x:c r="B771" s="34" t="str">
        <x:v>https://www.newegg.ca/p/9SIAY3TKCK4731</x:v>
      </x:c>
      <x:c r="C771" s="34" t="str">
        <x:v>case price seed</x:v>
      </x:c>
      <x:c r="D771" s="34" t="str">
        <x:v>Price/reference</x:v>
      </x:c>
      <x:c r="E771" s="34" t="str">
        <x:v>retail</x:v>
      </x:c>
      <x:c r="F771" s="35" t="str">
        <x:v>2026-06-29</x:v>
      </x:c>
    </x:row>
    <x:row r="772">
      <x:c r="A772" s="33" t="str">
        <x:v>JONSPLUS Z20 BLACK Micro-ATX Computer Case,with Detachable Carrying handle , Mini Size, High-performance Hardware Compatible, Support 240AIO, H160mm Cooler, Black price source</x:v>
      </x:c>
      <x:c r="B772" s="34" t="str">
        <x:v>https://www.newegg.ca/p/9SIAY3TKK28373</x:v>
      </x:c>
      <x:c r="C772" s="34" t="str">
        <x:v>case price seed</x:v>
      </x:c>
      <x:c r="D772" s="34" t="str">
        <x:v>Price/reference</x:v>
      </x:c>
      <x:c r="E772" s="34" t="str">
        <x:v>retail</x:v>
      </x:c>
      <x:c r="F772" s="35" t="str">
        <x:v>2026-06-29</x:v>
      </x:c>
    </x:row>
    <x:row r="773">
      <x:c r="A773" s="33" t="str">
        <x:v>JONSBO N10 BLACK MINI ITX PC Case, Aluminum Alloy with Walnut Trim Desktop Case, Standing or Lying , Compatible with 1U Flex PSU,Compact &amp; Portable 4.5L SFF Case, With 2Fans,4x2.5"SSD, Black price source</x:v>
      </x:c>
      <x:c r="B773" s="34" t="str">
        <x:v>https://www.newegg.ca/p/9SIAY3TKK28351</x:v>
      </x:c>
      <x:c r="C773" s="34" t="str">
        <x:v>case price seed</x:v>
      </x:c>
      <x:c r="D773" s="34" t="str">
        <x:v>Price/reference</x:v>
      </x:c>
      <x:c r="E773" s="34" t="str">
        <x:v>retail</x:v>
      </x:c>
      <x:c r="F773" s="35" t="str">
        <x:v>2026-06-29</x:v>
      </x:c>
    </x:row>
    <x:row r="774">
      <x:c r="A774" s="33" t="str">
        <x:v>JONSBO D32 PRO Micro-ATX PC Case,High Compatibility Mini Desktop Case,A/B Mode for MB, Support MATX Back-Connect/BTF MB,365mm GPU/240AIO/163mm Air Cooler,ATX/SFX-L/SFX PSU, USB3.2 PC Gaming Case,Black price source</x:v>
      </x:c>
      <x:c r="B774" s="34" t="str">
        <x:v>https://www.newegg.ca/p/9SIAY3TKK28353</x:v>
      </x:c>
      <x:c r="C774" s="34" t="str">
        <x:v>case price seed</x:v>
      </x:c>
      <x:c r="D774" s="34" t="str">
        <x:v>Price/reference</x:v>
      </x:c>
      <x:c r="E774" s="34" t="str">
        <x:v>retail</x:v>
      </x:c>
      <x:c r="F774" s="35" t="str">
        <x:v>2026-06-29</x:v>
      </x:c>
    </x:row>
    <x:row r="775">
      <x:c r="A775" s="33" t="str">
        <x:v>Fractal Design Terra Jade Mini-ITX Small Form Factor PC Case with PCIe 4.0 Riser price source</x:v>
      </x:c>
      <x:c r="B775" s="34" t="str">
        <x:v>https://www.newegg.ca/p/11-352-214</x:v>
      </x:c>
      <x:c r="C775" s="34" t="str">
        <x:v>case price seed</x:v>
      </x:c>
      <x:c r="D775" s="34" t="str">
        <x:v>Price/reference</x:v>
      </x:c>
      <x:c r="E775" s="34" t="str">
        <x:v>retail</x:v>
      </x:c>
      <x:c r="F775" s="35" t="str">
        <x:v>2026-06-29</x:v>
      </x:c>
    </x:row>
    <x:row r="776">
      <x:c r="A776" s="33" t="str">
        <x:v>Fractal Design Terra Silver Mini-ITX Small Form Factor PC Case with PCIe 4.0 Riser price source</x:v>
      </x:c>
      <x:c r="B776" s="34" t="str">
        <x:v>https://www.newegg.ca/p/11-352-213</x:v>
      </x:c>
      <x:c r="C776" s="34" t="str">
        <x:v>case price seed</x:v>
      </x:c>
      <x:c r="D776" s="34" t="str">
        <x:v>Price/reference</x:v>
      </x:c>
      <x:c r="E776" s="34" t="str">
        <x:v>retail</x:v>
      </x:c>
      <x:c r="F776" s="35" t="str">
        <x:v>2026-06-29</x:v>
      </x:c>
    </x:row>
    <x:row r="777">
      <x:c r="A777" s="33" t="str">
        <x:v>Fractal Design Terra Graphite Mini-ITX Small Form Factor PC Case with PCIe 4.0 Riser price source</x:v>
      </x:c>
      <x:c r="B777" s="34" t="str">
        <x:v>https://www.newegg.ca/p/11-352-212</x:v>
      </x:c>
      <x:c r="C777" s="34" t="str">
        <x:v>case price seed</x:v>
      </x:c>
      <x:c r="D777" s="34" t="str">
        <x:v>Price/reference</x:v>
      </x:c>
      <x:c r="E777" s="34" t="str">
        <x:v>retail</x:v>
      </x:c>
      <x:c r="F777" s="35" t="str">
        <x:v>2026-06-29</x:v>
      </x:c>
    </x:row>
    <x:row r="778">
      <x:c r="A778" s="33" t="str">
        <x:v>Corsair 4000D Airflow 4000D Black Computer Case price source</x:v>
      </x:c>
      <x:c r="B778" s="34" t="str">
        <x:v>https://www.newegg.ca/p/9SIA7BBE3P0339</x:v>
      </x:c>
      <x:c r="C778" s="34" t="str">
        <x:v>case price seed</x:v>
      </x:c>
      <x:c r="D778" s="34" t="str">
        <x:v>Price/reference</x:v>
      </x:c>
      <x:c r="E778" s="34" t="str">
        <x:v>retail</x:v>
      </x:c>
      <x:c r="F778" s="35" t="str">
        <x:v>2026-06-29</x:v>
      </x:c>
    </x:row>
    <x:row r="779">
      <x:c r="A779" s="33" t="str">
        <x:v>NZXT H Series H5 Flow 2024 Edition ATX Mid Tower Chassis All Black Color price source</x:v>
      </x:c>
      <x:c r="B779" s="34" t="str">
        <x:v>https://www.newegg.ca/p/11-146-365</x:v>
      </x:c>
      <x:c r="C779" s="34" t="str">
        <x:v>case price seed</x:v>
      </x:c>
      <x:c r="D779" s="34" t="str">
        <x:v>Price/reference</x:v>
      </x:c>
      <x:c r="E779" s="34" t="str">
        <x:v>retail</x:v>
      </x:c>
      <x:c r="F779" s="35" t="str">
        <x:v>2026-06-29</x:v>
      </x:c>
    </x:row>
    <x:row r="780">
      <x:c r="A780" s="33" t="str">
        <x:v>NZXT H Series H5 Flow 2024 Edition ATX Mid Tower Chassis All White Color price source</x:v>
      </x:c>
      <x:c r="B780" s="34" t="str">
        <x:v>https://www.newegg.ca/p/11-146-366</x:v>
      </x:c>
      <x:c r="C780" s="34" t="str">
        <x:v>case price seed</x:v>
      </x:c>
      <x:c r="D780" s="34" t="str">
        <x:v>Price/reference</x:v>
      </x:c>
      <x:c r="E780" s="34" t="str">
        <x:v>retail</x:v>
      </x:c>
      <x:c r="F780" s="35" t="str">
        <x:v>2026-06-29</x:v>
      </x:c>
    </x:row>
    <x:row r="781">
      <x:c r="A781" s="33" t="str">
        <x:v>NZXT H Series H5 Flow 2024 RGB Edition ATX Mid Tower Chassis All Black Color price source</x:v>
      </x:c>
      <x:c r="B781" s="34" t="str">
        <x:v>https://www.newegg.ca/p/9SIA9H5KCK8230</x:v>
      </x:c>
      <x:c r="C781" s="34" t="str">
        <x:v>case price seed</x:v>
      </x:c>
      <x:c r="D781" s="34" t="str">
        <x:v>Price/reference</x:v>
      </x:c>
      <x:c r="E781" s="34" t="str">
        <x:v>retail</x:v>
      </x:c>
      <x:c r="F781" s="35" t="str">
        <x:v>2026-06-29</x:v>
      </x:c>
    </x:row>
    <x:row r="782">
      <x:c r="A782" s="33" t="str">
        <x:v>NZXT H Series H5 Flow 2024 RGB Edition ATX Mid Tower Chassis All White Color price source</x:v>
      </x:c>
      <x:c r="B782" s="34" t="str">
        <x:v>https://www.newegg.ca/p/11-146-367</x:v>
      </x:c>
      <x:c r="C782" s="34" t="str">
        <x:v>case price seed</x:v>
      </x:c>
      <x:c r="D782" s="34" t="str">
        <x:v>Price/reference</x:v>
      </x:c>
      <x:c r="E782" s="34" t="str">
        <x:v>retail</x:v>
      </x:c>
      <x:c r="F782" s="35" t="str">
        <x:v>2026-06-29</x:v>
      </x:c>
    </x:row>
    <x:row r="783">
      <x:c r="A783" s="33" t="str">
        <x:v>NZXT H6 FLOW RGB Compact Dual-Chamber Mid-Tower Airflow Case, Black, CC-H61FB-R1 price source</x:v>
      </x:c>
      <x:c r="B783" s="34" t="str">
        <x:v>https://www.newegg.ca/p/11-146-359</x:v>
      </x:c>
      <x:c r="C783" s="34" t="str">
        <x:v>case price seed</x:v>
      </x:c>
      <x:c r="D783" s="34" t="str">
        <x:v>Price/reference</x:v>
      </x:c>
      <x:c r="E783" s="34" t="str">
        <x:v>retail</x:v>
      </x:c>
      <x:c r="F783" s="35" t="str">
        <x:v>2026-06-29</x:v>
      </x:c>
    </x:row>
    <x:row r="784">
      <x:c r="A784" s="33" t="str">
        <x:v>NZXT H6 FLOW RGB Compact Dual-Chamber Mid-Tower Airflow Case, White, CC-H61FW-R1 price source</x:v>
      </x:c>
      <x:c r="B784" s="34" t="str">
        <x:v>https://www.newegg.ca/p/9SIA9H5K486297</x:v>
      </x:c>
      <x:c r="C784" s="34" t="str">
        <x:v>case price seed</x:v>
      </x:c>
      <x:c r="D784" s="34" t="str">
        <x:v>Price/reference</x:v>
      </x:c>
      <x:c r="E784" s="34" t="str">
        <x:v>retail</x:v>
      </x:c>
      <x:c r="F784" s="35" t="str">
        <x:v>2026-06-29</x:v>
      </x:c>
    </x:row>
    <x:row r="785">
      <x:c r="A785" s="33" t="str">
        <x:v>NZXT H9 Flow (2025)  Large Dual-Chamber ATX Mid-Tower Airflow PC Case  Includes 3 x 140mm &amp; 1 x 120mm Fans  420mm Radiator Support  Tempered Glass  Back-Connect Ready  Black price source</x:v>
      </x:c>
      <x:c r="B785" s="34" t="str">
        <x:v>https://www.newegg.ca/p/9SIA9H5KMV8840</x:v>
      </x:c>
      <x:c r="C785" s="34" t="str">
        <x:v>case price seed</x:v>
      </x:c>
      <x:c r="D785" s="34" t="str">
        <x:v>Price/reference</x:v>
      </x:c>
      <x:c r="E785" s="34" t="str">
        <x:v>retail</x:v>
      </x:c>
      <x:c r="F785" s="35" t="str">
        <x:v>2026-06-29</x:v>
      </x:c>
    </x:row>
    <x:row r="786">
      <x:c r="A786" s="33" t="str">
        <x:v>NZXT H9 Flow (2025)  Large Dual-Chamber ATX Mid-Tower Airflow PC Case  Includes 3 x 140mm &amp; 1 x 120mm Fans  420mm Radiator Support  Tempered Glass  Back-Connect Ready  White price source</x:v>
      </x:c>
      <x:c r="B786" s="34" t="str">
        <x:v>https://www.newegg.ca/p/9SIA9H5KMV8935</x:v>
      </x:c>
      <x:c r="C786" s="34" t="str">
        <x:v>case price seed</x:v>
      </x:c>
      <x:c r="D786" s="34" t="str">
        <x:v>Price/reference</x:v>
      </x:c>
      <x:c r="E786" s="34" t="str">
        <x:v>retail</x:v>
      </x:c>
      <x:c r="F786" s="35" t="str">
        <x:v>2026-06-29</x:v>
      </x:c>
    </x:row>
    <x:row r="787">
      <x:c r="A787" s="33" t="str">
        <x:v>NZXT H9 Flow RGB+ (2025)  Large Dual-Chamber ATX Mid-Tower Airflow PC Case  Includes 7 RGB Fans (6 x 140mm, 1 x 120mm) &amp; Control Hub  420mm Radiator Support  Back-Connect Ready  Black price source</x:v>
      </x:c>
      <x:c r="B787" s="34" t="str">
        <x:v>https://www.newegg.ca/p/9SIA9H5KRU2916</x:v>
      </x:c>
      <x:c r="C787" s="34" t="str">
        <x:v>case price seed</x:v>
      </x:c>
      <x:c r="D787" s="34" t="str">
        <x:v>Price/reference</x:v>
      </x:c>
      <x:c r="E787" s="34" t="str">
        <x:v>retail</x:v>
      </x:c>
      <x:c r="F787" s="35" t="str">
        <x:v>2026-06-29</x:v>
      </x:c>
    </x:row>
    <x:row r="788">
      <x:c r="A788" s="33" t="str">
        <x:v>NZXT H9 Flow RGB (2025)  Large Dual-Chamber ATX Mid-Tower Airflow PC Case  Includes 1 x 420mm RGB Fan Unit &amp; 1 x 120mm Fan  420mm Radiator Support  Tempered Glass  Back-Connect Ready  White price source</x:v>
      </x:c>
      <x:c r="B788" s="34" t="str">
        <x:v>https://www.newegg.ca/p/9SIA9H5KMV9049</x:v>
      </x:c>
      <x:c r="C788" s="34" t="str">
        <x:v>case price seed</x:v>
      </x:c>
      <x:c r="D788" s="34" t="str">
        <x:v>Price/reference</x:v>
      </x:c>
      <x:c r="E788" s="34" t="str">
        <x:v>retail</x:v>
      </x:c>
      <x:c r="F788" s="35" t="str">
        <x:v>2026-06-29</x:v>
      </x:c>
    </x:row>
    <x:row r="789">
      <x:c r="A789" s="33" t="str">
        <x:v>NZXT H9 Flow RGB+ (2025)  Large Dual-Chamber ATX Mid-Tower Airflow PC Case  Includes 7 RGB Fans (6 x 140mm, 1 x 120mm) &amp; Control Hub  420mm Radiator Support  Back-Connect Ready  White price source</x:v>
      </x:c>
      <x:c r="B789" s="34" t="str">
        <x:v>https://www.newegg.ca/p/9SIA9H5KRU2915</x:v>
      </x:c>
      <x:c r="C789" s="34" t="str">
        <x:v>case price seed</x:v>
      </x:c>
      <x:c r="D789" s="34" t="str">
        <x:v>Price/reference</x:v>
      </x:c>
      <x:c r="E789" s="34" t="str">
        <x:v>retail</x:v>
      </x:c>
      <x:c r="F789" s="35" t="str">
        <x:v>2026-06-29</x:v>
      </x:c>
    </x:row>
    <x:row r="790">
      <x:c r="A790" s="33" t="str">
        <x:v>NZXT H9 Flow RGB (2025)  Large Dual-Chamber ATX Mid-Tower Airflow PC Case  Includes 1 x 420mm RGB Fan Unit &amp; 1 x 120mm Fan  420mm Radiator Support  Tempered Glass  Back-Connect Ready  Black price source</x:v>
      </x:c>
      <x:c r="B790" s="34" t="str">
        <x:v>https://www.newegg.ca/p/9SIA9H5KMV8926</x:v>
      </x:c>
      <x:c r="C790" s="34" t="str">
        <x:v>case price seed</x:v>
      </x:c>
      <x:c r="D790" s="34" t="str">
        <x:v>Price/reference</x:v>
      </x:c>
      <x:c r="E790" s="34" t="str">
        <x:v>retail</x:v>
      </x:c>
      <x:c r="F790" s="35" t="str">
        <x:v>2026-06-29</x:v>
      </x:c>
    </x:row>
    <x:row r="791">
      <x:c r="A791" s="33" t="str">
        <x:v>LIAN LI O11 Dynamic EVO RGB  Black Aluminum / Steel / Tempered Glass ATX Mid Tower Computer Case----O11DERGBX price source</x:v>
      </x:c>
      <x:c r="B791" s="34" t="str">
        <x:v>https://www.newegg.ca/p/2AM-000Z-000C0</x:v>
      </x:c>
      <x:c r="C791" s="34" t="str">
        <x:v>case price seed</x:v>
      </x:c>
      <x:c r="D791" s="34" t="str">
        <x:v>Price/reference</x:v>
      </x:c>
      <x:c r="E791" s="34" t="str">
        <x:v>retail</x:v>
      </x:c>
      <x:c r="F791" s="35" t="str">
        <x:v>2026-06-29</x:v>
      </x:c>
    </x:row>
    <x:row r="792">
      <x:c r="A792" s="33" t="str">
        <x:v>LIAN LI O11 Dynamic EVO XL O11DEXL White Aluminum / Steel / Tempered Glass ATX Mid Tower Computer Case ----- O11DEXL-W price source</x:v>
      </x:c>
      <x:c r="B792" s="34" t="str">
        <x:v>https://www.newegg.ca/p/2AM-000Z-000B5</x:v>
      </x:c>
      <x:c r="C792" s="34" t="str">
        <x:v>case price seed</x:v>
      </x:c>
      <x:c r="D792" s="34" t="str">
        <x:v>Price/reference</x:v>
      </x:c>
      <x:c r="E792" s="34" t="str">
        <x:v>retail</x:v>
      </x:c>
      <x:c r="F792" s="35" t="str">
        <x:v>2026-06-29</x:v>
      </x:c>
    </x:row>
    <x:row r="793">
      <x:c r="A793" s="33" t="str">
        <x:v>LIAN LI O11 Dynamic EVO XL O11DEXL Black Aluminum / Steel / Tempered Glass ATX Mid Tower Computer Case ----- O11DEXL-X price source</x:v>
      </x:c>
      <x:c r="B793" s="34" t="str">
        <x:v>https://www.newegg.ca/p/2AM-000Z-000B4</x:v>
      </x:c>
      <x:c r="C793" s="34" t="str">
        <x:v>case price seed</x:v>
      </x:c>
      <x:c r="D793" s="34" t="str">
        <x:v>Price/reference</x:v>
      </x:c>
      <x:c r="E793" s="34" t="str">
        <x:v>retail</x:v>
      </x:c>
      <x:c r="F793" s="35" t="str">
        <x:v>2026-06-29</x:v>
      </x:c>
    </x:row>
    <x:row r="794">
      <x:c r="A794" s="33" t="str">
        <x:v>Cooler Master NR200P V3 Mini-ITX PC Case - Top-Mount 280mm Radiator Support, Vertical GPU Mount with Mesh Side Panel &amp; Removable Backplate, PCIe 5.0 Riser Cable Included, Fits 130mm SFX PSUs price source</x:v>
      </x:c>
      <x:c r="B794" s="34" t="str">
        <x:v>https://www.newegg.ca/p/11-119-465</x:v>
      </x:c>
      <x:c r="C794" s="34" t="str">
        <x:v>case price seed</x:v>
      </x:c>
      <x:c r="D794" s="34" t="str">
        <x:v>Price/reference</x:v>
      </x:c>
      <x:c r="E794" s="34" t="str">
        <x:v>retail</x:v>
      </x:c>
      <x:c r="F794" s="35" t="str">
        <x:v>2026-06-29</x:v>
      </x:c>
    </x:row>
    <x:row r="795">
      <x:c r="A795" s="33" t="str">
        <x:v>FRACTAL DESIGN Terra Graphite Mini-ITX Small Form Factor PC Case with price source</x:v>
      </x:c>
      <x:c r="B795" s="34" t="str">
        <x:v>https://www.canadacomputers.com/en/small-form-factor-mini-itx-cases/241351/fractal-design-terra-graphite-mini-itx-small-form-factor-pc-case-with-fd-c-ter1n-01.html</x:v>
      </x:c>
      <x:c r="C795" s="34" t="str">
        <x:v>case price seed</x:v>
      </x:c>
      <x:c r="D795" s="34" t="str">
        <x:v>Price/reference</x:v>
      </x:c>
      <x:c r="E795" s="34" t="str">
        <x:v>retail</x:v>
      </x:c>
      <x:c r="F795" s="35" t="str">
        <x:v>2026-06-29</x:v>
      </x:c>
    </x:row>
    <x:row r="796">
      <x:c r="A796" s="33" t="str">
        <x:v>FRACTAL DESIGN Terra Silver Mini-ITX Small Form Factor PC Case with P price source</x:v>
      </x:c>
      <x:c r="B796" s="34" t="str">
        <x:v>https://www.canadacomputers.com/en/small-form-factor-mini-itx-cases/241352/fractal-design-terra-silver-mini-itx-small-form-factor-pc-case-with-p-fd-c-ter1n-02.html</x:v>
      </x:c>
      <x:c r="C796" s="34" t="str">
        <x:v>case price seed</x:v>
      </x:c>
      <x:c r="D796" s="34" t="str">
        <x:v>Price/reference</x:v>
      </x:c>
      <x:c r="E796" s="34" t="str">
        <x:v>retail</x:v>
      </x:c>
      <x:c r="F796" s="35" t="str">
        <x:v>2026-06-29</x:v>
      </x:c>
    </x:row>
    <x:row r="797">
      <x:c r="A797" s="33" t="str">
        <x:v>CORSAIR iCUE 4000D RGB Airflow Mid-Tower Case, Black - 3x AF120 RGB ELITE Fans - iCUE Lighting Node PRO Controller - High-Ai... price source</x:v>
      </x:c>
      <x:c r="B797" s="34" t="str">
        <x:v>https://www.canadacomputers.com/en/mid-tower-cases/236187/corsair-icue-4000d-rgb-airflow-mid-tower-case-black-3x-af120-rgb-elite-fans-icue-lighting-node-pro-controller-high-airflow-desi-cc-9011240-ww.html</x:v>
      </x:c>
      <x:c r="C797" s="34" t="str">
        <x:v>case price seed</x:v>
      </x:c>
      <x:c r="D797" s="34" t="str">
        <x:v>Price/reference</x:v>
      </x:c>
      <x:c r="E797" s="34" t="str">
        <x:v>retail</x:v>
      </x:c>
      <x:c r="F797" s="35" t="str">
        <x:v>2026-06-29</x:v>
      </x:c>
    </x:row>
    <x:row r="798">
      <x:c r="A798" s="33" t="str">
        <x:v>CORSAIR iCUE 4000D RGB Airflow Mid-Tower Case, True White - 3x AF120 RGB ELITE White Fans - iCUE Lighting Node PRO Controlle... price source</x:v>
      </x:c>
      <x:c r="B798" s="34" t="str">
        <x:v>https://www.canadacomputers.com/en/mid-tower-cases/236803/corsair-icue-4000d-rgb-airflow-mid-tower-case-true-white-3x-af120-rgb-elite-white-fans-icue-lighting-node-pro-controller-high-a-cc-9011241-ww.html</x:v>
      </x:c>
      <x:c r="C798" s="34" t="str">
        <x:v>case price seed</x:v>
      </x:c>
      <x:c r="D798" s="34" t="str">
        <x:v>Price/reference</x:v>
      </x:c>
      <x:c r="E798" s="34" t="str">
        <x:v>retail</x:v>
      </x:c>
      <x:c r="F798" s="35" t="str">
        <x:v>2026-06-29</x:v>
      </x:c>
    </x:row>
    <x:row r="799">
      <x:c r="A799" s="33" t="str">
        <x:v>CORSAIR 3500X RS-R ARGB Mid-Tower PC Case, Black price source</x:v>
      </x:c>
      <x:c r="B799" s="34" t="str">
        <x:v>https://www.canadacomputers.com/en/mid-tower-cases/275911/corsair-3500x-rs-r-argb-mid-tower-pc-case-black-cc-9011322-ww.html</x:v>
      </x:c>
      <x:c r="C799" s="34" t="str">
        <x:v>case price seed</x:v>
      </x:c>
      <x:c r="D799" s="34" t="str">
        <x:v>Price/reference</x:v>
      </x:c>
      <x:c r="E799" s="34" t="str">
        <x:v>retail</x:v>
      </x:c>
      <x:c r="F799" s="35" t="str">
        <x:v>2026-06-29</x:v>
      </x:c>
    </x:row>
    <x:row r="800">
      <x:c r="A800" s="33" t="str">
        <x:v>CORSAIR 3500X RS-R ARGB Mid-Tower PC Case, White price source</x:v>
      </x:c>
      <x:c r="B800" s="34" t="str">
        <x:v>https://www.canadacomputers.com/en/mid-tower-cases/275914/corsair-3500x-rs-r-argb-mid-tower-pc-case-white-cc-9011323-ww.html</x:v>
      </x:c>
      <x:c r="C800" s="34" t="str">
        <x:v>case price seed</x:v>
      </x:c>
      <x:c r="D800" s="34" t="str">
        <x:v>Price/reference</x:v>
      </x:c>
      <x:c r="E800" s="34" t="str">
        <x:v>retail</x:v>
      </x:c>
      <x:c r="F800" s="35" t="str">
        <x:v>2026-06-29</x:v>
      </x:c>
    </x:row>
    <x:row r="801">
      <x:c r="A801" s="33" t="str">
        <x:v>Nzxt H5 (2023) Flow RGB Compact Mid-tower ATX case (White) price source</x:v>
      </x:c>
      <x:c r="B801" s="34" t="str">
        <x:v>https://www.canadacomputers.com/en/mid-tower-cases/235153/nzxt-h5-2023-flow-rgb-compact-mid-tower-atx-case-white-cc-h51fw-r1.html</x:v>
      </x:c>
      <x:c r="C801" s="34" t="str">
        <x:v>case price seed</x:v>
      </x:c>
      <x:c r="D801" s="34" t="str">
        <x:v>Price/reference</x:v>
      </x:c>
      <x:c r="E801" s="34" t="str">
        <x:v>retail</x:v>
      </x:c>
      <x:c r="F801" s="35" t="str">
        <x:v>2026-06-29</x:v>
      </x:c>
    </x:row>
    <x:row r="802">
      <x:c r="A802" s="33" t="str">
        <x:v>Nzxt H5 Flow Compact Mid-tower ATX case (White) price source</x:v>
      </x:c>
      <x:c r="B802" s="34" t="str">
        <x:v>https://www.canadacomputers.com/en/mid-tower-cases/226547/nzxt-h5-flow-compact-mid-tower-atx-case-white-cc-h51fw-01.html</x:v>
      </x:c>
      <x:c r="C802" s="34" t="str">
        <x:v>case price seed</x:v>
      </x:c>
      <x:c r="D802" s="34" t="str">
        <x:v>Price/reference</x:v>
      </x:c>
      <x:c r="E802" s="34" t="str">
        <x:v>retail</x:v>
      </x:c>
      <x:c r="F802" s="35" t="str">
        <x:v>2026-06-29</x:v>
      </x:c>
    </x:row>
    <x:row r="803">
      <x:c r="A803" s="33" t="str">
        <x:v>NZXT H5 Flow RGB Case, White price source</x:v>
      </x:c>
      <x:c r="B803" s="34" t="str">
        <x:v>https://www.canadacomputers.com/en/mid-tower-cases/262345/nzxt-h5-flow-rgb-case-white-cc-h52fw-r1.html</x:v>
      </x:c>
      <x:c r="C803" s="34" t="str">
        <x:v>case price seed</x:v>
      </x:c>
      <x:c r="D803" s="34" t="str">
        <x:v>Price/reference</x:v>
      </x:c>
      <x:c r="E803" s="34" t="str">
        <x:v>retail</x:v>
      </x:c>
      <x:c r="F803" s="35" t="str">
        <x:v>2026-06-29</x:v>
      </x:c>
    </x:row>
    <x:row r="804">
      <x:c r="A804" s="38" t="str">
        <x:v>NZXT H6 FLOW Compact Dual-Chamber Mid-Tower Airflow Case, White price source</x:v>
      </x:c>
      <x:c r="B804" s="39" t="str">
        <x:v>https://www.canadacomputers.com/en/mid-tower-cases/246257/nzxt-h6-flow-compact-dual-chamber-mid-tower-airflow-case-white-cc-h61fw-01.html</x:v>
      </x:c>
      <x:c r="C804" s="39" t="str">
        <x:v>case price seed</x:v>
      </x:c>
      <x:c r="D804" s="39" t="str">
        <x:v>Price/reference</x:v>
      </x:c>
      <x:c r="E804" s="39" t="str">
        <x:v>retail</x:v>
      </x:c>
      <x:c r="F804" s="40" t="str">
        <x:v>2026-06-29</x:v>
      </x:c>
    </x:row>
  </x:sheetData>
  <x:mergeCells>
    <x:mergeCell ref="A1:F1"/>
    <x:mergeCell ref="A2:F2"/>
  </x:mergeCells>
  <x:pageMargins left="0.7" right="0.7" top="0.75" bottom="0.75" header="0.3" footer="0.3"/>
</x:worksheet>
</file>