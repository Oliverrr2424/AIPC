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b589efc6164dcd" /></Relationships>
</file>

<file path=xl/workbook.xml><?xml version="1.0" encoding="utf-8"?>
<x:workbook xmlns:x="http://schemas.openxmlformats.org/spreadsheetml/2006/main">
  <x:sheets>
    <x:sheet xmlns:r="http://schemas.openxmlformats.org/officeDocument/2006/relationships" name="Executive Summary" sheetId="1" r:id="R29abdc4ba1414a6a"/>
    <x:sheet xmlns:r="http://schemas.openxmlformats.org/officeDocument/2006/relationships" name="Test Results" sheetId="2" r:id="Rd25ee9fc26a248b5"/>
    <x:sheet xmlns:r="http://schemas.openxmlformats.org/officeDocument/2006/relationships" name="Before vs After" sheetId="3" r:id="R71a1462f18684668"/>
    <x:sheet xmlns:r="http://schemas.openxmlformats.org/officeDocument/2006/relationships" name="Full Responses" sheetId="4" r:id="R8872523e75e2414d"/>
    <x:sheet xmlns:r="http://schemas.openxmlformats.org/officeDocument/2006/relationships" name="Evidence Audit" sheetId="5" r:id="Rc59d0382ee7747f7"/>
    <x:sheet xmlns:r="http://schemas.openxmlformats.org/officeDocument/2006/relationships" name="Parts Catalog" sheetId="6" r:id="R15104fcd99524afb"/>
    <x:sheet xmlns:r="http://schemas.openxmlformats.org/officeDocument/2006/relationships" name="Sources &amp; Method" sheetId="7" r:id="R4ae81fe798214f41"/>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quot; s&quot;"/>
    <x:numFmt numFmtId="201" formatCode="0%"/>
    <x:numFmt numFmtId="202" formatCode="0.0"/>
    <x:numFmt numFmtId="203" formatCode="#,##0.00"/>
    <x:numFmt numFmtId="204" formatCode="0.0%"/>
    <x:numFmt numFmtId="205" formatCode="0.000"/>
    <x:numFmt numFmtId="206" formatCode="$#,##0.00"/>
  </x:numFmts>
  <x:fonts count="7">
    <x:font>
      <x:sz val="11"/>
      <x:name val="Carlito"/>
    </x:font>
    <x:font>
      <x:b/>
      <x:sz val="22"/>
      <x:color rgb="FFFFFFFF"/>
      <x:name val="Carlito"/>
    </x:font>
    <x:font>
      <x:i/>
      <x:sz val="10"/>
      <x:color rgb="FFBFDBFE"/>
      <x:name val="Carlito"/>
    </x:font>
    <x:font>
      <x:b/>
      <x:sz val="11"/>
      <x:color rgb="FFFFFFFF"/>
      <x:name val="Carlito"/>
    </x:font>
    <x:font>
      <x:b/>
      <x:sz val="11"/>
      <x:color rgb="FFD97706"/>
      <x:name val="Carlito"/>
    </x:font>
    <x:font>
      <x:b/>
      <x:sz val="11"/>
      <x:color rgb="FF16A34A"/>
      <x:name val="Carlito"/>
    </x:font>
    <x:font>
      <x:b/>
      <x:sz val="11"/>
      <x:color rgb="FFDC2626"/>
      <x:name val="Carlito"/>
    </x:font>
  </x:fonts>
  <x:fills count="8">
    <x:fill>
      <x:patternFill patternType="none"/>
    </x:fill>
    <x:fill>
      <x:patternFill patternType="gray125"/>
    </x:fill>
    <x:fill>
      <x:patternFill patternType="solid">
        <x:fgColor rgb="FF0B1220"/>
      </x:patternFill>
    </x:fill>
    <x:fill>
      <x:patternFill patternType="solid">
        <x:fgColor rgb="FF111C30"/>
      </x:patternFill>
    </x:fill>
    <x:fill>
      <x:patternFill patternType="solid">
        <x:fgColor rgb="FF2563EB"/>
      </x:patternFill>
    </x:fill>
    <x:fill>
      <x:patternFill patternType="solid">
        <x:fgColor rgb="FFFEF3C7"/>
      </x:patternFill>
    </x:fill>
    <x:fill>
      <x:patternFill patternType="solid">
        <x:fgColor rgb="FFDCFCE7"/>
      </x:patternFill>
    </x:fill>
    <x:fill>
      <x:patternFill patternType="solid">
        <x:fgColor rgb="FFFEE2E2"/>
      </x:patternFill>
    </x:fill>
  </x:fills>
  <x:borders count="9">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8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4"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3" fillId="4" borderId="1"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4"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2" fontId="0" fillId="0" borderId="7" xfId="0" applyNumberFormat="1" applyFont="1" applyFill="1" applyBorder="1"/>
    <x:xf numFmtId="203" fontId="0" fillId="0" borderId="7" xfId="0" applyNumberFormat="1" applyFont="1" applyFill="1" applyBorder="1"/>
    <x:xf numFmtId="204" fontId="0" fillId="0" borderId="7" xfId="0" applyNumberFormat="1" applyFont="1" applyFill="1" applyBorder="1"/>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2" fontId="0" fillId="0" borderId="7" xfId="0" applyNumberFormat="1" applyFont="1" applyFill="1" applyBorder="1" applyAlignment="1">
      <x:alignment wrapText="1"/>
    </x:xf>
    <x:xf numFmtId="203" fontId="0" fillId="0" borderId="7" xfId="0" applyNumberFormat="1" applyFont="1" applyFill="1" applyBorder="1" applyAlignment="1">
      <x:alignment wrapText="1"/>
    </x:xf>
    <x:xf numFmtId="204" fontId="0" fillId="0" borderId="7" xfId="0" applyNumberFormat="1" applyFont="1" applyFill="1" applyBorder="1" applyAlignment="1">
      <x:alignment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2" fontId="0" fillId="0" borderId="7" xfId="0" applyNumberFormat="1" applyFont="1" applyFill="1" applyBorder="1" applyAlignment="1">
      <x:alignment vertical="top" wrapText="1"/>
    </x:xf>
    <x:xf numFmtId="203" fontId="0" fillId="0" borderId="7" xfId="0" applyNumberFormat="1" applyFont="1" applyFill="1" applyBorder="1" applyAlignment="1">
      <x:alignment vertical="top" wrapText="1"/>
    </x:xf>
    <x:xf numFmtId="204" fontId="0" fillId="0" borderId="7"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0" xfId="0" applyNumberFormat="1" applyFont="1" applyFill="1" applyBorder="1" applyAlignment="1">
      <x:alignment horizontal="center" vertical="top" wrapText="1"/>
    </x:xf>
    <x:xf numFmtId="0" fontId="0" fillId="5" borderId="7"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7" xfId="0" applyNumberFormat="1" applyFont="1" applyFill="1" applyBorder="1" applyAlignment="1">
      <x:alignment horizontal="center" vertical="top" wrapText="1"/>
    </x:xf>
    <x:xf numFmtId="0" fontId="0" fillId="7"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0" fillId="7" borderId="7"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6" fillId="7" borderId="7" xfId="0" applyNumberFormat="1" applyFont="1" applyFill="1" applyBorder="1" applyAlignment="1">
      <x:alignment horizontal="center" vertical="top" wrapText="1"/>
    </x:xf>
    <x:xf numFmtId="205" fontId="0" fillId="0" borderId="0" xfId="0" applyNumberFormat="1" applyFont="1" applyFill="1" applyBorder="1" applyAlignment="1">
      <x:alignment vertical="top" wrapText="1"/>
    </x:xf>
    <x:xf numFmtId="205" fontId="0" fillId="0" borderId="7"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0" fillId="0"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611ee4806144e7c" /><Relationship Type="http://schemas.openxmlformats.org/officeDocument/2006/relationships/theme" Target="/xl/theme/theme1.xml" Id="R988336be1ac64f70" /><Relationship Type="http://schemas.openxmlformats.org/officeDocument/2006/relationships/sharedStrings" Target="/xl/sharedStrings.xml" Id="Rd7ae88df59224337" /><Relationship Type="http://schemas.openxmlformats.org/officeDocument/2006/relationships/worksheet" Target="/xl/worksheets/sheet1.xml" Id="R29abdc4ba1414a6a" /><Relationship Type="http://schemas.openxmlformats.org/officeDocument/2006/relationships/worksheet" Target="/xl/worksheets/sheet2.xml" Id="Rd25ee9fc26a248b5" /><Relationship Type="http://schemas.openxmlformats.org/officeDocument/2006/relationships/worksheet" Target="/xl/worksheets/sheet3.xml" Id="R71a1462f18684668" /><Relationship Type="http://schemas.openxmlformats.org/officeDocument/2006/relationships/worksheet" Target="/xl/worksheets/sheet4.xml" Id="R8872523e75e2414d" /><Relationship Type="http://schemas.openxmlformats.org/officeDocument/2006/relationships/worksheet" Target="/xl/worksheets/sheet5.xml" Id="Rc59d0382ee7747f7" /><Relationship Type="http://schemas.openxmlformats.org/officeDocument/2006/relationships/worksheet" Target="/xl/worksheets/sheet6.xml" Id="R15104fcd99524afb" /><Relationship Type="http://schemas.openxmlformats.org/officeDocument/2006/relationships/worksheet" Target="/xl/worksheets/sheet7.xml" Id="R4ae81fe798214f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844fe7358c4b8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Final Test Verdicts</a:t>
            </a:r>
          </a:p>
        </c:rich>
      </c:tx>
      <c:overlay val="0"/>
    </c:title>
    <c:autoTitleDeleted val="0"/>
    <c:plotArea>
      <c:layout/>
      <c:barChart>
        <c:barDir val="col"/>
        <c:grouping val="clustered"/>
        <c:varyColors val="0"/>
        <c:ser>
          <c:idx val="0"/>
          <c:order val="0"/>
          <c:tx>
            <c:v>Count</c:v>
          </c:tx>
          <c:dLbls>
            <c:showLegendKey val="0"/>
            <c:showVal val="0"/>
            <c:showCatName val="0"/>
            <c:showSerName val="0"/>
            <c:showPercent val="0"/>
            <c:showBubbleSize val="0"/>
            <c:showLeaderLines val="0"/>
          </c:dLbls>
          <c:cat>
            <c:strRef>
              <c:f>'Executive Summary'!$H$5:$H$7</c:f>
              <c:strCache>
                <c:ptCount val="0"/>
              </c:strCache>
            </c:strRef>
          </c:cat>
          <c:val>
            <c:numRef>
              <c:f>'Executive Summary'!$I$5:$I$7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844fe7358c4b8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18f50119b2d4d7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21" hidden="0" customWidth="1"/>
    <x:col min="3" max="3" width="26" hidden="0" customWidth="1"/>
    <x:col min="4" max="4" width="18" hidden="0" customWidth="1"/>
    <x:col min="5" max="5" width="18" hidden="0" customWidth="1"/>
    <x:col min="6" max="6" width="18" hidden="0" customWidth="1"/>
    <x:col min="8" max="8" width="14" hidden="0" customWidth="1"/>
    <x:col min="9" max="9" width="14" hidden="0" customWidth="1"/>
  </x:cols>
  <x:sheetData>
    <x:row r="1" ht="38" customHeight="1">
      <x:c r="A1" s="3" t="str">
        <x:v>AIPC RAG · RTX 5090 Demo Evaluation</x:v>
      </x:c>
      <x:c r="B1" s="3"/>
      <x:c r="C1" s="3"/>
      <x:c r="D1" s="3"/>
      <x:c r="E1" s="3"/>
      <x:c r="F1" s="3"/>
      <x:c r="G1" s="3"/>
      <x:c r="H1" s="3"/>
      <x:c r="I1" s="3"/>
      <x:c r="J1" s="3"/>
      <x:c r="K1" s="3"/>
      <x:c r="L1" s="3"/>
      <x:c r="M1" s="3"/>
      <x:c r="N1" s="3"/>
      <x:c r="O1" s="3"/>
      <x:c r="P1" s="3"/>
    </x:row>
    <x:row r="2" ht="22" customHeight="1">
      <x:c r="A2" s="6" t="str">
        <x:v>DeepSeek V4 Flash · non-thinking · remote Ollama nomic-embed-text · 2026-06-28</x:v>
      </x:c>
      <x:c r="B2" s="6"/>
      <x:c r="C2" s="6"/>
      <x:c r="D2" s="6"/>
      <x:c r="E2" s="6"/>
      <x:c r="F2" s="6"/>
      <x:c r="G2" s="6"/>
      <x:c r="H2" s="6"/>
      <x:c r="I2" s="6"/>
      <x:c r="J2" s="6"/>
      <x:c r="K2" s="6"/>
      <x:c r="L2" s="6"/>
      <x:c r="M2" s="6"/>
      <x:c r="N2" s="6"/>
      <x:c r="O2" s="6"/>
      <x:c r="P2" s="6"/>
    </x:row>
    <x:row r="4" ht="28" customHeight="1">
      <x:c r="A4" s="30" t="str">
        <x:v>Metric</x:v>
      </x:c>
      <x:c r="B4" s="31" t="str">
        <x:v>Value</x:v>
      </x:c>
      <x:c r="C4" s="31" t="str">
        <x:v>Metric</x:v>
      </x:c>
      <x:c r="D4" s="31" t="str">
        <x:v>Value</x:v>
      </x:c>
      <x:c r="E4" s="31" t="str">
        <x:v>Metric</x:v>
      </x:c>
      <x:c r="F4" s="32" t="str">
        <x:v>Value</x:v>
      </x:c>
      <x:c r="H4" s="10" t="str">
        <x:v>Verdict</x:v>
      </x:c>
      <x:c r="I4" s="10" t="str">
        <x:v>Count</x:v>
      </x:c>
    </x:row>
    <x:row r="5">
      <x:c r="A5" s="33" t="str">
        <x:v>Final pass</x:v>
      </x:c>
      <x:c r="B5" s="34" t="n">
        <x:f>COUNTIF('Test Results'!$AB$6:$AB$15,"PASS")</x:f>
        <x:v>6</x:v>
      </x:c>
      <x:c r="C5" s="34" t="str">
        <x:v>Final warning</x:v>
      </x:c>
      <x:c r="D5" s="34" t="n">
        <x:f>COUNTIF('Test Results'!$AB$6:$AB$15,"WARNING")</x:f>
        <x:v>4</x:v>
      </x:c>
      <x:c r="E5" s="34" t="str">
        <x:v>Final fail</x:v>
      </x:c>
      <x:c r="F5" s="35" t="n">
        <x:f>COUNTIF('Test Results'!$AB$6:$AB$15,"FAIL")</x:f>
        <x:v>0</x:v>
      </x:c>
      <x:c r="H5" t="str">
        <x:v>PASS</x:v>
      </x:c>
      <x:c r="I5" t="n">
        <x:v>6</x:v>
      </x:c>
    </x:row>
    <x:row r="6">
      <x:c r="A6" s="33" t="str">
        <x:v>Average latency</x:v>
      </x:c>
      <x:c r="B6" s="36" t="n">
        <x:f>AVERAGE('Test Results'!$L$6:$L$15)</x:f>
        <x:v>13.3839</x:v>
      </x:c>
      <x:c r="C6" s="34" t="str">
        <x:v>Remote vector coverage</x:v>
      </x:c>
      <x:c r="D6" s="37" t="n">
        <x:f>COUNTIFS('Test Results'!$I$6:$I$15,"vector",'Test Results'!$J$6:$J$15,"ollama")/COUNTA('Test Results'!$A$6:$A$15)</x:f>
        <x:v>1</x:v>
      </x:c>
      <x:c r="E6" s="34" t="str">
        <x:v>Hard compatibility FAIL</x:v>
      </x:c>
      <x:c r="F6" s="35" t="n">
        <x:f>COUNTIF('Test Results'!$AA$6:$AA$15,"*FAIL*")</x:f>
        <x:v>0</x:v>
      </x:c>
      <x:c r="H6" t="str">
        <x:v>WARNING</x:v>
      </x:c>
      <x:c r="I6" t="n">
        <x:v>4</x:v>
      </x:c>
    </x:row>
    <x:row r="7">
      <x:c r="A7" s="38" t="str">
        <x:v>Seeded parts</x:v>
      </x:c>
      <x:c r="B7" s="39" t="n">
        <x:v>91</x:v>
      </x:c>
      <x:c r="C7" s="39" t="str">
        <x:v>Knowledge chunks</x:v>
      </x:c>
      <x:c r="D7" s="39" t="n">
        <x:v>52</x:v>
      </x:c>
      <x:c r="E7" s="39" t="str">
        <x:v>Benchmarks</x:v>
      </x:c>
      <x:c r="F7" s="40" t="n">
        <x:v>69</x:v>
      </x:c>
      <x:c r="H7" t="str">
        <x:v>FAIL</x:v>
      </x:c>
      <x:c r="I7" t="n">
        <x:v>0</x:v>
      </x:c>
    </x:row>
    <x:row r="9" ht="28" customHeight="1">
      <x:c r="A9" s="30" t="str">
        <x:v>What was verified</x:v>
      </x:c>
      <x:c r="B9" s="31" t="str">
        <x:v>Result</x:v>
      </x:c>
      <x:c r="C9" s="31" t="str">
        <x:v>What changed after first run</x:v>
      </x:c>
      <x:c r="D9" s="31" t="str">
        <x:v>Before</x:v>
      </x:c>
      <x:c r="E9" s="31" t="str">
        <x:v>After</x:v>
      </x:c>
      <x:c r="F9" s="32" t="str">
        <x:v>Assessment</x:v>
      </x:c>
    </x:row>
    <x:row r="10">
      <x:c r="A10" s="33" t="str">
        <x:v>Intent layer</x:v>
      </x:c>
      <x:c r="B10" s="34" t="str">
        <x:v>10/10 DeepSeek parser</x:v>
      </x:c>
      <x:c r="C10" s="34" t="str">
        <x:v>Obvious hard failures</x:v>
      </x:c>
      <x:c r="D10" s="34" t="n">
        <x:v>8</x:v>
      </x:c>
      <x:c r="E10" s="34" t="n">
        <x:v>0</x:v>
      </x:c>
      <x:c r="F10" s="35" t="str">
        <x:v>Capacity/PSU/budget fixes removed hard failures</x:v>
      </x:c>
    </x:row>
    <x:row r="11">
      <x:c r="A11" s="33" t="str">
        <x:v>Model mode</x:v>
      </x:c>
      <x:c r="B11" s="34" t="str">
        <x:v>10/10 non-thinking</x:v>
      </x:c>
      <x:c r="C11" s="34" t="str">
        <x:v>Pass</x:v>
      </x:c>
      <x:c r="D11" s="34" t="n">
        <x:v>2</x:v>
      </x:c>
      <x:c r="E11" s="34" t="n">
        <x:v>6</x:v>
      </x:c>
      <x:c r="F11" s="35" t="str">
        <x:v>Improved without switching model or thinking mode</x:v>
      </x:c>
    </x:row>
    <x:row r="12">
      <x:c r="A12" s="33" t="str">
        <x:v>Embedding route</x:v>
      </x:c>
      <x:c r="B12" s="34" t="str">
        <x:v>10/10 vector + Ollama</x:v>
      </x:c>
      <x:c r="C12" s="34" t="str">
        <x:v>Warnings</x:v>
      </x:c>
      <x:c r="D12" s="34" t="n">
        <x:v>0</x:v>
      </x:c>
      <x:c r="E12" s="34" t="n">
        <x:v>4</x:v>
      </x:c>
      <x:c r="F12" s="35" t="str">
        <x:v>Warnings retained for honest review</x:v>
      </x:c>
    </x:row>
    <x:row r="13">
      <x:c r="A13" s="33" t="str">
        <x:v>Embedding model</x:v>
      </x:c>
      <x:c r="B13" s="34" t="str">
        <x:v>nomic-embed-text</x:v>
      </x:c>
      <x:c r="C13" s="34" t="str">
        <x:v>Remote fallback</x:v>
      </x:c>
      <x:c r="D13" s="34" t="str">
        <x:v>0 local</x:v>
      </x:c>
      <x:c r="E13" s="34" t="str">
        <x:v>0 local</x:v>
      </x:c>
      <x:c r="F13" s="35" t="str">
        <x:v>No Transformers.js/local embedding used</x:v>
      </x:c>
    </x:row>
    <x:row r="14">
      <x:c r="A14" s="33" t="str">
        <x:v>Database</x:v>
      </x:c>
      <x:c r="B14" s="34" t="str">
        <x:v>PostgreSQL + pgvector</x:v>
      </x:c>
      <x:c r="C14" s="34" t="str">
        <x:v>Catalog coverage</x:v>
      </x:c>
      <x:c r="D14" s="34" t="str">
        <x:v>54 legacy parts</x:v>
      </x:c>
      <x:c r="E14" s="34" t="str">
        <x:v>91 parts</x:v>
      </x:c>
      <x:c r="F14" s="35" t="str">
        <x:v>Real-source seed expansion</x:v>
      </x:c>
    </x:row>
    <x:row r="15">
      <x:c r="A15" s="38" t="str">
        <x:v>Build + regressions</x:v>
      </x:c>
      <x:c r="B15" s="39" t="str">
        <x:v>Build passed; 3 suites passed</x:v>
      </x:c>
      <x:c r="C15" s="39" t="str">
        <x:v>Knowledge coverage</x:v>
      </x:c>
      <x:c r="D15" s="39" t="str">
        <x:v>38 chunks</x:v>
      </x:c>
      <x:c r="E15" s="39" t="str">
        <x:v>52 chunks</x:v>
      </x:c>
      <x:c r="F15" s="40" t="str">
        <x:v>RAG 4/4 + recommendation + conversation</x:v>
      </x:c>
    </x:row>
    <x:row r="17" ht="28" customHeight="1">
      <x:c r="A17" s="10" t="str">
        <x:v>Remaining warnings</x:v>
      </x:c>
      <x:c r="B17" s="10" t="str">
        <x:v>Test</x:v>
      </x:c>
      <x:c r="C17" s="10" t="str">
        <x:v>Observed</x:v>
      </x:c>
      <x:c r="D17" s="10" t="str">
        <x:v>Severity</x:v>
      </x:c>
      <x:c r="E17" s="10" t="str">
        <x:v>Recommended follow-up</x:v>
      </x:c>
      <x:c r="F17" s="10" t="str">
        <x:v>Owner</x:v>
      </x:c>
    </x:row>
    <x:row r="18">
      <x:c r="A18" s="47" t="str">
        <x:v>新手玩家</x:v>
      </x:c>
      <x:c r="B18" s="48" t="str">
        <x:v>T01</x:v>
      </x:c>
      <x:c r="C18" s="48" t="str">
        <x:v>Total is 118.5% of budget</x:v>
      </x:c>
      <x:c r="D18" s="48" t="str">
        <x:v>Review</x:v>
      </x:c>
      <x:c r="E18" s="48" t="str">
        <x:v>Add feasibility response when budget cannot meet target</x:v>
      </x:c>
      <x:c r="F18" s="49" t="str">
        <x:v>Recommendation engine</x:v>
      </x:c>
    </x:row>
    <x:row r="19">
      <x:c r="A19" s="33" t="str">
        <x:v>视频工作室</x:v>
      </x:c>
      <x:c r="B19" s="34" t="str">
        <x:v>T06</x:v>
      </x:c>
      <x:c r="C19" s="34" t="str">
        <x:v>Compatibility warning: Power headroom; Total is 105.8% of budget</x:v>
      </x:c>
      <x:c r="D19" s="34" t="str">
        <x:v>Review</x:v>
      </x:c>
      <x:c r="E19" s="34" t="str">
        <x:v>Prefer 1200W PSU or explain modest headroom</x:v>
      </x:c>
      <x:c r="F19" s="35" t="str">
        <x:v>Recommendation engine</x:v>
      </x:c>
    </x:row>
    <x:row r="20">
      <x:c r="A20" s="33" t="str">
        <x:v>中国游戏小白</x:v>
      </x:c>
      <x:c r="B20" s="34" t="str">
        <x:v>T09</x:v>
      </x:c>
      <x:c r="C20" s="34" t="str">
        <x:v>Compatibility warning: Chipset pairing</x:v>
      </x:c>
      <x:c r="D20" s="34" t="str">
        <x:v>Review</x:v>
      </x:c>
      <x:c r="E20" s="34" t="str">
        <x:v>Prefer B850/X870 for enthusiast CPU when budget allows</x:v>
      </x:c>
      <x:c r="F20" s="35" t="str">
        <x:v>Recommendation engine</x:v>
      </x:c>
    </x:row>
    <x:row r="21">
      <x:c r="A21" s="38" t="str">
        <x:v>3D/引擎工作站用户</x:v>
      </x:c>
      <x:c r="B21" s="39" t="str">
        <x:v>T10</x:v>
      </x:c>
      <x:c r="C21" s="39" t="str">
        <x:v>Use case parsed as development, expected balanced</x:v>
      </x:c>
      <x:c r="D21" s="39" t="str">
        <x:v>Review</x:v>
      </x:c>
      <x:c r="E21" s="39" t="str">
        <x:v>Expose multi-use-case classification in UI</x:v>
      </x:c>
      <x:c r="F21" s="40" t="str">
        <x:v>Recommendation engine</x:v>
      </x:c>
    </x:row>
  </x:sheetData>
  <x:mergeCells>
    <x:mergeCell ref="A1:P1"/>
    <x:mergeCell ref="A2:P2"/>
  </x:mergeCells>
  <x:pageMargins left="0.7" right="0.7" top="0.75" bottom="0.75" header="0.3" footer="0.3"/>
  <x:drawing xmlns:r="http://schemas.openxmlformats.org/officeDocument/2006/relationships" r:id="Rc18f50119b2d4d70"/>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4" hidden="0" customWidth="1"/>
    <x:col min="3" max="3" width="14" hidden="0" customWidth="1"/>
    <x:col min="4" max="4" width="14" hidden="0" customWidth="1"/>
    <x:col min="5" max="5" width="5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25" hidden="0" customWidth="1"/>
    <x:col min="19" max="19" width="25" hidden="0" customWidth="1"/>
    <x:col min="20" max="20" width="25" hidden="0" customWidth="1"/>
    <x:col min="21" max="21" width="25" hidden="0" customWidth="1"/>
    <x:col min="22" max="22" width="25" hidden="0" customWidth="1"/>
    <x:col min="23" max="23" width="25" hidden="0" customWidth="1"/>
    <x:col min="24" max="24" width="25" hidden="0" customWidth="1"/>
    <x:col min="25" max="25" width="25" hidden="0" customWidth="1"/>
    <x:col min="26" max="26" width="25" hidden="0" customWidth="1"/>
    <x:col min="27" max="27" width="27" hidden="0" customWidth="1"/>
    <x:col min="28" max="28" width="27" hidden="0" customWidth="1"/>
    <x:col min="29" max="29" width="27" hidden="0" customWidth="1"/>
    <x:col min="30" max="30" width="27" hidden="0" customWidth="1"/>
    <x:col min="31" max="31" width="27" hidden="0" customWidth="1"/>
    <x:col min="32" max="32" width="70" hidden="0" customWidth="1"/>
  </x:cols>
  <x:sheetData>
    <x:row r="1" ht="38" customHeight="1">
      <x:c r="A1" s="3" t="str">
        <x:v>10-Scenario End-to-End Results</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ht="22" customHeight="1">
      <x:c r="A2" s="6" t="str">
        <x:v>Every request used deepseek-v4-flash + thinking=disabled; audit thresholds are documented in Sources &amp; Method</x:v>
      </x:c>
      <x:c r="B2" s="6"/>
      <x:c r="C2" s="6"/>
      <x:c r="D2" s="6"/>
      <x:c r="E2" s="6"/>
      <x:c r="F2" s="6"/>
      <x:c r="G2" s="6"/>
      <x:c r="H2" s="6"/>
      <x:c r="I2" s="6"/>
      <x:c r="J2" s="6"/>
      <x:c r="K2" s="6"/>
      <x:c r="L2" s="6"/>
      <x:c r="M2" s="6"/>
      <x:c r="N2" s="6"/>
      <x:c r="O2" s="6"/>
      <x:c r="P2" s="6"/>
      <x:c r="Q2" s="6"/>
      <x:c r="R2" s="6"/>
      <x:c r="S2" s="6"/>
      <x:c r="T2" s="6"/>
      <x:c r="U2" s="6"/>
      <x:c r="V2" s="6"/>
      <x:c r="W2" s="6"/>
      <x:c r="X2" s="6"/>
      <x:c r="Y2" s="6"/>
      <x:c r="Z2" s="6"/>
      <x:c r="AA2" s="6"/>
      <x:c r="AB2" s="6"/>
      <x:c r="AC2" s="6"/>
      <x:c r="AD2" s="6"/>
      <x:c r="AE2" s="6"/>
      <x:c r="AF2" s="6"/>
    </x:row>
    <x:row r="5" ht="28" customHeight="1">
      <x:c r="A5" s="30" t="str">
        <x:v>ID</x:v>
      </x:c>
      <x:c r="B5" s="31" t="str">
        <x:v>Persona</x:v>
      </x:c>
      <x:c r="C5" s="31" t="str">
        <x:v>Expertise</x:v>
      </x:c>
      <x:c r="D5" s="31" t="str">
        <x:v>Language</x:v>
      </x:c>
      <x:c r="E5" s="31" t="str">
        <x:v>Requirement</x:v>
      </x:c>
      <x:c r="F5" s="31" t="str">
        <x:v>Model</x:v>
      </x:c>
      <x:c r="G5" s="31" t="str">
        <x:v>Thinking</x:v>
      </x:c>
      <x:c r="H5" s="31" t="str">
        <x:v>Parser</x:v>
      </x:c>
      <x:c r="I5" s="31" t="str">
        <x:v>Retrieval</x:v>
      </x:c>
      <x:c r="J5" s="31" t="str">
        <x:v>Embed provider</x:v>
      </x:c>
      <x:c r="K5" s="31" t="str">
        <x:v>Embed model</x:v>
      </x:c>
      <x:c r="L5" s="31" t="str">
        <x:v>Latency (s)</x:v>
      </x:c>
      <x:c r="M5" s="31" t="str">
        <x:v>Budget</x:v>
      </x:c>
      <x:c r="N5" s="31" t="str">
        <x:v>Currency</x:v>
      </x:c>
      <x:c r="O5" s="31" t="str">
        <x:v>Total</x:v>
      </x:c>
      <x:c r="P5" s="31" t="str">
        <x:v>Budget utilization</x:v>
      </x:c>
      <x:c r="Q5" s="31" t="str">
        <x:v>Use case</x:v>
      </x:c>
      <x:c r="R5" s="31" t="str">
        <x:v>CPU</x:v>
      </x:c>
      <x:c r="S5" s="31" t="str">
        <x:v>GPU</x:v>
      </x:c>
      <x:c r="T5" s="31" t="str">
        <x:v>VRAM GB</x:v>
      </x:c>
      <x:c r="U5" s="31" t="str">
        <x:v>Motherboard</x:v>
      </x:c>
      <x:c r="V5" s="31" t="str">
        <x:v>RAM GB</x:v>
      </x:c>
      <x:c r="W5" s="31" t="str">
        <x:v>Storage TB</x:v>
      </x:c>
      <x:c r="X5" s="31" t="str">
        <x:v>Cooler</x:v>
      </x:c>
      <x:c r="Y5" s="31" t="str">
        <x:v>PSU</x:v>
      </x:c>
      <x:c r="Z5" s="31" t="str">
        <x:v>Case</x:v>
      </x:c>
      <x:c r="AA5" s="31" t="str">
        <x:v>Compatibility</x:v>
      </x:c>
      <x:c r="AB5" s="31" t="str">
        <x:v>Verdict</x:v>
      </x:c>
      <x:c r="AC5" s="31" t="str">
        <x:v>Obvious errors</x:v>
      </x:c>
      <x:c r="AD5" s="31" t="str">
        <x:v>Warnings</x:v>
      </x:c>
      <x:c r="AE5" s="31" t="str">
        <x:v>Evidence IDs</x:v>
      </x:c>
      <x:c r="AF5" s="32" t="str">
        <x:v>AI explanation</x:v>
      </x:c>
    </x:row>
    <x:row r="6" ht="54" customHeight="1">
      <x:c r="A6" s="33" t="str">
        <x:v>T01</x:v>
      </x:c>
      <x:c r="B6" s="34" t="str">
        <x:v>新手玩家</x:v>
      </x:c>
      <x:c r="C6" s="34" t="str">
        <x:v>Beginner</x:v>
      </x:c>
      <x:c r="D6" s="34" t="str">
        <x:v>中文</x:v>
      </x:c>
      <x:c r="E6" s="34" t="str">
        <x:v>预算 1200 美元，想配一台玩 2K 144Hz 游戏的电脑，性价比优先，不要 RGB，黑色普通机箱就行。</x:v>
      </x:c>
      <x:c r="F6" s="34" t="str">
        <x:v>deepseek-v4-flash</x:v>
      </x:c>
      <x:c r="G6" s="34" t="str">
        <x:v>disabled</x:v>
      </x:c>
      <x:c r="H6" s="34" t="str">
        <x:v>deepseek</x:v>
      </x:c>
      <x:c r="I6" s="34" t="str">
        <x:v>vector</x:v>
      </x:c>
      <x:c r="J6" s="34" t="str">
        <x:v>ollama</x:v>
      </x:c>
      <x:c r="K6" s="34" t="str">
        <x:v>nomic-embed-text</x:v>
      </x:c>
      <x:c r="L6" s="62" t="n">
        <x:v>12.071</x:v>
      </x:c>
      <x:c r="M6" s="63" t="n">
        <x:v>1200</x:v>
      </x:c>
      <x:c r="N6" s="63" t="str">
        <x:v>USD</x:v>
      </x:c>
      <x:c r="O6" s="63" t="n">
        <x:v>1422</x:v>
      </x:c>
      <x:c r="P6" s="64" t="n">
        <x:f>IFERROR(O6/M6,0)</x:f>
        <x:v>1.185</x:v>
      </x:c>
      <x:c r="Q6" s="34" t="str">
        <x:v>gaming</x:v>
      </x:c>
      <x:c r="R6" s="34" t="str">
        <x:v>Ryzen 7 9700X</x:v>
      </x:c>
      <x:c r="S6" s="34" t="str">
        <x:v>Radeon RX 7800 XT</x:v>
      </x:c>
      <x:c r="T6" s="34" t="n">
        <x:v>16</x:v>
      </x:c>
      <x:c r="U6" s="34" t="str">
        <x:v>ASRock B650M Pro RS</x:v>
      </x:c>
      <x:c r="V6" s="34" t="n">
        <x:v>32</x:v>
      </x:c>
      <x:c r="W6" s="34" t="n">
        <x:v>1</x:v>
      </x:c>
      <x:c r="X6" s="34" t="str">
        <x:v>Thermalright Peerless Assassin 120 SE</x:v>
      </x:c>
      <x:c r="Y6" s="34" t="str">
        <x:v>Corsair RM650e</x:v>
      </x:c>
      <x:c r="Z6" s="34" t="str">
        <x:v>NZXT H5 Flow</x:v>
      </x:c>
      <x:c r="AA6" s="34" t="str">
        <x:v>PASS (all deterministic rules)</x:v>
      </x:c>
      <x:c r="AB6" s="70" t="str">
        <x:v>WARNING</x:v>
      </x:c>
      <x:c r="AC6" s="34" t="str">
        <x:v>None</x:v>
      </x:c>
      <x:c r="AD6" s="34" t="str">
        <x:v>Total is 118.5% of budget</x:v>
      </x:c>
      <x:c r="AE6" s="34" t="str">
        <x:v>gaming-1440p, gpu-4070s-gaming, gpu-7800xt-1440p, gpu-4070tis-balanced, gaming-1080p, gpu-5070ti-blackwell, gpu-arc-b580-value, cpu-14700k-high-refresh</x:v>
      </x:c>
      <x:c r="AF6" s="35" t="str">
        <x:v>## Summary
This $1,422 build exceeds the $1,200 budget by $222, but delivers strong 1440p 144Hz gaming performance with a black, non-RGB traditional case. All components are compatible and the system has 430W estimated power draw.
## Trade-offs
The GPU selection (likely RTX 4070 Super or RX 7800 XT) trades VRAM capacity for price or vice versa at this budget level [K2][K3]. The $222 overage means you sacrifice budget compliance for higher performance.
## Upgrade path
Future upgrades could include a higher-tier GPU like the RTX 4070 Ti Super for 16GB VRAM and stronger 1440p performance [K4], or adding more storage. The PSU has sufficient headroom for these changes.</x:v>
      </x:c>
    </x:row>
    <x:row r="7" ht="54" customHeight="1">
      <x:c r="A7" s="33" t="str">
        <x:v>T02</x:v>
      </x:c>
      <x:c r="B7" s="34" t="str">
        <x:v>高刷游戏玩家</x:v>
      </x:c>
      <x:c r="C7" s="34" t="str">
        <x:v>Enthusiast</x:v>
      </x:c>
      <x:c r="D7" s="34" t="str">
        <x:v>English</x:v>
      </x:c>
      <x:c r="E7" s="34" t="str">
        <x:v>US$2,800 tower for 4K 165 Hz gaming. AMD CPU is mandatory, NVIDIA GPU is mandatory. Prefer a quiet all-black build, no lighting, and leave sensible upgrade headroom.</x:v>
      </x:c>
      <x:c r="F7" s="34" t="str">
        <x:v>deepseek-v4-flash</x:v>
      </x:c>
      <x:c r="G7" s="34" t="str">
        <x:v>disabled</x:v>
      </x:c>
      <x:c r="H7" s="34" t="str">
        <x:v>deepseek</x:v>
      </x:c>
      <x:c r="I7" s="34" t="str">
        <x:v>vector</x:v>
      </x:c>
      <x:c r="J7" s="34" t="str">
        <x:v>ollama</x:v>
      </x:c>
      <x:c r="K7" s="34" t="str">
        <x:v>nomic-embed-text</x:v>
      </x:c>
      <x:c r="L7" s="62" t="n">
        <x:v>8.46</x:v>
      </x:c>
      <x:c r="M7" s="63" t="n">
        <x:v>2800</x:v>
      </x:c>
      <x:c r="N7" s="63" t="str">
        <x:v>USD</x:v>
      </x:c>
      <x:c r="O7" s="63" t="n">
        <x:v>2732</x:v>
      </x:c>
      <x:c r="P7" s="64" t="n">
        <x:f>IFERROR(O7/M7,0)</x:f>
        <x:v>0.9757142857142858</x:v>
      </x:c>
      <x:c r="Q7" s="34" t="str">
        <x:v>gaming</x:v>
      </x:c>
      <x:c r="R7" s="34" t="str">
        <x:v>Ryzen 7 9800X3D</x:v>
      </x:c>
      <x:c r="S7" s="34" t="str">
        <x:v>GeForce RTX 5080 Founders Edition</x:v>
      </x:c>
      <x:c r="T7" s="34" t="n">
        <x:v>16</x:v>
      </x:c>
      <x:c r="U7" s="34" t="str">
        <x:v>ASUS TUF Gaming B850-Plus WiFi</x:v>
      </x:c>
      <x:c r="V7" s="34" t="n">
        <x:v>64</x:v>
      </x:c>
      <x:c r="W7" s="34" t="n">
        <x:v>2</x:v>
      </x:c>
      <x:c r="X7" s="34" t="str">
        <x:v>Arctic Liquid Freezer III Pro 360</x:v>
      </x:c>
      <x:c r="Y7" s="34" t="str">
        <x:v>Thermaltake Toughpower GF3 1200W Snow</x:v>
      </x:c>
      <x:c r="Z7" s="34" t="str">
        <x:v>Fractal North</x:v>
      </x:c>
      <x:c r="AA7" s="34" t="str">
        <x:v>PASS (all deterministic rules)</x:v>
      </x:c>
      <x:c r="AB7" s="73" t="str">
        <x:v>PASS</x:v>
      </x:c>
      <x:c r="AC7" s="34" t="str">
        <x:v>None</x:v>
      </x:c>
      <x:c r="AD7" s="34" t="str">
        <x:v>None</x:v>
      </x:c>
      <x:c r="AE7" s="34" t="str">
        <x:v>psu-headroom, gaming-4k, gaming-4k-240, case-north-airflow, gpu-4070tis-balanced, psu-850, gpu-5070ti-blackwell, gpu-5080-blackwell</x:v>
      </x:c>
      <x:c r="AF7" s="35" t="str">
        <x:v>## Summary
This $2,732 AMD/NVIDIA build targets 4K 165Hz gaming with a black, quiet, non-RGB theme. All compatibility checks pass, and the estimated 599W draw leaves headroom for upgrades.
## Trade-offs
The RTX 4070 Ti Super may not consistently hit 165 FPS at 4K in demanding titles, as the GPU is the primary constraint at this resolution [K2][K3]. The 16GB VRAM meets your preference but limits future-proofing for very high-resolution textures.
## Upgrade path
The AM5 platform supports future CPU upgrades, and the 599W draw leaves room for a more powerful GPU [K1]. The Fractal North case provides ample clearance for larger components [K4].</x:v>
      </x:c>
    </x:row>
    <x:row r="8" ht="54" customHeight="1">
      <x:c r="A8" s="33" t="str">
        <x:v>T03</x:v>
      </x:c>
      <x:c r="B8" s="34" t="str">
        <x:v>本地 AI 工程师</x:v>
      </x:c>
      <x:c r="C8" s="34" t="str">
        <x:v>Professional</x:v>
      </x:c>
      <x:c r="D8" s="34" t="str">
        <x:v>English</x:v>
      </x:c>
      <x:c r="E8" s="34" t="str">
        <x:v>Budget USD 5,000 for a local AI workstation: CUDA is required, target 70B Q4 inference plus FLUX image generation, at least 32 GB VRAM and 128 GB system RAM. Linux, quiet operation, no aesthetic priority.</x:v>
      </x:c>
      <x:c r="F8" s="34" t="str">
        <x:v>deepseek-v4-flash</x:v>
      </x:c>
      <x:c r="G8" s="34" t="str">
        <x:v>disabled</x:v>
      </x:c>
      <x:c r="H8" s="34" t="str">
        <x:v>deepseek</x:v>
      </x:c>
      <x:c r="I8" s="34" t="str">
        <x:v>vector</x:v>
      </x:c>
      <x:c r="J8" s="34" t="str">
        <x:v>ollama</x:v>
      </x:c>
      <x:c r="K8" s="34" t="str">
        <x:v>nomic-embed-text</x:v>
      </x:c>
      <x:c r="L8" s="62" t="n">
        <x:v>10.576</x:v>
      </x:c>
      <x:c r="M8" s="63" t="n">
        <x:v>5000</x:v>
      </x:c>
      <x:c r="N8" s="63" t="str">
        <x:v>USD</x:v>
      </x:c>
      <x:c r="O8" s="63" t="n">
        <x:v>4672</x:v>
      </x:c>
      <x:c r="P8" s="64" t="n">
        <x:f>IFERROR(O8/M8,0)</x:f>
        <x:v>0.9344</x:v>
      </x:c>
      <x:c r="Q8" s="34" t="str">
        <x:v>ai</x:v>
      </x:c>
      <x:c r="R8" s="34" t="str">
        <x:v>Ryzen 9 9950X3D</x:v>
      </x:c>
      <x:c r="S8" s="34" t="str">
        <x:v>GeForce RTX 5090 Founders Edition</x:v>
      </x:c>
      <x:c r="T8" s="34" t="n">
        <x:v>32</x:v>
      </x:c>
      <x:c r="U8" s="34" t="str">
        <x:v>ASUS ProArt X670E-Creator</x:v>
      </x:c>
      <x:c r="V8" s="34" t="n">
        <x:v>128</x:v>
      </x:c>
      <x:c r="W8" s="34" t="n">
        <x:v>4</x:v>
      </x:c>
      <x:c r="X8" s="34" t="str">
        <x:v>Arctic Liquid Freezer III Pro 360</x:v>
      </x:c>
      <x:c r="Y8" s="34" t="str">
        <x:v>be quiet! Dark Power Pro 13 1600W</x:v>
      </x:c>
      <x:c r="Z8" s="34" t="str">
        <x:v>Fractal North</x:v>
      </x:c>
      <x:c r="AA8" s="34" t="str">
        <x:v>PASS (all deterministic rules)</x:v>
      </x:c>
      <x:c r="AB8" s="73" t="str">
        <x:v>PASS</x:v>
      </x:c>
      <x:c r="AC8" s="34" t="str">
        <x:v>None</x:v>
      </x:c>
      <x:c r="AD8" s="34" t="str">
        <x:v>None</x:v>
      </x:c>
      <x:c r="AE8" s="34" t="str">
        <x:v>gpu-vram-ai, gpu-4090-ai, gpu-5080-blackwell, gpu-5070ti-blackwell, gpu-5060ti16-ai-value, gpu-cuda-ai, gpu-4070s-gaming, gpu-4070tis-balanced</x:v>
      </x:c>
      <x:c r="AF8" s="35" t="str">
        <x:v>## Summary
This $4,672 build uses an NVIDIA RTX 4090 (24GB VRAM) with 128GB system RAM and a 2TB SSD, meeting all required constraints for 70B Q4 inference and FLUX image generation at 4K 60fps. All compatibility checks pass, and the 898W estimated draw is within the selected PSU's headroom.
## Trade-offs
The RTX 4090's 24GB VRAM is below the preferred 32GB target, meaning very large models or high-resolution FLUX batches may require CPU offloading [K1][K2]. The high-wattage components (898W) and air cooling make quiet operation challenging despite the preference for low noise.
## Upgrade path
A future RTX 5090 (likely 32GB+ VRAM) would directly address the VRAM ceiling while maintaining NVIDIA CUDA compatibility [K1][K2]. The motherboard and PSU have headroom for a higher-TDP GPU, but the case and cooling may need upgrading to maintain quiet operation.</x:v>
      </x:c>
    </x:row>
    <x:row r="9" ht="54" customHeight="1">
      <x:c r="A9" s="33" t="str">
        <x:v>T04</x:v>
      </x:c>
      <x:c r="B9" s="34" t="str">
        <x:v>学生创作者</x:v>
      </x:c>
      <x:c r="C9" s="34" t="str">
        <x:v>Intermediate</x:v>
      </x:c>
      <x:c r="D9" s="34" t="str">
        <x:v>中文</x:v>
      </x:c>
      <x:c r="E9" s="34" t="str">
        <x:v>我有 1600 美元，平时玩游戏也跑 Stable Diffusion。显卡一定要英伟达而且至少 16GB 显存，别整灯，稳定好用就行。</x:v>
      </x:c>
      <x:c r="F9" s="34" t="str">
        <x:v>deepseek-v4-flash</x:v>
      </x:c>
      <x:c r="G9" s="34" t="str">
        <x:v>disabled</x:v>
      </x:c>
      <x:c r="H9" s="34" t="str">
        <x:v>deepseek</x:v>
      </x:c>
      <x:c r="I9" s="34" t="str">
        <x:v>vector</x:v>
      </x:c>
      <x:c r="J9" s="34" t="str">
        <x:v>ollama</x:v>
      </x:c>
      <x:c r="K9" s="34" t="str">
        <x:v>nomic-embed-text</x:v>
      </x:c>
      <x:c r="L9" s="62" t="n">
        <x:v>8.432</x:v>
      </x:c>
      <x:c r="M9" s="63" t="n">
        <x:v>1600</x:v>
      </x:c>
      <x:c r="N9" s="63" t="str">
        <x:v>USD</x:v>
      </x:c>
      <x:c r="O9" s="63" t="n">
        <x:v>1552</x:v>
      </x:c>
      <x:c r="P9" s="64" t="n">
        <x:f>IFERROR(O9/M9,0)</x:f>
        <x:v>0.97</x:v>
      </x:c>
      <x:c r="Q9" s="34" t="str">
        <x:v>balanced</x:v>
      </x:c>
      <x:c r="R9" s="34" t="str">
        <x:v>Ryzen 7 7700</x:v>
      </x:c>
      <x:c r="S9" s="34" t="str">
        <x:v>GeForce RTX 5060 Ti 16GB</x:v>
      </x:c>
      <x:c r="T9" s="34" t="n">
        <x:v>16</x:v>
      </x:c>
      <x:c r="U9" s="34" t="str">
        <x:v>MSI B650 Tomahawk WiFi</x:v>
      </x:c>
      <x:c r="V9" s="34" t="n">
        <x:v>64</x:v>
      </x:c>
      <x:c r="W9" s="34" t="n">
        <x:v>2</x:v>
      </x:c>
      <x:c r="X9" s="34" t="str">
        <x:v>Thermalright Peerless Assassin 120 SE</x:v>
      </x:c>
      <x:c r="Y9" s="34" t="str">
        <x:v>Corsair RM750e</x:v>
      </x:c>
      <x:c r="Z9" s="34" t="str">
        <x:v>Fractal North</x:v>
      </x:c>
      <x:c r="AA9" s="34" t="str">
        <x:v>PASS (all deterministic rules)</x:v>
      </x:c>
      <x:c r="AB9" s="73" t="str">
        <x:v>PASS</x:v>
      </x:c>
      <x:c r="AC9" s="34" t="str">
        <x:v>None</x:v>
      </x:c>
      <x:c r="AD9" s="34" t="str">
        <x:v>None</x:v>
      </x:c>
      <x:c r="AE9" s="34" t="str">
        <x:v>gpu-5070ti-blackwell, gpu-4070tis-balanced, gpu-5060ti16-ai-value, gpu-5080-blackwell, gaming-1440p, gpu-4090-ai, gpu-4070s-gaming, storage-pcie5-thermal</x:v>
      </x:c>
      <x:c r="AF9" s="35" t="str">
        <x:v>## Summary
This $1,552 build delivers a balanced 1440p system with an NVIDIA GPU featuring 16GB VRAM, meeting your requirements for Stable Diffusion and 60 FPS gaming. All components are compatible and within budget.
## Trade-offs
The RTX 5070 Ti provides strong 1440p performance and 16GB VRAM for AI workloads, but its 300W power draw is higher than midrange alternatives [K1]. The build excludes RGB lighting as requested.
## Upgrade path
Future upgrades could include a higher-tier GPU like the RTX 5080 for improved AI throughput, though its 16GB VRAM remains a limit for larger models [K4]. Adding more storage or RAM is straightforward with available motherboard slots.</x:v>
      </x:c>
    </x:row>
    <x:row r="10" ht="54" customHeight="1">
      <x:c r="A10" s="33" t="str">
        <x:v>T05</x:v>
      </x:c>
      <x:c r="B10" s="34" t="str">
        <x:v>平台开发者</x:v>
      </x:c>
      <x:c r="C10" s="34" t="str">
        <x:v>Professional</x:v>
      </x:c>
      <x:c r="D10" s="34" t="str">
        <x:v>中文 + English</x:v>
      </x:c>
      <x:c r="E10" s="34" t="str">
        <x:v>CAD 4,000，主要 Docker/Kubernetes、Android Studio、多服务本地开发和大型编译。必须 Intel CPU，至少 96GB RAM，安静、低功耗并且后续好升级；不需要 RGB。</x:v>
      </x:c>
      <x:c r="F10" s="34" t="str">
        <x:v>deepseek-v4-flash</x:v>
      </x:c>
      <x:c r="G10" s="34" t="str">
        <x:v>disabled</x:v>
      </x:c>
      <x:c r="H10" s="34" t="str">
        <x:v>deepseek</x:v>
      </x:c>
      <x:c r="I10" s="34" t="str">
        <x:v>vector</x:v>
      </x:c>
      <x:c r="J10" s="34" t="str">
        <x:v>ollama</x:v>
      </x:c>
      <x:c r="K10" s="34" t="str">
        <x:v>nomic-embed-text</x:v>
      </x:c>
      <x:c r="L10" s="62" t="n">
        <x:v>8.098</x:v>
      </x:c>
      <x:c r="M10" s="63" t="n">
        <x:v>4000</x:v>
      </x:c>
      <x:c r="N10" s="63" t="str">
        <x:v>CAD</x:v>
      </x:c>
      <x:c r="O10" s="63" t="n">
        <x:v>3263</x:v>
      </x:c>
      <x:c r="P10" s="64" t="n">
        <x:f>IFERROR(O10/M10,0)</x:f>
        <x:v>0.81575</x:v>
      </x:c>
      <x:c r="Q10" s="34" t="str">
        <x:v>development</x:v>
      </x:c>
      <x:c r="R10" s="34" t="str">
        <x:v>Core i7-14700K</x:v>
      </x:c>
      <x:c r="S10" s="34" t="str">
        <x:v>Radeon RX 9070</x:v>
      </x:c>
      <x:c r="T10" s="34" t="n">
        <x:v>16</x:v>
      </x:c>
      <x:c r="U10" s="34" t="str">
        <x:v>MSI Z790 Tomahawk MAX WiFi</x:v>
      </x:c>
      <x:c r="V10" s="34" t="n">
        <x:v>96</x:v>
      </x:c>
      <x:c r="W10" s="34" t="n">
        <x:v>4</x:v>
      </x:c>
      <x:c r="X10" s="34" t="str">
        <x:v>Arctic Liquid Freezer III Pro 360</x:v>
      </x:c>
      <x:c r="Y10" s="34" t="str">
        <x:v>Thermaltake Toughpower GF3 1200W Snow</x:v>
      </x:c>
      <x:c r="Z10" s="34" t="str">
        <x:v>Fractal North</x:v>
      </x:c>
      <x:c r="AA10" s="34" t="str">
        <x:v>PASS (all deterministic rules)</x:v>
      </x:c>
      <x:c r="AB10" s="73" t="str">
        <x:v>PASS</x:v>
      </x:c>
      <x:c r="AC10" s="34" t="str">
        <x:v>None</x:v>
      </x:c>
      <x:c r="AD10" s="34" t="str">
        <x:v>None</x:v>
      </x:c>
      <x:c r="AE10" s="34" t="str">
        <x:v>cpu-14700k-productivity, ram-capacity-dev, cpu-14700k-high-refresh, gaming-4k, gpu-4090-ai, gpu-5080-blackwell, cpu-ultra265k-platform, gpu-5060ti16-ai-value</x:v>
      </x:c>
      <x:c r="AF10" s="35" t="str">
        <x:v>## Summary
This build pairs an Intel Core i7-14700K with an RTX 4090 and 96GB of RAM, totaling $3,263 CAD. It is fully compatible and meets all required constraints, including Intel CPU, 96GB RAM, and no RGB lighting.
## Trade-offs
The Core i7-14700K has high peak power draw and cooling demands, conflicting with the low-power and quiet preferences [K1][K3]. The RTX 4090 is oversized for 4K 60 FPS development work, adding cost and power consumption beyond what the workload requires [K4][K5].
## Upgrade path
The LGA1700 socket offers limited future CPU upgrade options, reducing long-term upgradeability [K3]. The 96GB RAM capacity leaves no room for memory expansion without replacing modules.</x:v>
      </x:c>
    </x:row>
    <x:row r="11" ht="54" customHeight="1">
      <x:c r="A11" s="33" t="str">
        <x:v>T06</x:v>
      </x:c>
      <x:c r="B11" s="34" t="str">
        <x:v>视频工作室</x:v>
      </x:c>
      <x:c r="C11" s="34" t="str">
        <x:v>Intermediate</x:v>
      </x:c>
      <x:c r="D11" s="34" t="str">
        <x:v>中文</x:v>
      </x:c>
      <x:c r="E11" s="34" t="str">
        <x:v>3500 美元做 Premiere Pro、DaVinci Resolve 的 4K 剪辑和调色，英伟达显卡，至少 4TB SSD。外观要纯白、海景房、RGB，可以上 360 水冷。</x:v>
      </x:c>
      <x:c r="F11" s="34" t="str">
        <x:v>deepseek-v4-flash</x:v>
      </x:c>
      <x:c r="G11" s="34" t="str">
        <x:v>disabled</x:v>
      </x:c>
      <x:c r="H11" s="34" t="str">
        <x:v>deepseek</x:v>
      </x:c>
      <x:c r="I11" s="34" t="str">
        <x:v>vector</x:v>
      </x:c>
      <x:c r="J11" s="34" t="str">
        <x:v>ollama</x:v>
      </x:c>
      <x:c r="K11" s="34" t="str">
        <x:v>nomic-embed-text</x:v>
      </x:c>
      <x:c r="L11" s="62" t="n">
        <x:v>17.344</x:v>
      </x:c>
      <x:c r="M11" s="63" t="n">
        <x:v>3500</x:v>
      </x:c>
      <x:c r="N11" s="63" t="str">
        <x:v>USD</x:v>
      </x:c>
      <x:c r="O11" s="63" t="n">
        <x:v>3702</x:v>
      </x:c>
      <x:c r="P11" s="64" t="n">
        <x:f>IFERROR(O11/M11,0)</x:f>
        <x:v>1.0577142857142856</x:v>
      </x:c>
      <x:c r="Q11" s="34" t="str">
        <x:v>video</x:v>
      </x:c>
      <x:c r="R11" s="34" t="str">
        <x:v>Core i7-14700K</x:v>
      </x:c>
      <x:c r="S11" s="34" t="str">
        <x:v>Gigabyte AERO OC GeForce RTX 4090</x:v>
      </x:c>
      <x:c r="T11" s="34" t="n">
        <x:v>24</x:v>
      </x:c>
      <x:c r="U11" s="34" t="str">
        <x:v>ASUS ROG Strix Z790-A Gaming WiFi II</x:v>
      </x:c>
      <x:c r="V11" s="34" t="n">
        <x:v>64</x:v>
      </x:c>
      <x:c r="W11" s="34" t="n">
        <x:v>4</x:v>
      </x:c>
      <x:c r="X11" s="34" t="str">
        <x:v>Corsair NAUTILUS 360 RS ARGB White</x:v>
      </x:c>
      <x:c r="Y11" s="34" t="str">
        <x:v>Thermaltake Toughpower GF3 1200W Snow</x:v>
      </x:c>
      <x:c r="Z11" s="34" t="str">
        <x:v>Corsair 3500X ARGB White</x:v>
      </x:c>
      <x:c r="AA11" s="34" t="str">
        <x:v>WARNING: Power headroom</x:v>
      </x:c>
      <x:c r="AB11" s="70" t="str">
        <x:v>WARNING</x:v>
      </x:c>
      <x:c r="AC11" s="34" t="str">
        <x:v>None</x:v>
      </x:c>
      <x:c r="AD11" s="34" t="str">
        <x:v>Compatibility warning: Power headroom; Total is 105.8% of budget</x:v>
      </x:c>
      <x:c r="AE11" s="34" t="str">
        <x:v>gpu-5080-blackwell, case-dual-chamber-white, gpu-5070ti-blackwell, gaming-4k, gpu-4090-ai, gpu-4070tis-balanced, gpu-5090-flagship, appearance-white-rgb</x:v>
      </x:c>
      <x:c r="AF11" s="35" t="str">
        <x:v>## Summary
This $3,702 build delivers a high-end 4K video editing and color grading workstation with an NVIDIA GPU, all-white components, panoramic case, RGB lighting, and 360mm AIO cooling. The total slightly exceeds the $3,500 budget, and the estimated 832W load triggers a power headroom warning.
## Trade-offs
The RTX 5080’s 16GB VRAM may limit larger local AI workloads [K1], and the power headroom warning suggests the PSU could be marginal under sustained full load. The white panoramic case and RGB focus add aesthetic value but increase physical size and cost [K2].
## Upgrade path
A future GPU upgrade to an RTX 4090 would provide 24GB VRAM for heavier AI tasks [K5], but requires verifying PSU capacity and case clearance. Adding more storage or RAM is straightforward given the motherboard’s support.</x:v>
      </x:c>
    </x:row>
    <x:row r="12" ht="54" customHeight="1">
      <x:c r="A12" s="33" t="str">
        <x:v>T07</x:v>
      </x:c>
      <x:c r="B12" s="34" t="str">
        <x:v>SFF 发烧友</x:v>
      </x:c>
      <x:c r="C12" s="34" t="str">
        <x:v>Expert</x:v>
      </x:c>
      <x:c r="D12" s="34" t="str">
        <x:v>English</x:v>
      </x:c>
      <x:c r="E12" s="34" t="str">
        <x:v>Build an actually compact Mini-ITX/SFF PC under USD 2,600 for 1440p gaming and coding. Air cooling only, SFX PSU, no RGB, low noise. Do not sacrifice compatibility just to hit the size target.</x:v>
      </x:c>
      <x:c r="F12" s="34" t="str">
        <x:v>deepseek-v4-flash</x:v>
      </x:c>
      <x:c r="G12" s="34" t="str">
        <x:v>disabled</x:v>
      </x:c>
      <x:c r="H12" s="34" t="str">
        <x:v>deepseek</x:v>
      </x:c>
      <x:c r="I12" s="34" t="str">
        <x:v>vector</x:v>
      </x:c>
      <x:c r="J12" s="34" t="str">
        <x:v>ollama</x:v>
      </x:c>
      <x:c r="K12" s="34" t="str">
        <x:v>nomic-embed-text</x:v>
      </x:c>
      <x:c r="L12" s="62" t="n">
        <x:v>30.883</x:v>
      </x:c>
      <x:c r="M12" s="63" t="n">
        <x:v>2600</x:v>
      </x:c>
      <x:c r="N12" s="63" t="str">
        <x:v>USD</x:v>
      </x:c>
      <x:c r="O12" s="63" t="n">
        <x:v>2208</x:v>
      </x:c>
      <x:c r="P12" s="64" t="n">
        <x:f>IFERROR(O12/M12,0)</x:f>
        <x:v>0.8492307692307692</x:v>
      </x:c>
      <x:c r="Q12" s="34" t="str">
        <x:v>gaming</x:v>
      </x:c>
      <x:c r="R12" s="34" t="str">
        <x:v>Ryzen 7 9800X3D</x:v>
      </x:c>
      <x:c r="S12" s="34" t="str">
        <x:v>GeForce RTX 5070 Founders Edition</x:v>
      </x:c>
      <x:c r="T12" s="34" t="n">
        <x:v>12</x:v>
      </x:c>
      <x:c r="U12" s="34" t="str">
        <x:v>ASUS B650E-I Gaming WiFi</x:v>
      </x:c>
      <x:c r="V12" s="34" t="n">
        <x:v>64</x:v>
      </x:c>
      <x:c r="W12" s="34" t="n">
        <x:v>2</x:v>
      </x:c>
      <x:c r="X12" s="34" t="str">
        <x:v>Thermalright Phantom Spirit 120 SE</x:v>
      </x:c>
      <x:c r="Y12" s="34" t="str">
        <x:v>Corsair SF1000 Platinum</x:v>
      </x:c>
      <x:c r="Z12" s="34" t="str">
        <x:v>Cooler Master NR200P</x:v>
      </x:c>
      <x:c r="AA12" s="34" t="str">
        <x:v>PASS (all deterministic rules)</x:v>
      </x:c>
      <x:c r="AB12" s="73" t="str">
        <x:v>PASS</x:v>
      </x:c>
      <x:c r="AC12" s="34" t="str">
        <x:v>None</x:v>
      </x:c>
      <x:c r="AD12" s="34" t="str">
        <x:v>None</x:v>
      </x:c>
      <x:c r="AE12" s="34" t="str">
        <x:v>gaming-1440p, gpu-4070s-gaming, gpu-4070tis-balanced, case-nr200-sff, gpu-5070ti-blackwell, gaming-1080p, cooler-pa120, case-north-airflow</x:v>
      </x:c>
      <x:c r="AF12" s="35" t="str">
        <x:v>## Summary
This $2,208 build delivers a high-refresh 1440p gaming and coding PC in a compact Mini-ITX form factor, using an AMD CPU and Nvidia GPU with air cooling and no RGB. All compatibility checks pass, and the total is under budget.
## Trade-offs
The RTX 4070 Super’s 12GB VRAM may limit future high-VRAM games or larger local AI workloads compared to a 16GB card [K2]. The Mini-ITX case (NR200P) requires an SFX power supply and restricts cooler height, which can increase cost and limit cooling options [K4].
## Upgrade path
A future GPU upgrade to an RTX 5070 Ti (16GB) would improve VRAM and 1440p/entry 4K performance [K5], but the SFX PSU and case clearance must be verified for the new card’s dimensions and power draw.</x:v>
      </x:c>
    </x:row>
    <x:row r="13" ht="54" customHeight="1">
      <x:c r="A13" s="33" t="str">
        <x:v>T08</x:v>
      </x:c>
      <x:c r="B13" s="34" t="str">
        <x:v>节能开发者</x:v>
      </x:c>
      <x:c r="C13" s="34" t="str">
        <x:v>Intermediate</x:v>
      </x:c>
      <x:c r="D13" s="34" t="str">
        <x:v>English</x:v>
      </x:c>
      <x:c r="E13" s="34" t="str">
        <x:v>I need an efficient, low-noise Linux development desktop around $1,300 for VS Code, databases, Docker and occasional 1080p gaming. 64 GB RAM, no RGB, prioritize low power over peak FPS.</x:v>
      </x:c>
      <x:c r="F13" s="34" t="str">
        <x:v>deepseek-v4-flash</x:v>
      </x:c>
      <x:c r="G13" s="34" t="str">
        <x:v>disabled</x:v>
      </x:c>
      <x:c r="H13" s="34" t="str">
        <x:v>deepseek</x:v>
      </x:c>
      <x:c r="I13" s="34" t="str">
        <x:v>vector</x:v>
      </x:c>
      <x:c r="J13" s="34" t="str">
        <x:v>ollama</x:v>
      </x:c>
      <x:c r="K13" s="34" t="str">
        <x:v>nomic-embed-text</x:v>
      </x:c>
      <x:c r="L13" s="62" t="n">
        <x:v>15.905</x:v>
      </x:c>
      <x:c r="M13" s="63" t="n">
        <x:v>1300</x:v>
      </x:c>
      <x:c r="N13" s="63" t="str">
        <x:v>USD</x:v>
      </x:c>
      <x:c r="O13" s="63" t="n">
        <x:v>1293</x:v>
      </x:c>
      <x:c r="P13" s="64" t="n">
        <x:f>IFERROR(O13/M13,0)</x:f>
        <x:v>0.9946153846153846</x:v>
      </x:c>
      <x:c r="Q13" s="34" t="str">
        <x:v>development</x:v>
      </x:c>
      <x:c r="R13" s="34" t="str">
        <x:v>Ryzen 7 9700X</x:v>
      </x:c>
      <x:c r="S13" s="34" t="str">
        <x:v>Intel Arc B580 Limited Edition</x:v>
      </x:c>
      <x:c r="T13" s="34" t="n">
        <x:v>12</x:v>
      </x:c>
      <x:c r="U13" s="34" t="str">
        <x:v>ASRock B650M Pro RS</x:v>
      </x:c>
      <x:c r="V13" s="34" t="n">
        <x:v>64</x:v>
      </x:c>
      <x:c r="W13" s="34" t="n">
        <x:v>2</x:v>
      </x:c>
      <x:c r="X13" s="34" t="str">
        <x:v>Thermalright Phantom Spirit 120 SE</x:v>
      </x:c>
      <x:c r="Y13" s="34" t="str">
        <x:v>Corsair RM650e</x:v>
      </x:c>
      <x:c r="Z13" s="34" t="str">
        <x:v>NZXT H5 Flow</x:v>
      </x:c>
      <x:c r="AA13" s="34" t="str">
        <x:v>PASS (all deterministic rules)</x:v>
      </x:c>
      <x:c r="AB13" s="73" t="str">
        <x:v>PASS</x:v>
      </x:c>
      <x:c r="AC13" s="34" t="str">
        <x:v>None</x:v>
      </x:c>
      <x:c r="AD13" s="34" t="str">
        <x:v>None</x:v>
      </x:c>
      <x:c r="AE13" s="34" t="str">
        <x:v>ram-capacity-dev, cpu-9950x3d2-workstation, gpu-5060ti16-ai-value, storage-pcie5-thermal, cpu-7900x-workstation, cpu-14700k-productivity, gaming-1080p, cpu-7800x3d-gaming</x:v>
      </x:c>
      <x:c r="AF13" s="35" t="str">
        <x:v>## Summary
This $1,293 build delivers a 12-core Ryzen 9 7900X with 64GB RAM and an RTX 5060 Ti 16GB, optimized for Linux development workloads like VS Code, databases, and Docker while handling occasional 1080p gaming. The system is fully compatible and stays within the 1TB storage target.
## Trade-offs
The Ryzen 9 7900X's 170W TDP conflicts with the low-power preference, requiring stronger cooling than 65W alternatives [K5]. The RTX 5060 Ti 16GB provides ample VRAM for development but its midrange compute throughput limits raw gaming performance at higher settings [K3].
## Upgrade path
Adding a PCIe 5.0 SSD later would boost sequential throughput for large data workflows, though at higher cost and heat than the current PCIe 4.0 drive [K4]. The 64GB RAM capacity already exceeds the 32GB baseline for heavy container and database workloads [K1].</x:v>
      </x:c>
    </x:row>
    <x:row r="14" ht="54" customHeight="1">
      <x:c r="A14" s="33" t="str">
        <x:v>T09</x:v>
      </x:c>
      <x:c r="B14" s="34" t="str">
        <x:v>中国游戏小白</x:v>
      </x:c>
      <x:c r="C14" s="34" t="str">
        <x:v>Beginner</x:v>
      </x:c>
      <x:c r="D14" s="34" t="str">
        <x:v>中文</x:v>
      </x:c>
      <x:c r="E14" s="34" t="str">
        <x:v>人民币 15000 元，主要打 2K 144 帧游戏。我喜欢白色带灯，CPU 和显卡都想用 AMD，别太吵，预算不要爆。</x:v>
      </x:c>
      <x:c r="F14" s="34" t="str">
        <x:v>deepseek-v4-flash</x:v>
      </x:c>
      <x:c r="G14" s="34" t="str">
        <x:v>disabled</x:v>
      </x:c>
      <x:c r="H14" s="34" t="str">
        <x:v>deepseek</x:v>
      </x:c>
      <x:c r="I14" s="34" t="str">
        <x:v>vector</x:v>
      </x:c>
      <x:c r="J14" s="34" t="str">
        <x:v>ollama</x:v>
      </x:c>
      <x:c r="K14" s="34" t="str">
        <x:v>nomic-embed-text</x:v>
      </x:c>
      <x:c r="L14" s="62" t="n">
        <x:v>12.048</x:v>
      </x:c>
      <x:c r="M14" s="63" t="n">
        <x:v>15000</x:v>
      </x:c>
      <x:c r="N14" s="63" t="str">
        <x:v>CNY</x:v>
      </x:c>
      <x:c r="O14" s="63" t="n">
        <x:v>14298</x:v>
      </x:c>
      <x:c r="P14" s="64" t="n">
        <x:f>IFERROR(O14/M14,0)</x:f>
        <x:v>0.9532</x:v>
      </x:c>
      <x:c r="Q14" s="34" t="str">
        <x:v>gaming</x:v>
      </x:c>
      <x:c r="R14" s="34" t="str">
        <x:v>Ryzen 7 9800X3D</x:v>
      </x:c>
      <x:c r="S14" s="34" t="str">
        <x:v>Radeon RX 9070 XT</x:v>
      </x:c>
      <x:c r="T14" s="34" t="n">
        <x:v>16</x:v>
      </x:c>
      <x:c r="U14" s="34" t="str">
        <x:v>MSI B650 Tomahawk WiFi</x:v>
      </x:c>
      <x:c r="V14" s="34" t="n">
        <x:v>48</x:v>
      </x:c>
      <x:c r="W14" s="34" t="n">
        <x:v>2</x:v>
      </x:c>
      <x:c r="X14" s="34" t="str">
        <x:v>Corsair NAUTILUS 360 RS ARGB White</x:v>
      </x:c>
      <x:c r="Y14" s="34" t="str">
        <x:v>Seasonic Focus GX-850</x:v>
      </x:c>
      <x:c r="Z14" s="34" t="str">
        <x:v>Corsair 3500X ARGB White</x:v>
      </x:c>
      <x:c r="AA14" s="34" t="str">
        <x:v>WARNING: Chipset pairing</x:v>
      </x:c>
      <x:c r="AB14" s="70" t="str">
        <x:v>WARNING</x:v>
      </x:c>
      <x:c r="AC14" s="34" t="str">
        <x:v>None</x:v>
      </x:c>
      <x:c r="AD14" s="34" t="str">
        <x:v>Compatibility warning: Chipset pairing</x:v>
      </x:c>
      <x:c r="AE14" s="34" t="str">
        <x:v>gaming-1440p, gpu-7800xt-1440p, gaming-1080p, gpu-rdna4-9070xt, gpu-7900xtx-raster, cpu-9950x3d-mixed, motherboard-z790-white, cpu-7800x3d-gaming</x:v>
      </x:c>
      <x:c r="AF14" s="35" t="str">
        <x:v>## Summary
This AMD-based build targets 1440p 144 FPS gaming within a ¥14,298 total, using a white/RGB aesthetic and quiet operation. All compatibility checks pass except a chipset pairing warning, which does not affect functionality.
## Trade-offs
The RX 7800 XT provides strong 1440p raster value with 16GB VRAM [K2], but may not consistently hit 144 FPS in the most demanding titles at max settings. The chipset warning indicates a potential feature mismatch, though it does not prevent normal operation.
## Upgrade path
The 750W PSU and AM5 platform allow future GPU upgrades to a higher-tier AMD card like the RX 9070 XT [K4] or RX 7900 XTX [K5] without changing the power supply. CPU can be upgraded to a newer AM5 model later.</x:v>
      </x:c>
    </x:row>
    <x:row r="15" ht="54" customHeight="1">
      <x:c r="A15" s="38" t="str">
        <x:v>T10</x:v>
      </x:c>
      <x:c r="B15" s="39" t="str">
        <x:v>3D/引擎工作站用户</x:v>
      </x:c>
      <x:c r="C15" s="39" t="str">
        <x:v>Expert</x:v>
      </x:c>
      <x:c r="D15" s="39" t="str">
        <x:v>English</x:v>
      </x:c>
      <x:c r="E15" s="39" t="str">
        <x:v>USD 6,500 workstation for Unreal Engine 5 shader compilation, Blender Cycles and large C++ builds. Use a Ryzen 9 9950X3D and GeForce RTX 5090, 128 GB RAM and 4 TB NVMe. Reliability and cooling matter more than looks.</x:v>
      </x:c>
      <x:c r="F15" s="39" t="str">
        <x:v>deepseek-v4-flash</x:v>
      </x:c>
      <x:c r="G15" s="39" t="str">
        <x:v>disabled</x:v>
      </x:c>
      <x:c r="H15" s="39" t="str">
        <x:v>deepseek</x:v>
      </x:c>
      <x:c r="I15" s="39" t="str">
        <x:v>vector</x:v>
      </x:c>
      <x:c r="J15" s="39" t="str">
        <x:v>ollama</x:v>
      </x:c>
      <x:c r="K15" s="39" t="str">
        <x:v>nomic-embed-text</x:v>
      </x:c>
      <x:c r="L15" s="65" t="n">
        <x:v>10.022</x:v>
      </x:c>
      <x:c r="M15" s="66" t="n">
        <x:v>6500</x:v>
      </x:c>
      <x:c r="N15" s="66" t="str">
        <x:v>USD</x:v>
      </x:c>
      <x:c r="O15" s="66" t="n">
        <x:v>4992</x:v>
      </x:c>
      <x:c r="P15" s="67" t="n">
        <x:f>IFERROR(O15/M15,0)</x:f>
        <x:v>0.768</x:v>
      </x:c>
      <x:c r="Q15" s="39" t="str">
        <x:v>development</x:v>
      </x:c>
      <x:c r="R15" s="39" t="str">
        <x:v>Ryzen 9 9950X3D</x:v>
      </x:c>
      <x:c r="S15" s="39" t="str">
        <x:v>GeForce RTX 5090 Founders Edition</x:v>
      </x:c>
      <x:c r="T15" s="39" t="n">
        <x:v>32</x:v>
      </x:c>
      <x:c r="U15" s="39" t="str">
        <x:v>ASUS ProArt X670E-Creator</x:v>
      </x:c>
      <x:c r="V15" s="39" t="n">
        <x:v>128</x:v>
      </x:c>
      <x:c r="W15" s="39" t="n">
        <x:v>4</x:v>
      </x:c>
      <x:c r="X15" s="39" t="str">
        <x:v>Lian Li Galahad II Trinity 360 White</x:v>
      </x:c>
      <x:c r="Y15" s="39" t="str">
        <x:v>be quiet! Dark Power Pro 13 1600W</x:v>
      </x:c>
      <x:c r="Z15" s="39" t="str">
        <x:v>Lian Li O11D EVO RGB White</x:v>
      </x:c>
      <x:c r="AA15" s="39" t="str">
        <x:v>PASS (all deterministic rules)</x:v>
      </x:c>
      <x:c r="AB15" s="76" t="str">
        <x:v>WARNING</x:v>
      </x:c>
      <x:c r="AC15" s="39" t="str">
        <x:v>None</x:v>
      </x:c>
      <x:c r="AD15" s="39" t="str">
        <x:v>Use case parsed as development, expected balanced</x:v>
      </x:c>
      <x:c r="AE15" s="39" t="str">
        <x:v>gpu-5080-blackwell, cpu-9950x3d2-workstation, cpu-7900x-workstation, gaming-4k, gpu-5070ti-blackwell, gaming-4k-240, gpu-4070tis-balanced, gpu-4070s-gaming</x:v>
      </x:c>
      <x:c r="AF15" s="40" t="str">
        <x:v>## Summary
This $4,992 build pairs the existing Ryzen 9 9950X3D and RTX 5090 with 128GB RAM, 4TB storage, and robust cooling, fully compatible for Unreal Engine 5 shader compilation, Blender Cycles, and large C++ builds at 4K 60fps.
## Trade-offs
The 898W estimated draw requires a high-wattage PSU and strong cooling, but the RTX 5090’s massive GPU power is essential for 4K development workloads [K4]. The 128GB RAM and 4TB storage meet your VRAM and capacity needs without compromise.
## Upgrade path
The AM5 socket and high-wattage PSU allow future CPU or GPU upgrades, though the RTX 5090 is already the top NVIDIA card. Adding more storage or upgrading to faster RAM are straightforward later options.</x:v>
      </x:c>
    </x:row>
  </x:sheetData>
  <x:mergeCells>
    <x:mergeCell ref="A1:AF1"/>
    <x:mergeCell ref="A2:AF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2" hidden="0" customWidth="1"/>
    <x:col min="3" max="3" width="14" hidden="0" customWidth="1"/>
    <x:col min="4" max="4" width="14" hidden="0" customWidth="1"/>
    <x:col min="5" max="5" width="55" hidden="0" customWidth="1"/>
    <x:col min="6" max="6" width="14" hidden="0" customWidth="1"/>
    <x:col min="7" max="7" width="14" hidden="0" customWidth="1"/>
    <x:col min="8" max="8" width="48" hidden="0" customWidth="1"/>
    <x:col min="9" max="9" width="19" hidden="0" customWidth="1"/>
    <x:col min="10" max="10" width="19" hidden="0" customWidth="1"/>
    <x:col min="11" max="11" width="19" hidden="0" customWidth="1"/>
  </x:cols>
  <x:sheetData>
    <x:row r="1" ht="38" customHeight="1">
      <x:c r="A1" s="3" t="str">
        <x:v>Regression Delta · First Run vs Fixed Run</x:v>
      </x:c>
      <x:c r="B1" s="3"/>
      <x:c r="C1" s="3"/>
      <x:c r="D1" s="3"/>
      <x:c r="E1" s="3"/>
      <x:c r="F1" s="3"/>
      <x:c r="G1" s="3"/>
      <x:c r="H1" s="3"/>
      <x:c r="I1" s="3"/>
      <x:c r="J1" s="3"/>
      <x:c r="K1" s="3"/>
    </x:row>
    <x:row r="2" ht="22" customHeight="1">
      <x:c r="A2" s="6" t="str">
        <x:v>The first-run failures remain visible; the final run is not cherry-picked</x:v>
      </x:c>
      <x:c r="B2" s="6"/>
      <x:c r="C2" s="6"/>
      <x:c r="D2" s="6"/>
      <x:c r="E2" s="6"/>
      <x:c r="F2" s="6"/>
      <x:c r="G2" s="6"/>
      <x:c r="H2" s="6"/>
      <x:c r="I2" s="6"/>
      <x:c r="J2" s="6"/>
      <x:c r="K2" s="6"/>
    </x:row>
    <x:row r="5" ht="28" customHeight="1">
      <x:c r="A5" s="30" t="str">
        <x:v>ID</x:v>
      </x:c>
      <x:c r="B5" s="31" t="str">
        <x:v>Scenario</x:v>
      </x:c>
      <x:c r="C5" s="31" t="str">
        <x:v>Before verdict</x:v>
      </x:c>
      <x:c r="D5" s="31" t="str">
        <x:v>Before total</x:v>
      </x:c>
      <x:c r="E5" s="31" t="str">
        <x:v>Before issues</x:v>
      </x:c>
      <x:c r="F5" s="31" t="str">
        <x:v>After verdict</x:v>
      </x:c>
      <x:c r="G5" s="31" t="str">
        <x:v>After total</x:v>
      </x:c>
      <x:c r="H5" s="31" t="str">
        <x:v>After issues</x:v>
      </x:c>
      <x:c r="I5" s="31" t="str">
        <x:v>Delta</x:v>
      </x:c>
      <x:c r="J5" s="31" t="str">
        <x:v>Remote vector before</x:v>
      </x:c>
      <x:c r="K5" s="32" t="str">
        <x:v>Remote vector after</x:v>
      </x:c>
    </x:row>
    <x:row r="6" ht="44" customHeight="1">
      <x:c r="A6" s="33" t="str">
        <x:v>T01</x:v>
      </x:c>
      <x:c r="B6" s="34" t="str">
        <x:v>新手玩家</x:v>
      </x:c>
      <x:c r="C6" s="79" t="str">
        <x:v>FAIL</x:v>
      </x:c>
      <x:c r="D6" s="34" t="n">
        <x:v>1682</x:v>
      </x:c>
      <x:c r="E6" s="34" t="str">
        <x:v>Total is 140.2% of budget; Compatibility warning: Chipset pairing</x:v>
      </x:c>
      <x:c r="F6" s="70" t="str">
        <x:v>WARNING</x:v>
      </x:c>
      <x:c r="G6" s="34" t="n">
        <x:v>1422</x:v>
      </x:c>
      <x:c r="H6" s="34" t="str">
        <x:v>Total is 118.5% of budget</x:v>
      </x:c>
      <x:c r="I6" s="34" t="str">
        <x:v>Improved</x:v>
      </x:c>
      <x:c r="J6" s="34" t="str">
        <x:v>vector/ollama</x:v>
      </x:c>
      <x:c r="K6" s="35" t="str">
        <x:v>vector/ollama</x:v>
      </x:c>
    </x:row>
    <x:row r="7" ht="44" customHeight="1">
      <x:c r="A7" s="33" t="str">
        <x:v>T02</x:v>
      </x:c>
      <x:c r="B7" s="34" t="str">
        <x:v>高刷游戏玩家</x:v>
      </x:c>
      <x:c r="C7" s="73" t="str">
        <x:v>PASS</x:v>
      </x:c>
      <x:c r="D7" s="34" t="n">
        <x:v>2622</x:v>
      </x:c>
      <x:c r="E7" s="34" t="str">
        <x:v>None</x:v>
      </x:c>
      <x:c r="F7" s="73" t="str">
        <x:v>PASS</x:v>
      </x:c>
      <x:c r="G7" s="34" t="n">
        <x:v>2732</x:v>
      </x:c>
      <x:c r="H7" s="34" t="str">
        <x:v>None</x:v>
      </x:c>
      <x:c r="I7" s="34" t="str">
        <x:v>Unchanged</x:v>
      </x:c>
      <x:c r="J7" s="34" t="str">
        <x:v>vector/ollama</x:v>
      </x:c>
      <x:c r="K7" s="35" t="str">
        <x:v>vector/ollama</x:v>
      </x:c>
    </x:row>
    <x:row r="8" ht="44" customHeight="1">
      <x:c r="A8" s="33" t="str">
        <x:v>T03</x:v>
      </x:c>
      <x:c r="B8" s="34" t="str">
        <x:v>本地 AI 工程师</x:v>
      </x:c>
      <x:c r="C8" s="79" t="str">
        <x:v>FAIL</x:v>
      </x:c>
      <x:c r="D8" s="34" t="n">
        <x:v>3992</x:v>
      </x:c>
      <x:c r="E8" s="34" t="str">
        <x:v>RAM 96GB is below 128GB; Compatibility FAIL: Power headroom</x:v>
      </x:c>
      <x:c r="F8" s="73" t="str">
        <x:v>PASS</x:v>
      </x:c>
      <x:c r="G8" s="34" t="n">
        <x:v>4672</x:v>
      </x:c>
      <x:c r="H8" s="34" t="str">
        <x:v>None</x:v>
      </x:c>
      <x:c r="I8" s="34" t="str">
        <x:v>Improved</x:v>
      </x:c>
      <x:c r="J8" s="34" t="str">
        <x:v>vector/ollama</x:v>
      </x:c>
      <x:c r="K8" s="35" t="str">
        <x:v>vector/ollama</x:v>
      </x:c>
    </x:row>
    <x:row r="9" ht="44" customHeight="1">
      <x:c r="A9" s="33" t="str">
        <x:v>T04</x:v>
      </x:c>
      <x:c r="B9" s="34" t="str">
        <x:v>学生创作者</x:v>
      </x:c>
      <x:c r="C9" s="79" t="str">
        <x:v>FAIL</x:v>
      </x:c>
      <x:c r="D9" s="34" t="n">
        <x:v>1582</x:v>
      </x:c>
      <x:c r="E9" s="34" t="str">
        <x:v>Use case parsed as balanced, expected ai; Compatibility warning: Chipset pairing</x:v>
      </x:c>
      <x:c r="F9" s="73" t="str">
        <x:v>PASS</x:v>
      </x:c>
      <x:c r="G9" s="34" t="n">
        <x:v>1552</x:v>
      </x:c>
      <x:c r="H9" s="34" t="str">
        <x:v>None</x:v>
      </x:c>
      <x:c r="I9" s="34" t="str">
        <x:v>Improved</x:v>
      </x:c>
      <x:c r="J9" s="34" t="str">
        <x:v>vector/ollama</x:v>
      </x:c>
      <x:c r="K9" s="35" t="str">
        <x:v>vector/ollama</x:v>
      </x:c>
    </x:row>
    <x:row r="10" ht="44" customHeight="1">
      <x:c r="A10" s="33" t="str">
        <x:v>T05</x:v>
      </x:c>
      <x:c r="B10" s="34" t="str">
        <x:v>平台开发者</x:v>
      </x:c>
      <x:c r="C10" s="73" t="str">
        <x:v>PASS</x:v>
      </x:c>
      <x:c r="D10" s="34" t="n">
        <x:v>3236</x:v>
      </x:c>
      <x:c r="E10" s="34" t="str">
        <x:v>None</x:v>
      </x:c>
      <x:c r="F10" s="73" t="str">
        <x:v>PASS</x:v>
      </x:c>
      <x:c r="G10" s="34" t="n">
        <x:v>3263</x:v>
      </x:c>
      <x:c r="H10" s="34" t="str">
        <x:v>None</x:v>
      </x:c>
      <x:c r="I10" s="34" t="str">
        <x:v>Unchanged</x:v>
      </x:c>
      <x:c r="J10" s="34" t="str">
        <x:v>vector/ollama</x:v>
      </x:c>
      <x:c r="K10" s="35" t="str">
        <x:v>vector/ollama</x:v>
      </x:c>
    </x:row>
    <x:row r="11" ht="44" customHeight="1">
      <x:c r="A11" s="33" t="str">
        <x:v>T06</x:v>
      </x:c>
      <x:c r="B11" s="34" t="str">
        <x:v>视频工作室</x:v>
      </x:c>
      <x:c r="C11" s="79" t="str">
        <x:v>FAIL</x:v>
      </x:c>
      <x:c r="D11" s="34" t="n">
        <x:v>3532</x:v>
      </x:c>
      <x:c r="E11" s="34" t="str">
        <x:v>Storage 2TB is below 4TB; Compatibility warning: Power headroom; Total is 100.9% of budget</x:v>
      </x:c>
      <x:c r="F11" s="70" t="str">
        <x:v>WARNING</x:v>
      </x:c>
      <x:c r="G11" s="34" t="n">
        <x:v>3702</x:v>
      </x:c>
      <x:c r="H11" s="34" t="str">
        <x:v>Compatibility warning: Power headroom; Total is 105.8% of budget</x:v>
      </x:c>
      <x:c r="I11" s="34" t="str">
        <x:v>Improved</x:v>
      </x:c>
      <x:c r="J11" s="34" t="str">
        <x:v>vector/ollama</x:v>
      </x:c>
      <x:c r="K11" s="35" t="str">
        <x:v>vector/ollama</x:v>
      </x:c>
    </x:row>
    <x:row r="12" ht="44" customHeight="1">
      <x:c r="A12" s="33" t="str">
        <x:v>T07</x:v>
      </x:c>
      <x:c r="B12" s="34" t="str">
        <x:v>SFF 发烧友</x:v>
      </x:c>
      <x:c r="C12" s="79" t="str">
        <x:v>FAIL</x:v>
      </x:c>
      <x:c r="D12" s="34" t="n">
        <x:v>2478</x:v>
      </x:c>
      <x:c r="E12" s="34" t="str">
        <x:v>Use case parsed as balanced, expected gaming</x:v>
      </x:c>
      <x:c r="F12" s="73" t="str">
        <x:v>PASS</x:v>
      </x:c>
      <x:c r="G12" s="34" t="n">
        <x:v>2208</x:v>
      </x:c>
      <x:c r="H12" s="34" t="str">
        <x:v>None</x:v>
      </x:c>
      <x:c r="I12" s="34" t="str">
        <x:v>Improved</x:v>
      </x:c>
      <x:c r="J12" s="34" t="str">
        <x:v>vector/ollama</x:v>
      </x:c>
      <x:c r="K12" s="35" t="str">
        <x:v>vector/ollama</x:v>
      </x:c>
    </x:row>
    <x:row r="13" ht="44" customHeight="1">
      <x:c r="A13" s="33" t="str">
        <x:v>T08</x:v>
      </x:c>
      <x:c r="B13" s="34" t="str">
        <x:v>节能开发者</x:v>
      </x:c>
      <x:c r="C13" s="79" t="str">
        <x:v>FAIL</x:v>
      </x:c>
      <x:c r="D13" s="34" t="n">
        <x:v>1372</x:v>
      </x:c>
      <x:c r="E13" s="34" t="str">
        <x:v>RAM 32GB is below 64GB; Total is 105.5% of budget</x:v>
      </x:c>
      <x:c r="F13" s="73" t="str">
        <x:v>PASS</x:v>
      </x:c>
      <x:c r="G13" s="34" t="n">
        <x:v>1293</x:v>
      </x:c>
      <x:c r="H13" s="34" t="str">
        <x:v>None</x:v>
      </x:c>
      <x:c r="I13" s="34" t="str">
        <x:v>Improved</x:v>
      </x:c>
      <x:c r="J13" s="34" t="str">
        <x:v>vector/ollama</x:v>
      </x:c>
      <x:c r="K13" s="35" t="str">
        <x:v>vector/ollama</x:v>
      </x:c>
    </x:row>
    <x:row r="14" ht="44" customHeight="1">
      <x:c r="A14" s="33" t="str">
        <x:v>T09</x:v>
      </x:c>
      <x:c r="B14" s="34" t="str">
        <x:v>中国游戏小白</x:v>
      </x:c>
      <x:c r="C14" s="79" t="str">
        <x:v>FAIL</x:v>
      </x:c>
      <x:c r="D14" s="34" t="n">
        <x:v>14298</x:v>
      </x:c>
      <x:c r="E14" s="34" t="str">
        <x:v>motherboard is not tagged white: MSI B650 Tomahawk WiFi; ram is not tagged white: G.Skill Trident Z5 Neo RGB 48GB DDR5-6000; Compatibility warning: Chipset pairing</x:v>
      </x:c>
      <x:c r="F14" s="70" t="str">
        <x:v>WARNING</x:v>
      </x:c>
      <x:c r="G14" s="34" t="n">
        <x:v>14298</x:v>
      </x:c>
      <x:c r="H14" s="34" t="str">
        <x:v>Compatibility warning: Chipset pairing</x:v>
      </x:c>
      <x:c r="I14" s="34" t="str">
        <x:v>Improved</x:v>
      </x:c>
      <x:c r="J14" s="34" t="str">
        <x:v>vector/ollama</x:v>
      </x:c>
      <x:c r="K14" s="35" t="str">
        <x:v>vector/ollama</x:v>
      </x:c>
    </x:row>
    <x:row r="15" ht="44" customHeight="1">
      <x:c r="A15" s="38" t="str">
        <x:v>T10</x:v>
      </x:c>
      <x:c r="B15" s="39" t="str">
        <x:v>3D/引擎工作站用户</x:v>
      </x:c>
      <x:c r="C15" s="82" t="str">
        <x:v>FAIL</x:v>
      </x:c>
      <x:c r="D15" s="39" t="n">
        <x:v>4872</x:v>
      </x:c>
      <x:c r="E15" s="39" t="str">
        <x:v>RAM 96GB is below 128GB; Use case parsed as development, expected balanced</x:v>
      </x:c>
      <x:c r="F15" s="76" t="str">
        <x:v>WARNING</x:v>
      </x:c>
      <x:c r="G15" s="39" t="n">
        <x:v>4992</x:v>
      </x:c>
      <x:c r="H15" s="39" t="str">
        <x:v>Use case parsed as development, expected balanced</x:v>
      </x:c>
      <x:c r="I15" s="39" t="str">
        <x:v>Improved</x:v>
      </x:c>
      <x:c r="J15" s="39" t="str">
        <x:v>vector/ollama</x:v>
      </x:c>
      <x:c r="K15" s="40" t="str">
        <x:v>vector/ollama</x:v>
      </x:c>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55" hidden="0" customWidth="1"/>
    <x:col min="3" max="3" width="48" hidden="0" customWidth="1"/>
    <x:col min="4" max="4" width="42" hidden="0" customWidth="1"/>
    <x:col min="5" max="5" width="62" hidden="0" customWidth="1"/>
    <x:col min="6" max="6" width="62" hidden="0" customWidth="1"/>
    <x:col min="7" max="7" width="62" hidden="0" customWidth="1"/>
    <x:col min="8" max="8" width="62" hidden="0" customWidth="1"/>
  </x:cols>
  <x:sheetData>
    <x:row r="1" ht="38" customHeight="1">
      <x:c r="A1" s="3" t="str">
        <x:v>Full Returned Results</x:v>
      </x:c>
      <x:c r="B1" s="3"/>
      <x:c r="C1" s="3"/>
      <x:c r="D1" s="3"/>
      <x:c r="E1" s="3"/>
      <x:c r="F1" s="3"/>
      <x:c r="G1" s="3"/>
      <x:c r="H1" s="3"/>
    </x:row>
    <x:row r="2" ht="22" customHeight="1">
      <x:c r="A2" s="6" t="str">
        <x:v>Parsed intent, final build, deterministic checks, RAG reasoning, and generated explanation</x:v>
      </x:c>
      <x:c r="B2" s="6"/>
      <x:c r="C2" s="6"/>
      <x:c r="D2" s="6"/>
      <x:c r="E2" s="6"/>
      <x:c r="F2" s="6"/>
      <x:c r="G2" s="6"/>
      <x:c r="H2" s="6"/>
    </x:row>
    <x:row r="5" ht="28" customHeight="1">
      <x:c r="A5" s="30" t="str">
        <x:v>ID</x:v>
      </x:c>
      <x:c r="B5" s="31" t="str">
        <x:v>Requirement</x:v>
      </x:c>
      <x:c r="C5" s="31" t="str">
        <x:v>Parsed BuildRequest</x:v>
      </x:c>
      <x:c r="D5" s="31" t="str">
        <x:v>Final build</x:v>
      </x:c>
      <x:c r="E5" s="31" t="str">
        <x:v>Compatibility details</x:v>
      </x:c>
      <x:c r="F5" s="31" t="str">
        <x:v>Retrieved reasoning</x:v>
      </x:c>
      <x:c r="G5" s="31" t="str">
        <x:v>AI explanation</x:v>
      </x:c>
      <x:c r="H5" s="32" t="str">
        <x:v>Alternative builds</x:v>
      </x:c>
    </x:row>
    <x:row r="6" ht="120" customHeight="1">
      <x:c r="A6" s="33" t="str">
        <x:v>T01</x:v>
      </x:c>
      <x:c r="B6" s="34" t="str">
        <x:v>预算 1200 美元，想配一台玩 2K 144Hz 游戏的电脑，性价比优先，不要 RGB，黑色普通机箱就行。</x:v>
      </x:c>
      <x:c r="C6" s="34" t="str">
        <x:v>{"budget":1200,"currency":"USD","country":"US","useCase":"gaming","resolution":"1440p","targetFps":144,"games":"","aiWorkloads":[],"vramPreference":12,"ramCapacityGb":32,"storageCapacityTb":1,"developerWorkloads":[],"preferredCpuBrand":"none","preferredGpuBrand":"none","preferredColor":"black","preferredCooling":"none","preferredCaseStyle":"traditional","preferQuiet":false,"preferRgb":false,"preferSmallFormFactor":false,"preferUpgradeability":false,"preferLowPower":false,"existingPartIds":[],"constraints":[{"id":"llm-workloadTarget-0","target":"workloadTarget","value":"2k 144hz","strength":"preferred","sourceText":"2K 144Hz","interpretation":"Target resolution and refresh rate for gaming; actual performance may vary.","origin":"llm"},{"id":"llm-lighting-1","target":"lighting","value":"rgb","strength":"excluded","sourceText":"不要 RGB","interpretation":"Exclude RGB lighting on components where possible.","origin":"llm"},{"id":"llm-color-2","target":"color","value":"black","strength":"preferred","sourceText":"黑色普通机箱","interpretation":"Prefer black case and components; ordinary black build.","origin":"llm"},{"id":"llm-caseStyle-3","target":"caseStyle","value":"traditional","strength":"preferred","sourceText":"普通机箱","interpretation":"Prefer a traditional case style, not panoramic or special form factor.","origin":"llm"}]}</x:v>
      </x:c>
      <x:c r="D6" s="34" t="str">
        <x:v>cpu: Ryzen 7 9700X
gpu: Radeon RX 7800 XT
motherboard: ASRock B650M Pro RS
ram: G.Skill Flare X5 32GB DDR5-6000
storage: WD Black SN850X 1TB
cooler: Thermalright Peerless Assassin 120 SE
case: NZXT H5 Flow
psu: Corsair RM650e</x:v>
      </x:c>
      <x:c r="E6" s="34" t="str">
        <x:v>PASS · CPU socket: Ryzen 7 9700X uses AM5, matching ASRock B650M Pro RS.
PASS · Memory type: DDR5 memory matches the motherboard.
PASS · Motherboard fit: Micro-ATX motherboard fits inside NZXT H5 Flow.
PASS · GPU clearance: Radeon RX 7800 XT is 267mm and fits the 365mm clearance.
PASS · Cooler clearance: Thermalright Peerless Assassin 120 SE fits with 10mm clearance.
PASS · Power headroom: Estimated draw is 430W. 650W provides healthy headroom.
PASS · PSU fit: ATX PSU is supported by NZXT H5 Flow.
PASS · Cooling capacity: 220W cooler rating covers the CPU's 65W rating.
PASS · Chipset pairing: B650 is a sensible match for this high-tier CPU.
PASS · Storage interface: NVMe storage is supported by the motherboard.</x:v>
      </x:c>
      <x:c r="F6" s="34" t="str">
        <x:v>cpu: Ryzen 7 9700X — Weighted score 77.5. 1080p gaming allocation [gaming-1080p]
gpu: Radeon RX 7800 XT — Weighted score 80.1. 1440p gaming allocation [gaming-1440p, gpu-7800xt-1440p, gaming-4k]
motherboard: ASRock B650M Pro RS — Weighted score 71.2. Selected from structured specifications and deterministic constraints. []
ram: G.Skill Flare X5 32GB DDR5-6000 — Weighted score 63.5. Selected from structured specifications and deterministic constraints. []
storage: WD Black SN850X 1TB — Weighted score 72.5. Selected from structured specifications and deterministic constraints. []
cooler: Thermalright Peerless Assassin 120 SE — Weighted score 70.7. Peerless Assassin value cooling [cooler-pa120]
case: NZXT H5 Flow — Weighted score 81.2. Case clearance constraints [case-clearance]
psu: Corsair RM650e — Weighted score 53.5. Selected from structured specifications and deterministic constraints. []</x:v>
      </x:c>
      <x:c r="G6" s="34" t="str">
        <x:v>## Summary
This $1,422 build exceeds the $1,200 budget by $222, but delivers strong 1440p 144Hz gaming performance with a black, non-RGB traditional case. All components are compatible and the system has 430W estimated power draw.
## Trade-offs
The GPU selection (likely RTX 4070 Super or RX 7800 XT) trades VRAM capacity for price or vice versa at this budget level [K2][K3]. The $222 overage means you sacrifice budget compliance for higher performance.
## Upgrade path
Future upgrades could include a higher-tier GPU like the RTX 4070 Ti Super for 16GB VRAM and stronger 1440p performance [K4], or adding more storage. The PSU has sufficient headroom for these changes.</x:v>
      </x:c>
      <x:c r="H6" s="35" t="str">
        <x:v>Performance variant (1522): Higher GPU performance or VRAM at increased cost and power.
Capacity variant (1507): More multitasking and dataset headroom with no direct gaming uplift.</x:v>
      </x:c>
    </x:row>
    <x:row r="7" ht="120" customHeight="1">
      <x:c r="A7" s="33" t="str">
        <x:v>T02</x:v>
      </x:c>
      <x:c r="B7" s="34" t="str">
        <x:v>US$2,800 tower for 4K 165 Hz gaming. AMD CPU is mandatory, NVIDIA GPU is mandatory. Prefer a quiet all-black build, no lighting, and leave sensible upgrade headroom.</x:v>
      </x:c>
      <x:c r="C7" s="34" t="str">
        <x:v>{"budget":2800,"currency":"USD","country":"US","useCase":"gaming","resolution":"4k","targetFps":165,"games":"","aiWorkloads":[],"vramPreference":16,"ramCapacityGb":32,"storageCapacityTb":2,"developerWorkloads":[],"preferredCpuBrand":"amd","preferredGpuBrand":"nvidia","preferredColor":"black","preferredCooling":"none","preferredCaseStyle":"traditional","preferQuiet":true,"preferRgb":false,"preferSmallFormFactor":false,"preferUpgradeability":true,"preferLowPower":false,"existingPartIds":[],"constraints":[{"id":"llm-cpuBrand-0","target":"cpuBrand","value":"amd","strength":"required","sourceText":"AMD CPU is mandatory","interpretation":"CPU must be AMD.","origin":"llm"},{"id":"llm-gpuBrand-1","target":"gpuBrand","value":"nvidia","strength":"required","sourceText":"NVIDIA GPU is mandatory","interpretation":"GPU must be NVIDIA.","origin":"llm"},{"id":"llm-color-2","target":"color","value":"black","strength":"preferred","sourceText":"all-black build","interpretation":"Visible components should be black where possible.","origin":"llm"},{"id":"llm-noise-3","target":"noise","value":"quiet","strength":"preferred","sourceText":"Prefer a quiet","interpretation":"Acoustic optimization across case, cooler, GPU, and PSU.","origin":"llm"},{"id":"llm-lighting-4","target":"lighting","value":"rgb","strength":"excluded","sourceText":"no lighting","interpretation":"Exclude RGB lighting on all components.","origin":"llm"},{"id":"llm-upgradeability-5","target":"upgradeability","value":"high","strength":"preferred","sourceText":"leave sensible upgrade headroom","interpretation":"Platform-level preference for socket longevity, expansion, PSU headroom, and clearance.","origin":"llm"},{"id":"llm-workloadTarget-6","target":"workloadTarget","value":"4k 165 hz gaming","strength":"preferred","sourceText":"4K 165 Hz gaming","interpretation":"Target resolution and refresh rate; actual performance may vary.","origin":"llm"}]}</x:v>
      </x:c>
      <x:c r="D7" s="34" t="str">
        <x:v>cpu: Ryzen 7 9800X3D
gpu: GeForce RTX 5080 Founders Edition
motherboard: ASUS TUF Gaming B850-Plus WiFi
ram: Corsair Vengeance 64GB DDR5-6000
storage: Samsung 9100 Pro 2TB
cooler: Arctic Liquid Freezer III Pro 360
case: Fractal North
psu: Thermaltake Toughpower GF3 1200W Snow</x:v>
      </x:c>
      <x:c r="E7" s="34" t="str">
        <x:v>PASS · CPU socket: Ryzen 7 9800X3D uses AM5, matching ASUS TUF Gaming B850-Plus WiFi.
PASS · Memory type: DDR5 memory matches the motherboard.
PASS · Motherboard fit: ATX motherboard fits inside Fractal North.
PASS · GPU clearance: GeForce RTX 5080 Founders Edition is 304mm and fits the 355mm clearance.
PASS · Cooler clearance: Arctic Liquid Freezer III Pro 360 uses a radiator mount instead of tower clearance.
PASS · Power headroom: Estimated draw is 599W. 1200W provides healthy headroom.
PASS · PSU fit: ATX PSU is supported by Fractal North.
PASS · Cooling capacity: 350W cooler rating covers the CPU's 120W rating.
PASS · Chipset pairing: B850 is a sensible match for this enthusiast-tier CPU.
PASS · Storage interface: NVMe storage is supported by the motherboard.</x:v>
      </x:c>
      <x:c r="F7" s="34" t="str">
        <x:v>cpu: Ryzen 7 9800X3D — AMD CPU hard constraint. Weighted score 93.5. 1080p gaming allocation [gaming-1080p]
gpu: GeForce RTX 5080 Founders Edition — NVIDIA GPU hard constraint. Weighted score 89.7. 4K gaming allocation [gaming-4k, gaming-4k-240, gpu-5080-blackwell]
motherboard: ASUS TUF Gaming B850-Plus WiFi — Weighted score 88.4. AM5 platform upgradeability [upgrade-am5, platform-am5-800-series]
ram: Corsair Vengeance 64GB DDR5-6000 — Weighted score 78.3. Selected from structured specifications and deterministic constraints. []
storage: Samsung 9100 Pro 2TB — Weighted score 80.7. PCIe 5.0 SSD performance and thermal trade-off [storage-pcie5-thermal]
cooler: Arctic Liquid Freezer III Pro 360 — Weighted score 76.3. Selected from structured specifications and deterministic constraints. []
case: Fractal North — Weighted score 83.3. Fractal North balanced airflow [case-north-airflow]
psu: Thermaltake Toughpower GF3 1200W Snow — Weighted score 85.3. Power supply headroom rule [psu-headroom]</x:v>
      </x:c>
      <x:c r="G7" s="34" t="str">
        <x:v>## Summary
This $2,732 AMD/NVIDIA build targets 4K 165Hz gaming with a black, quiet, non-RGB theme. All compatibility checks pass, and the estimated 599W draw leaves headroom for upgrades.
## Trade-offs
The RTX 4070 Ti Super may not consistently hit 165 FPS at 4K in demanding titles, as the GPU is the primary constraint at this resolution [K2][K3]. The 16GB VRAM meets your preference but limits future-proofing for very high-resolution textures.
## Upgrade path
The AM5 platform supports future CPU upgrades, and the 599W draw leaves room for a more powerful GPU [K1]. The Fractal North case provides ample clearance for larger components [K4].</x:v>
      </x:c>
      <x:c r="H7" s="35" t="str">
        <x:v>Value-focused variant (2532): Lower cost with reduced graphics or compute headroom.
Performance variant (3532): Higher GPU performance or VRAM at increased cost and power.
Capacity variant (2812): More multitasking and dataset headroom with no direct gaming uplift.</x:v>
      </x:c>
    </x:row>
    <x:row r="8" ht="120" customHeight="1">
      <x:c r="A8" s="33" t="str">
        <x:v>T03</x:v>
      </x:c>
      <x:c r="B8" s="34" t="str">
        <x:v>Budget USD 5,000 for a local AI workstation: CUDA is required, target 70B Q4 inference plus FLUX image generation, at least 32 GB VRAM and 128 GB system RAM. Linux, quiet operation, no aesthetic priority.</x:v>
      </x:c>
      <x:c r="C8" s="34" t="str">
        <x:v>{"budget":5000,"currency":"USD","country":"US","useCase":"ai","resolution":"4k","targetFps":60,"games":"","aiWorkloads":["local AI inference","FLUX image generation"],"vramPreference":32,"ramCapacityGb":128,"storageCapacityTb":2,"developerWorkloads":[],"preferredCpuBrand":"none","preferredGpuBrand":"nvidia","preferredColor":"none","preferredCooling":"none","preferredCaseStyle":"none","preferQuiet":true,"preferRgb":false,"preferSmallFormFactor":false,"preferUpgradeability":false,"preferLowPower":false,"existingPartIds":[],"constraints":[{"id":"llm-gpuBrand-0","target":"gpuBrand","value":"nvidia","strength":"required","sourceText":"CUDA is required","interpretation":"CUDA requires an NVIDIA GPU.","origin":"llm"},{"id":"llm-workloadTarget-1","target":"workloadTarget","value":"70b q4 inference plus flux image generation","strength":"required","sourceText":"target 70B Q4 inference plus FLUX image generation","interpretation":"The system must be capable of running 70B parameter models in Q4 quantization and FLUX image generation.","origin":"llm"},{"id":"llm-workloadTarget-2","target":"workloadTarget","value":"at least 32 gb vram","strength":"required","sourceText":"at least 32 GB VRAM","interpretation":"GPU must have at least 32 GB VRAM.","origin":"llm"},{"id":"llm-workloadTarget-3","target":"workloadTarget","value":"128 gb system ram","strength":"required","sourceText":"128 GB system RAM","interpretation":"System must have 128 GB RAM.","origin":"llm"},{"id":"llm-noise-4","target":"noise","value":"quiet","strength":"preferred","sourceText":"quiet operation","interpretation":"System should be optimized for quiet operation.","origin":"llm"}]}</x:v>
      </x:c>
      <x:c r="D8" s="34" t="str">
        <x:v>cpu: Ryzen 9 9950X3D
gpu: GeForce RTX 5090 Founders Edition
motherboard: ASUS ProArt X670E-Creator
ram: Kingston Fury 128GB DDR5-5600
storage: Crucial T500 4TB
cooler: Arctic Liquid Freezer III Pro 360
case: Fractal North
psu: be quiet! Dark Power Pro 13 1600W</x:v>
      </x:c>
      <x:c r="E8" s="34" t="str">
        <x:v>PASS · CPU socket: Ryzen 9 9950X3D uses AM5, matching ASUS ProArt X670E-Creator.
PASS · Memory type: DDR5 memory matches the motherboard.
PASS · Motherboard fit: ATX motherboard fits inside Fractal North.
PASS · GPU clearance: GeForce RTX 5090 Founders Edition is 304mm and fits the 355mm clearance.
PASS · Cooler clearance: Arctic Liquid Freezer III Pro 360 uses a radiator mount instead of tower clearance.
PASS · Power headroom: Estimated draw is 898W. 1600W provides healthy headroom.
PASS · PSU fit: ATX PSU is supported by Fractal North.
PASS · Cooling capacity: 350W cooler rating covers the CPU's 170W rating.
PASS · Chipset pairing: X670E is a sensible match for this enthusiast-tier CPU.
PASS · Storage interface: NVMe storage is supported by the motherboard.</x:v>
      </x:c>
      <x:c r="F8" s="34" t="str">
        <x:v>cpu: Ryzen 9 9950X3D — Weighted score 69.1. Selected from structured specifications and deterministic constraints. []
gpu: GeForce RTX 5090 Founders Edition — NVIDIA GPU hard constraint. Weighted score 90.2. VRAM is the primary local AI constraint [gpu-vram-ai, gpu-cuda-ai, gaming-4k-240]
motherboard: ASUS ProArt X670E-Creator — Weighted score 69.5. Selected from structured specifications and deterministic constraints. []
ram: Kingston Fury 128GB DDR5-5600 — Weighted score 78.7. System RAM for local AI [ram-capacity-ai]
storage: Crucial T500 4TB — Weighted score 66.5. Selected from structured specifications and deterministic constraints. []
cooler: Arctic Liquid Freezer III Pro 360 — Weighted score 69.8. Selected from structured specifications and deterministic constraints. []
case: Fractal North — Weighted score 76.3. Fractal North balanced airflow [case-north-airflow]
psu: be quiet! Dark Power Pro 13 1600W — Weighted score 61.9. Selected from structured specifications and deterministic constraints. []</x:v>
      </x:c>
      <x:c r="G8" s="34" t="str">
        <x:v>## Summary
This $4,672 build uses an NVIDIA RTX 4090 (24GB VRAM) with 128GB system RAM and a 2TB SSD, meeting all required constraints for 70B Q4 inference and FLUX image generation at 4K 60fps. All compatibility checks pass, and the 898W estimated draw is within the selected PSU's headroom.
## Trade-offs
The RTX 4090's 24GB VRAM is below the preferred 32GB target, meaning very large models or high-resolution FLUX batches may require CPU offloading [K1][K2]. The high-wattage components (898W) and air cooling make quiet operation challenging despite the preference for low noise.
## Upgrade path
A future RTX 5090 (likely 32GB+ VRAM) would directly address the VRAM ceiling while maintaining NVIDIA CUDA compatibility [K1][K2]. The motherboard and PSU have headroom for a higher-TDP GPU, but the case and cooling may need upgrading to maintain quiet operation.</x:v>
      </x:c>
      <x:c r="H8" s="35" t="str">
        <x:v>None</x:v>
      </x:c>
    </x:row>
    <x:row r="9" ht="120" customHeight="1">
      <x:c r="A9" s="33" t="str">
        <x:v>T04</x:v>
      </x:c>
      <x:c r="B9" s="34" t="str">
        <x:v>我有 1600 美元，平时玩游戏也跑 Stable Diffusion。显卡一定要英伟达而且至少 16GB 显存，别整灯，稳定好用就行。</x:v>
      </x:c>
      <x:c r="C9" s="34" t="str">
        <x:v>{"budget":1600,"currency":"USD","country":"US","useCase":"balanced","resolution":"1440p","targetFps":60,"games":"","aiWorkloads":["Stable Diffusion"],"vramPreference":16,"ramCapacityGb":32,"storageCapacityTb":1,"developerWorkloads":[],"preferredCpuBrand":"none","preferredGpuBrand":"nvidia","preferredColor":"none","preferredCooling":"none","preferredCaseStyle":"none","preferQuiet":false,"preferRgb":false,"preferSmallFormFactor":false,"preferUpgradeability":false,"preferLowPower":false,"existingPartIds":[],"constraints":[{"id":"llm-gpuBrand-0","target":"gpuBrand","value":"nvidia","strength":"required","sourceText":"显卡一定要英伟达","interpretation":"GPU must be NVIDIA.","origin":"llm"},{"id":"llm-workloadTarget-1","target":"workloadTarget","value":"vram","strength":"required","sourceText":"至少 16GB 显存","interpretation":"GPU must have at least 16GB VRAM.","origin":"llm"},{"id":"llm-lighting-2","target":"lighting","value":"rgb","strength":"excluded","sourceText":"别整灯","interpretation":"No RGB lighting on components.","origin":"llm"}]}</x:v>
      </x:c>
      <x:c r="D9" s="34" t="str">
        <x:v>cpu: Ryzen 7 7700
gpu: GeForce RTX 5060 Ti 16GB
motherboard: MSI B650 Tomahawk WiFi
ram: Corsair Vengeance 64GB DDR5-6000
storage: TeamGroup MP44 2TB
cooler: Thermalright Peerless Assassin 120 SE
case: Fractal North
psu: Corsair RM750e</x:v>
      </x:c>
      <x:c r="E9" s="34" t="str">
        <x:v>PASS · CPU socket: Ryzen 7 7700 uses AM5, matching MSI B650 Tomahawk WiFi.
PASS · Memory type: DDR5 memory matches the motherboard.
PASS · Motherboard fit: ATX motherboard fits inside Fractal North.
PASS · GPU clearance: GeForce RTX 5060 Ti 16GB is 300mm and fits the 355mm clearance.
PASS · Cooler clearance: Thermalright Peerless Assassin 120 SE fits with 15mm clearance.
PASS · Power headroom: Estimated draw is 364W. 750W provides healthy headroom.
PASS · PSU fit: ATX PSU is supported by Fractal North.
PASS · Cooling capacity: 220W cooler rating covers the CPU's 65W rating.
PASS · Chipset pairing: B650 is a sensible match for this mid-tier CPU.
PASS · Storage interface: NVMe storage is supported by the motherboard.</x:v>
      </x:c>
      <x:c r="F9" s="34" t="str">
        <x:v>cpu: Ryzen 7 7700 — Weighted score 75.5. Ryzen 7 7700 balanced profile [cpu-7700-balanced, gaming-1080p]
gpu: GeForce RTX 5060 Ti 16GB — NVIDIA GPU hard constraint. Weighted score 79.5. RTX 5060 Ti 16GB capacity-value trade-off [gpu-5060ti16-ai-value, gaming-1440p]
motherboard: MSI B650 Tomahawk WiFi — Weighted score 82.1. B650 platform fit [motherboard-b650]
ram: Corsair Vengeance 64GB DDR5-6000 — Weighted score 70.0. Selected from structured specifications and deterministic constraints. []
storage: TeamGroup MP44 2TB — Weighted score 80.7. NVMe capacity for workstation use [storage-workstation]
cooler: Thermalright Peerless Assassin 120 SE — Weighted score 66.7. Peerless Assassin value cooling [cooler-pa120]
case: Fractal North — Weighted score 76.9. Fractal North balanced airflow [case-north-airflow]
psu: Corsair RM750e — Weighted score 59.5. Selected from structured specifications and deterministic constraints. []</x:v>
      </x:c>
      <x:c r="G9" s="34" t="str">
        <x:v>## Summary
This $1,552 build delivers a balanced 1440p system with an NVIDIA GPU featuring 16GB VRAM, meeting your requirements for Stable Diffusion and 60 FPS gaming. All components are compatible and within budget.
## Trade-offs
The RTX 5070 Ti provides strong 1440p performance and 16GB VRAM for AI workloads, but its 300W power draw is higher than midrange alternatives [K1]. The build excludes RGB lighting as requested.
## Upgrade path
Future upgrades could include a higher-tier GPU like the RTX 5080 for improved AI throughput, though its 16GB VRAM remains a limit for larger models [K4]. Adding more storage or RAM is straightforward with available motherboard slots.</x:v>
      </x:c>
      <x:c r="H9" s="35" t="str">
        <x:v>Performance variant (1872): Higher GPU performance or VRAM at increased cost and power.
Capacity variant (1632): More multitasking and dataset headroom with no direct gaming uplift.</x:v>
      </x:c>
    </x:row>
    <x:row r="10" ht="120" customHeight="1">
      <x:c r="A10" s="33" t="str">
        <x:v>T05</x:v>
      </x:c>
      <x:c r="B10" s="34" t="str">
        <x:v>CAD 4,000，主要 Docker/Kubernetes、Android Studio、多服务本地开发和大型编译。必须 Intel CPU，至少 96GB RAM，安静、低功耗并且后续好升级；不需要 RGB。</x:v>
      </x:c>
      <x:c r="C10" s="34" t="str">
        <x:v>{"budget":4000,"currency":"CAD","country":"Canada","useCase":"development","resolution":"4k","targetFps":60,"games":"","aiWorkloads":[],"vramPreference":16,"ramCapacityGb":96,"storageCapacityTb":2,"developerWorkloads":["Docker","Kubernetes","Android Studio","multi-service local development","large compilation"],"preferredCpuBrand":"intel","preferredGpuBrand":"none","preferredColor":"none","preferredCooling":"none","preferredCaseStyle":"none","preferQuiet":true,"preferRgb":false,"preferSmallFormFactor":false,"preferUpgradeability":true,"preferLowPower":true,"existingPartIds":[],"constraints":[{"id":"llm-cpuBrand-0","target":"cpuBrand","value":"intel","strength":"required","sourceText":"必须 Intel CPU","interpretation":"CPU must be Intel.","origin":"llm"},{"id":"llm-workloadTarget-1","target":"workloadTarget","value":"ramcapacitygb","strength":"required","sourceText":"至少 96GB RAM","interpretation":"At least 96GB of RAM is required.","origin":"llm"},{"id":"llm-noise-2","target":"noise","value":"quiet","strength":"preferred","sourceText":"安静","interpretation":"System should be quiet.","origin":"llm"},{"id":"llm-upgradeability-3","target":"upgradeability","value":"high","strength":"preferred","sourceText":"后续好升级","interpretation":"System should be easy to upgrade in the future.","origin":"llm"},{"id":"llm-workloadTarget-4","target":"workloadTarget","value":"lowpower","strength":"preferred","sourceText":"低功耗","interpretation":"System should have low power consumption.","origin":"llm"},{"id":"llm-lighting-5","target":"lighting","value":"rgb","strength":"excluded","sourceText":"不需要 RGB","interpretation":"No RGB lighting.","origin":"llm"}]}</x:v>
      </x:c>
      <x:c r="D10" s="34" t="str">
        <x:v>cpu: Core i7-14700K
gpu: Radeon RX 9070
motherboard: MSI Z790 Tomahawk MAX WiFi
ram: Corsair Vengeance 96GB DDR5-6400
storage: Crucial T500 4TB
cooler: Arctic Liquid Freezer III Pro 360
case: Fractal North
psu: Thermaltake Toughpower GF3 1200W Snow</x:v>
      </x:c>
      <x:c r="E10" s="34" t="str">
        <x:v>PASS · CPU socket: Core i7-14700K uses LGA1700, matching MSI Z790 Tomahawk MAX WiFi.
PASS · Memory type: DDR5 memory matches the motherboard.
PASS · Motherboard fit: ATX motherboard fits inside Fractal North.
PASS · GPU clearance: Radeon RX 9070 is 300mm and fits the 355mm clearance.
PASS · Cooler clearance: Arctic Liquid Freezer III Pro 360 uses a radiator mount instead of tower clearance.
PASS · Power headroom: Estimated draw is 614W. 1200W provides healthy headroom.
PASS · PSU fit: ATX PSU is supported by Fractal North.
PASS · Cooling capacity: 350W cooler rating covers the CPU's 253W rating.
PASS · Chipset pairing: Z790 is a sensible match for this enthusiast-tier CPU.
PASS · Storage interface: NVMe storage is supported by the motherboard.</x:v>
      </x:c>
      <x:c r="F10" s="34" t="str">
        <x:v>cpu: Core i7-14700K — INTEL CPU hard constraint. Weighted score 83.2. Core i7-14700K productivity profile [cpu-14700k-productivity, cpu-14700k-high-refresh]
gpu: Radeon RX 9070 — Weighted score 76.0. 4K gaming allocation [gaming-4k]
motherboard: MSI Z790 Tomahawk MAX WiFi — Weighted score 86.7. AM5 platform upgradeability [upgrade-am5]
ram: Corsair Vengeance 96GB DDR5-6400 — Weighted score 84.7. Memory capacity for development [ram-capacity-dev, ram-capacity-ai]
storage: Crucial T500 4TB — Weighted score 80.6. NVMe capacity for workstation use [storage-workstation]
cooler: Arctic Liquid Freezer III Pro 360 — Weighted score 72.2. Selected from structured specifications and deterministic constraints. []
case: Fractal North — Weighted score 79.9. Fractal North balanced airflow [case-north-airflow]
psu: Thermaltake Toughpower GF3 1200W Snow — Weighted score 85.6. Power supply headroom rule [psu-headroom]</x:v>
      </x:c>
      <x:c r="G10" s="34" t="str">
        <x:v>## Summary
This build pairs an Intel Core i7-14700K with an RTX 4090 and 96GB of RAM, totaling $3,263 CAD. It is fully compatible and meets all required constraints, including Intel CPU, 96GB RAM, and no RGB lighting.
## Trade-offs
The Core i7-14700K has high peak power draw and cooling demands, conflicting with the low-power and quiet preferences [K1][K3]. The RTX 4090 is oversized for 4K 60 FPS development work, adding cost and power consumption beyond what the workload requires [K4][K5].
## Upgrade path
The LGA1700 socket offers limited future CPU upgrade options, reducing long-term upgradeability [K3]. The 96GB RAM capacity leaves no room for memory expansion without replacing modules.</x:v>
      </x:c>
      <x:c r="H10" s="35" t="str">
        <x:v>Performance variant (3332): Higher GPU performance or VRAM at increased cost and power.
Capacity variant (3427): More multitasking and dataset headroom with no direct gaming uplift.</x:v>
      </x:c>
    </x:row>
    <x:row r="11" ht="120" customHeight="1">
      <x:c r="A11" s="33" t="str">
        <x:v>T06</x:v>
      </x:c>
      <x:c r="B11" s="34" t="str">
        <x:v>3500 美元做 Premiere Pro、DaVinci Resolve 的 4K 剪辑和调色，英伟达显卡，至少 4TB SSD。外观要纯白、海景房、RGB，可以上 360 水冷。</x:v>
      </x:c>
      <x:c r="C11" s="34" t="str">
        <x:v>{"budget":3500,"currency":"USD","country":"US","useCase":"video","resolution":"4k","targetFps":null,"games":"","aiWorkloads":[],"vramPreference":null,"storageCapacityTb":4,"developerWorkloads":[],"preferredCpuBrand":"none","preferredGpuBrand":"nvidia","preferredColor":"white","preferredCooling":"aio","preferredCaseStyle":"panoramic","preferQuiet":false,"preferRgb":true,"preferSmallFormFactor":false,"preferUpgradeability":false,"preferLowPower":false,"existingPartIds":[],"constraints":[{"id":"llm-gpuBrand-0","target":"gpuBrand","value":"nvidia","strength":"required","sourceText":"英伟达显卡","interpretation":"User explicitly requires an NVIDIA GPU.","origin":"llm"},{"id":"llm-color-1","target":"color","value":"white","strength":"required","sourceText":"纯白","interpretation":"User requires all-white visible components.","origin":"llm"},{"id":"llm-caseStyle-2","target":"caseStyle","value":"panoramic","strength":"preferred","sourceText":"海景房","interpretation":"User prefers a panoramic tempered-glass case.","origin":"llm"},{"id":"llm-lighting-3","target":"lighting","value":"rgb","strength":"preferred","sourceText":"RGB","interpretation":"User prefers RGB lighting on visible components.","origin":"llm"},{"id":"llm-cooling-4","target":"cooling","value":"aio","strength":"preferred","sourceText":"360 水冷","interpretation":"User prefers a 360mm AIO liquid cooler.","origin":"llm"},{"id":"llm-workloadTarget-5","target":"workloadTarget","value":"4k video editing and color grading","strength":"preferred","sourceText":"Premiere Pro、DaVinci Resolve 的 4K 剪辑和调色","interpretation":"User targets 4K video editing and color grading in Premiere Pro and DaVinci Resolve.","origin":"llm"}]}</x:v>
      </x:c>
      <x:c r="D11" s="34" t="str">
        <x:v>cpu: Core i7-14700K
gpu: Gigabyte AERO OC GeForce RTX 4090
motherboard: ASUS ROG Strix Z790-A Gaming WiFi II
ram: Corsair Vengeance RGB 64GB DDR5-6000 White
storage: Crucial T500 4TB
cooler: Corsair NAUTILUS 360 RS ARGB White
case: Corsair 3500X ARGB White
psu: Thermaltake Toughpower GF3 1200W Snow</x:v>
      </x:c>
      <x:c r="E11" s="34" t="str">
        <x:v>PASS · CPU socket: Core i7-14700K uses LGA1700, matching ASUS ROG Strix Z790-A Gaming WiFi II.
PASS · Memory type: DDR5 memory matches the motherboard.
PASS · Motherboard fit: ATX motherboard fits inside Corsair 3500X ARGB White.
PASS · GPU clearance: Gigabyte AERO OC GeForce RTX 4090 is 340mm and fits the 410mm clearance.
PASS · Cooler clearance: Corsair NAUTILUS 360 RS ARGB White uses a radiator mount instead of tower clearance.
WARNING · Power headroom: Estimated draw is 832W. 1200W is safe, but the upgrade margin is modest.
PASS · PSU fit: ATX PSU is supported by Corsair 3500X ARGB White.
PASS · Cooling capacity: 330W cooler rating covers the CPU's 253W rating.
PASS · Chipset pairing: Z790 is a sensible match for this enthusiast-tier CPU.
PASS · Storage interface: NVMe storage is supported by the motherboard.</x:v>
      </x:c>
      <x:c r="F11" s="34" t="str">
        <x:v>cpu: Core i7-14700K — Weighted score 76.3. Core i7-14700K productivity profile [cpu-14700k-productivity]
gpu: Gigabyte AERO OC GeForce RTX 4090 — NVIDIA GPU hard constraint. Weighted score 80.6. 4K gaming allocation [gaming-4k, appearance-white-rgb]
motherboard: ASUS ROG Strix Z790-A Gaming WiFi II — white appearance constraint. Weighted score 91.7. Planning a white RGB build [appearance-white-rgb, motherboard-z790-white]
ram: Corsair Vengeance RGB 64GB DDR5-6000 White — white appearance constraint. Weighted score 87.7. Planning a white RGB build [appearance-white-rgb]
storage: Crucial T500 4TB — Weighted score 80.5. NVMe capacity for workstation use [storage-workstation]
cooler: Corsair NAUTILUS 360 RS ARGB White — white appearance constraint. Weighted score 87.9. Planning a white RGB build [appearance-white-rgb]
case: Corsair 3500X ARGB White — white appearance constraint. Weighted score 90.4. Planning a white RGB build [appearance-white-rgb]
psu: Thermaltake Toughpower GF3 1200W Snow — white appearance constraint. Weighted score 87.7. ATX 3.1 and modern GPU power planning [psu-atx31-modern-gpu]</x:v>
      </x:c>
      <x:c r="G11" s="34" t="str">
        <x:v>## Summary
This $3,702 build delivers a high-end 4K video editing and color grading workstation with an NVIDIA GPU, all-white components, panoramic case, RGB lighting, and 360mm AIO cooling. The total slightly exceeds the $3,500 budget, and the estimated 832W load triggers a power headroom warning.
## Trade-offs
The RTX 5080’s 16GB VRAM may limit larger local AI workloads [K1], and the power headroom warning suggests the PSU could be marginal under sustained full load. The white panoramic case and RGB focus add aesthetic value but increase physical size and cost [K2].
## Upgrade path
A future GPU upgrade to an RTX 4090 would provide 24GB VRAM for heavier AI tasks [K5], but requires verifying PSU capacity and case clearance. Adding more storage or RAM is straightforward given the motherboard’s support.</x:v>
      </x:c>
      <x:c r="H11" s="35" t="str">
        <x:v>Capacity variant (3782): More multitasking and dataset headroom with no direct gaming uplift.</x:v>
      </x:c>
    </x:row>
    <x:row r="12" ht="120" customHeight="1">
      <x:c r="A12" s="33" t="str">
        <x:v>T07</x:v>
      </x:c>
      <x:c r="B12" s="34" t="str">
        <x:v>Build an actually compact Mini-ITX/SFF PC under USD 2,600 for 1440p gaming and coding. Air cooling only, SFX PSU, no RGB, low noise. Do not sacrifice compatibility just to hit the size target.</x:v>
      </x:c>
      <x:c r="C12" s="34" t="str">
        <x:v>{"budget":2600,"currency":"USD","country":"US","useCase":"gaming","resolution":"1440p","targetFps":144,"games":"","aiWorkloads":[],"vramPreference":12,"ramCapacityGb":32,"storageCapacityTb":2,"developerWorkloads":["coding"],"preferredCpuBrand":"amd","preferredGpuBrand":"nvidia","preferredColor":"none","preferredCooling":"air","preferredCaseStyle":"traditional","preferQuiet":true,"preferRgb":false,"preferSmallFormFactor":true,"preferUpgradeability":false,"preferLowPower":false,"existingPartIds":[],"constraints":[{"id":"llm-formFactor-0","target":"formFactor","value":"sff","strength":"required","sourceText":"compact Mini-ITX/SFF PC","interpretation":"User explicitly requests a compact Mini-ITX or small form factor build, which tightens motherboard, PSU, and case constraints.","origin":"llm"},{"id":"llm-cooling-1","target":"cooling","value":"air","strength":"required","sourceText":"Air cooling only","interpretation":"User explicitly requires air cooling, excluding any liquid cooling solutions.","origin":"llm"},{"id":"llm-noise-2","target":"noise","value":"quiet","strength":"preferred","sourceText":"low noise","interpretation":"User prefers a quiet system, influencing component selection toward quieter models.","origin":"llm"},{"id":"llm-lighting-3","target":"lighting","value":"rgb","strength":"excluded","sourceText":"no RGB","interpretation":"User explicitly excludes RGB lighting; components with RGB should be avoided when possible.","origin":"llm"},{"id":"llm-workloadTarget-4","target":"workloadTarget","value":"1440p gaming and coding","strength":"preferred","sourceText":"1440p gaming and coding","interpretation":"User targets 1440p resolution for gaming and coding workloads, guiding GPU and CPU selection.","origin":"llm"}]}</x:v>
      </x:c>
      <x:c r="D12" s="34" t="str">
        <x:v>cpu: Ryzen 7 9800X3D
gpu: GeForce RTX 5070 Founders Edition
motherboard: ASUS B650E-I Gaming WiFi
ram: Corsair Vengeance 64GB DDR5-6000
storage: Samsung 9100 Pro 2TB
cooler: Thermalright Phantom Spirit 120 SE
case: Cooler Master NR200P
psu: Corsair SF1000 Platinum</x:v>
      </x:c>
      <x:c r="E12" s="34" t="str">
        <x:v>PASS · CPU socket: Ryzen 7 9800X3D uses AM5, matching ASUS B650E-I Gaming WiFi.
PASS · Memory type: DDR5 memory matches the motherboard.
PASS · Motherboard fit: Mini-ITX motherboard fits inside Cooler Master NR200P.
PASS · GPU clearance: GeForce RTX 5070 Founders Edition is 242mm and fits the 330mm clearance.
PASS · Cooler clearance: Thermalright Phantom Spirit 120 SE fits with 1mm clearance.
PASS · Power headroom: Estimated draw is 489W. 1000W provides healthy headroom.
PASS · PSU fit: SFX PSU is supported by Cooler Master NR200P.
PASS · Cooling capacity: 240W cooler rating covers the CPU's 120W rating.
PASS · Chipset pairing: B650E is a sensible match for this enthusiast-tier CPU.
PASS · Storage interface: NVMe storage is supported by the motherboard.</x:v>
      </x:c>
      <x:c r="F12" s="34" t="str">
        <x:v>cpu: Ryzen 7 9800X3D — AMD CPU hard constraint. Weighted score 94.4. 1080p gaming allocation [gaming-1080p, cpu-9800x3d-gaming]
gpu: GeForce RTX 5070 Founders Edition — NVIDIA GPU hard constraint. Weighted score 86.4. 1440p gaming allocation [gaming-1440p, gaming-4k]
motherboard: ASUS B650E-I Gaming WiFi — Weighted score 76.3. Selected from structured specifications and deterministic constraints. []
ram: Corsair Vengeance 64GB DDR5-6000 — Weighted score 78.0. Selected from structured specifications and deterministic constraints. []
storage: Samsung 9100 Pro 2TB — Weighted score 79.6. PCIe 5.0 SSD performance and thermal trade-off [storage-pcie5-thermal]
cooler: Thermalright Phantom Spirit 120 SE — Weighted score 75.5. Cooling capacity rule [cooling-tdp]
case: Cooler Master NR200P — Weighted score 84.2. NR200P small-form-factor constraints [case-nr200-sff, case-clearance]
psu: Corsair SF1000 Platinum — Weighted score 78.3. Selected from structured specifications and deterministic constraints. []</x:v>
      </x:c>
      <x:c r="G12" s="34" t="str">
        <x:v>## Summary
This $2,208 build delivers a high-refresh 1440p gaming and coding PC in a compact Mini-ITX form factor, using an AMD CPU and Nvidia GPU with air cooling and no RGB. All compatibility checks pass, and the total is under budget.
## Trade-offs
The RTX 4070 Super’s 12GB VRAM may limit future high-VRAM games or larger local AI workloads compared to a 16GB card [K2]. The Mini-ITX case (NR200P) requires an SFX power supply and restricts cooler height, which can increase cost and limit cooling options [K4].
## Upgrade path
A future GPU upgrade to an RTX 5070 Ti (16GB) would improve VRAM and 1440p/entry 4K performance [K5], but the SFX PSU and case clearance must be verified for the new card’s dimensions and power draw.</x:v>
      </x:c>
      <x:c r="H12" s="35" t="str">
        <x:v>Performance variant (2658): Higher GPU performance or VRAM at increased cost and power.
Capacity variant (2288): More multitasking and dataset headroom with no direct gaming uplift.</x:v>
      </x:c>
    </x:row>
    <x:row r="13" ht="120" customHeight="1">
      <x:c r="A13" s="33" t="str">
        <x:v>T08</x:v>
      </x:c>
      <x:c r="B13" s="34" t="str">
        <x:v>I need an efficient, low-noise Linux development desktop around $1,300 for VS Code, databases, Docker and occasional 1080p gaming. 64 GB RAM, no RGB, prioritize low power over peak FPS.</x:v>
      </x:c>
      <x:c r="C13" s="34" t="str">
        <x:v>{"budget":1300,"currency":"USD","country":"US","useCase":"development","resolution":"1080p","targetFps":60,"games":"occasional 1080p gaming","aiWorkloads":[],"vramPreference":12,"ramCapacityGb":64,"storageCapacityTb":1,"developerWorkloads":["VS Code","databases","Docker"],"preferredCpuBrand":"none","preferredGpuBrand":"none","preferredColor":"none","preferredCooling":"none","preferredCaseStyle":"none","preferQuiet":true,"preferRgb":false,"preferSmallFormFactor":false,"preferUpgradeability":false,"preferLowPower":true,"existingPartIds":[],"constraints":[{"id":"llm-noise-0","target":"noise","value":"quiet","strength":"preferred","sourceText":"low-noise","interpretation":"Acoustic optimization across case, cooler, PSU, and GPU.","origin":"llm"},{"id":"llm-workloadTarget-1","target":"workloadTarget","value":"development","strength":"preferred","sourceText":"Linux development desktop","interpretation":"System optimized for development workloads including VS Code, databases, and Docker.","origin":"llm"},{"id":"llm-workloadTarget-2","target":"workloadTarget","value":"gaming","strength":"preferred","sourceText":"occasional 1080p gaming","interpretation":"Capable of 1080p gaming at reasonable settings.","origin":"llm"},{"id":"llm-lighting-3","target":"lighting","value":"rgb","strength":"excluded","sourceText":"no RGB","interpretation":"Exclude illuminated components where possible.","origin":"llm"},{"id":"llm-workloadTarget-4","target":"workloadTarget","value":"low power","strength":"preferred","sourceText":"prioritize low power over peak FPS","interpretation":"Select components with lower power consumption and efficiency over raw gaming performance.","origin":"llm"}]}</x:v>
      </x:c>
      <x:c r="D13" s="34" t="str">
        <x:v>cpu: Ryzen 7 9700X
gpu: Intel Arc B580 Limited Edition
motherboard: ASRock B650M Pro RS
ram: Corsair Vengeance 64GB DDR5-6000
storage: TeamGroup MP44 2TB
cooler: Thermalright Phantom Spirit 120 SE
case: NZXT H5 Flow
psu: Corsair RM650e</x:v>
      </x:c>
      <x:c r="E13" s="34" t="str">
        <x:v>PASS · CPU socket: Ryzen 7 9700X uses AM5, matching ASRock B650M Pro RS.
PASS · Memory type: DDR5 memory matches the motherboard.
PASS · Motherboard fit: Micro-ATX motherboard fits inside NZXT H5 Flow.
PASS · GPU clearance: Intel Arc B580 Limited Edition is 272mm and fits the 365mm clearance.
PASS · Cooler clearance: Thermalright Phantom Spirit 120 SE fits with 11mm clearance.
PASS · Power headroom: Estimated draw is 374W. 650W provides healthy headroom.
PASS · PSU fit: ATX PSU is supported by NZXT H5 Flow.
PASS · Cooling capacity: 240W cooler rating covers the CPU's 65W rating.
PASS · Chipset pairing: B650 is a sensible match for this high-tier CPU.
PASS · Storage interface: NVMe storage is supported by the motherboard.</x:v>
      </x:c>
      <x:c r="F13" s="34" t="str">
        <x:v>cpu: Ryzen 7 9700X — Weighted score 84.7. 1080p gaming allocation [gaming-1080p]
gpu: Intel Arc B580 Limited Edition — Weighted score 76.7. Intel Arc B580 value profile [gpu-arc-b580-value]
motherboard: ASRock B650M Pro RS — Weighted score 72.1. Selected from structured specifications and deterministic constraints. []
ram: Corsair Vengeance 64GB DDR5-6000 — Weighted score 85.3. Memory capacity for development [ram-capacity-dev]
storage: TeamGroup MP44 2TB — Weighted score 80.2. NVMe capacity for workstation use [storage-workstation]
cooler: Thermalright Phantom Spirit 120 SE — Weighted score 73.0. Cooling capacity rule [cooling-tdp]
case: NZXT H5 Flow — Weighted score 81.2. Case clearance constraints [case-clearance]
psu: Corsair RM650e — Weighted score 54.3. Selected from structured specifications and deterministic constraints. []</x:v>
      </x:c>
      <x:c r="G13" s="34" t="str">
        <x:v>## Summary
This $1,293 build delivers a 12-core Ryzen 9 7900X with 64GB RAM and an RTX 5060 Ti 16GB, optimized for Linux development workloads like VS Code, databases, and Docker while handling occasional 1080p gaming. The system is fully compatible and stays within the 1TB storage target.
## Trade-offs
The Ryzen 9 7900X's 170W TDP conflicts with the low-power preference, requiring stronger cooling than 65W alternatives [K5]. The RTX 5060 Ti 16GB provides ample VRAM for development but its midrange compute throughput limits raw gaming performance at higher settings [K3].
## Upgrade path
Adding a PCIe 5.0 SSD later would boost sequential throughput for large data workflows, though at higher cost and heat than the current PCIe 4.0 drive [K4]. The 64GB RAM capacity already exceeds the 32GB baseline for heavy container and database workloads [K1].</x:v>
      </x:c>
      <x:c r="H13" s="35" t="str">
        <x:v>Performance variant (1473): Higher GPU performance or VRAM at increased cost and power.
Capacity variant (1373): More multitasking and dataset headroom with no direct gaming uplift.</x:v>
      </x:c>
    </x:row>
    <x:row r="14" ht="120" customHeight="1">
      <x:c r="A14" s="33" t="str">
        <x:v>T09</x:v>
      </x:c>
      <x:c r="B14" s="34" t="str">
        <x:v>人民币 15000 元，主要打 2K 144 帧游戏。我喜欢白色带灯，CPU 和显卡都想用 AMD，别太吵，预算不要爆。</x:v>
      </x:c>
      <x:c r="C14" s="34" t="str">
        <x:v>{"budget":15000,"currency":"CNY","country":"China","useCase":"gaming","resolution":"1440p","targetFps":144,"games":"","aiWorkloads":[],"vramPreference":16,"ramCapacityGb":32,"storageCapacityTb":2,"developerWorkloads":[],"preferredCpuBrand":"amd","preferredGpuBrand":"amd","preferredColor":"white","preferredCooling":"none","preferredCaseStyle":"none","preferQuiet":true,"preferRgb":true,"preferSmallFormFactor":false,"preferUpgradeability":false,"preferLowPower":false,"existingPartIds":[],"constraints":[{"id":"llm-cpuBrand-0","target":"cpuBrand","value":"amd","strength":"required","sourceText":"CPU 和显卡都想用 AMD","interpretation":"CPU brand must be AMD.","origin":"llm"},{"id":"llm-gpuBrand-1","target":"gpuBrand","value":"amd","strength":"required","sourceText":"CPU 和显卡都想用 AMD","interpretation":"GPU brand must be AMD.","origin":"llm"},{"id":"llm-color-2","target":"color","value":"white","strength":"preferred","sourceText":"白色带灯","interpretation":"White color scheme is preferred.","origin":"llm"},{"id":"llm-lighting-3","target":"lighting","value":"rgb","strength":"preferred","sourceText":"带灯","interpretation":"RGB lighting is preferred.","origin":"llm"},{"id":"llm-noise-4","target":"noise","value":"quiet","strength":"preferred","sourceText":"别太吵","interpretation":"Quiet operation is preferred.","origin":"llm"},{"id":"llm-workloadTarget-5","target":"workloadTarget","value":"2k 144帧","strength":"preferred","sourceText":"主要打 2K 144 帧游戏","interpretation":"Target is 1440p 144 FPS gaming, not guaranteed.","origin":"llm"}]}</x:v>
      </x:c>
      <x:c r="D14" s="34" t="str">
        <x:v>cpu: Ryzen 7 9800X3D
gpu: Radeon RX 9070 XT
motherboard: MSI B650 Tomahawk WiFi
ram: G.Skill Trident Z5 Neo RGB 48GB DDR5-6000
storage: TeamGroup MP44 2TB
cooler: Corsair NAUTILUS 360 RS ARGB White
case: Corsair 3500X ARGB White
psu: Seasonic Focus GX-850</x:v>
      </x:c>
      <x:c r="E14" s="34" t="str">
        <x:v>PASS · CPU socket: Ryzen 7 9800X3D uses AM5, matching MSI B650 Tomahawk WiFi.
PASS · Memory type: DDR5 memory matches the motherboard.
PASS · Motherboard fit: ATX motherboard fits inside Corsair 3500X ARGB White.
PASS · GPU clearance: Radeon RX 9070 XT is 320mm and fits the 410mm clearance.
PASS · Cooler clearance: Corsair NAUTILUS 360 RS ARGB White uses a radiator mount instead of tower clearance.
PASS · Power headroom: Estimated draw is 537W. 850W provides healthy headroom.
PASS · PSU fit: ATX PSU is supported by Corsair 3500X ARGB White.
PASS · Cooling capacity: 330W cooler rating covers the CPU's 120W rating.
WARNING · Chipset pairing: B650 may constrain a enthusiast-tier CPU. Consider a higher-tier board.
PASS · Storage interface: NVMe storage is supported by the motherboard.</x:v>
      </x:c>
      <x:c r="F14" s="34" t="str">
        <x:v>cpu: Ryzen 7 9800X3D — AMD CPU hard constraint. Weighted score 91.8. 1080p gaming allocation [gaming-1080p, cpu-9800x3d-gaming]
gpu: Radeon RX 9070 XT — AMD GPU hard constraint. Weighted score 90.6. 1440p gaming allocation [gaming-1440p, gpu-rdna4-9070xt, appearance-white-rgb]
motherboard: MSI B650 Tomahawk WiFi — Weighted score 87.8. Planning a white RGB build [appearance-white-rgb]
ram: G.Skill Trident Z5 Neo RGB 48GB DDR5-6000 — Weighted score 89.4. Planning a white RGB build [appearance-white-rgb]
storage: TeamGroup MP44 2TB — Weighted score 76.3. Selected from structured specifications and deterministic constraints. []
cooler: Corsair NAUTILUS 360 RS ARGB White — white appearance constraint. Weighted score 82.2. Planning a white RGB build [appearance-white-rgb]
case: Corsair 3500X ARGB White — white appearance constraint. Weighted score 93.5. Planning a white RGB build [appearance-white-rgb, case-clearance]
psu: Seasonic Focus GX-850 — Weighted score 74.6. 850W Gold mainstream high-end fit [psu-850]</x:v>
      </x:c>
      <x:c r="G14" s="34" t="str">
        <x:v>## Summary
This AMD-based build targets 1440p 144 FPS gaming within a ¥14,298 total, using a white/RGB aesthetic and quiet operation. All compatibility checks pass except a chipset pairing warning, which does not affect functionality.
## Trade-offs
The RX 7800 XT provides strong 1440p raster value with 16GB VRAM [K2], but may not consistently hit 144 FPS in the most demanding titles at max settings. The chipset warning indicates a potential feature mismatch, though it does not prevent normal operation.
## Upgrade path
The 750W PSU and AM5 platform allow future GPU upgrades to a higher-tier AMD card like the RX 9070 XT [K4] or RX 7900 XTX [K5] without changing the power supply. CPU can be upgraded to a newer AM5 model later.</x:v>
      </x:c>
      <x:c r="H14" s="35" t="str">
        <x:v>Value-focused variant (12485): Lower cost with reduced graphics or compute headroom.
Performance variant (16473): Higher GPU performance or VRAM at increased cost and power.
Capacity variant (14660): More multitasking and dataset headroom with no direct gaming uplift.</x:v>
      </x:c>
    </x:row>
    <x:row r="15" ht="120" customHeight="1">
      <x:c r="A15" s="38" t="str">
        <x:v>T10</x:v>
      </x:c>
      <x:c r="B15" s="39" t="str">
        <x:v>USD 6,500 workstation for Unreal Engine 5 shader compilation, Blender Cycles and large C++ builds. Use a Ryzen 9 9950X3D and GeForce RTX 5090, 128 GB RAM and 4 TB NVMe. Reliability and cooling matter more than looks.</x:v>
      </x:c>
      <x:c r="C15" s="39" t="str">
        <x:v>{"budget":6500,"currency":"USD","country":"US","useCase":"development","resolution":"4k","targetFps":60,"games":"","aiWorkloads":[],"vramPreference":32,"ramCapacityGb":128,"storageCapacityTb":4,"developerWorkloads":["Unreal Engine 5 shader compilation","Blender Cycles","large C++ builds"],"preferredCpuBrand":"amd","preferredGpuBrand":"nvidia","preferredColor":"none","preferredCooling":"none","preferredCaseStyle":"traditional","preferQuiet":false,"preferRgb":false,"preferSmallFormFactor":false,"preferUpgradeability":true,"preferLowPower":false,"existingPartIds":["cpu-r9-9950x3d","gpu-5090"],"constraints":[{"id":"llm-cpuBrand-0","target":"cpuBrand","value":"amd","strength":"required","sourceText":"Ryzen 9 9950X3D","interpretation":"Ryzen 9 9950X3D explicitly identifies an AMD CPU.","origin":"llm"},{"id":"llm-gpuBrand-1","target":"gpuBrand","value":"nvidia","strength":"required","sourceText":"GeForce RTX 5090","interpretation":"GeForce RTX 5090 explicitly identifies an NVIDIA GPU.","origin":"llm"},{"id":"llm-workloadTarget-2","target":"workloadTarget","value":"unreal engine 5 shader compilation, blender cycles, large c++ builds","strength":"required","sourceText":"workstation for Unreal Engine 5 shader compilation, Blender Cycles and large C++ builds","interpretation":"The system is intended for these specific developer workloads.","origin":"llm"},{"id":"llm-upgradeability-3","target":"upgradeability","value":"high","strength":"preferred","sourceText":"Reliability and cooling matter more than looks","interpretation":"Reliability and cooling are prioritized over aesthetics, implying a preference for robust components and thermal performance.","origin":"llm"}]}</x:v>
      </x:c>
      <x:c r="D15" s="39" t="str">
        <x:v>cpu: Ryzen 9 9950X3D
gpu: GeForce RTX 5090 Founders Edition
motherboard: ASUS ProArt X670E-Creator
ram: Kingston Fury 128GB DDR5-5600
storage: Samsung 9100 Pro 4TB
cooler: Lian Li Galahad II Trinity 360 White
case: Lian Li O11D EVO RGB White
psu: be quiet! Dark Power Pro 13 1600W</x:v>
      </x:c>
      <x:c r="E15" s="39" t="str">
        <x:v>PASS · CPU socket: Ryzen 9 9950X3D uses AM5, matching ASUS ProArt X670E-Creator.
PASS · Memory type: DDR5 memory matches the motherboard.
PASS · Motherboard fit: ATX motherboard fits inside Lian Li O11D EVO RGB White.
PASS · GPU clearance: GeForce RTX 5090 Founders Edition is 304mm and fits the 455mm clearance.
PASS · Cooler clearance: Lian Li Galahad II Trinity 360 White uses a radiator mount instead of tower clearance.
PASS · Power headroom: Estimated draw is 898W. 1600W provides healthy headroom.
PASS · PSU fit: ATX PSU is supported by Lian Li O11D EVO RGB White.
PASS · Cooling capacity: 320W cooler rating covers the CPU's 170W rating.
PASS · Chipset pairing: X670E is a sensible match for this enthusiast-tier CPU.
PASS · Storage interface: NVMe storage is supported by the motherboard.</x:v>
      </x:c>
      <x:c r="F15" s="39" t="str">
        <x:v>cpu: Ryzen 9 9950X3D — AMD CPU hard constraint. Weighted score 89.9. Ryzen 9 9950X3D mixed gaming and creation profile [cpu-9950x3d-mixed]
gpu: GeForce RTX 5090 Founders Edition — NVIDIA GPU hard constraint. Weighted score 86.6. RTX 5080 4K and creator profile [gpu-5080-blackwell, gaming-4k, gaming-4k-240]
motherboard: ASUS ProArt X670E-Creator — Weighted score 86.5. X670E workstation expansion [motherboard-x670e]
ram: Kingston Fury 128GB DDR5-5600 — Weighted score 76.8. Memory capacity for development [ram-capacity-dev]
storage: Samsung 9100 Pro 4TB — Weighted score 80.2. NVMe capacity for workstation use [storage-workstation]
cooler: Lian Li Galahad II Trinity 360 White — Weighted score 68.5. Selected from structured specifications and deterministic constraints. []
case: Lian Li O11D EVO RGB White — Weighted score 74.5. Selected from structured specifications and deterministic constraints. []
psu: be quiet! Dark Power Pro 13 1600W — Weighted score 87.4. Power supply headroom rule [psu-headroom, psu-atx31-modern-gpu]</x:v>
      </x:c>
      <x:c r="G15" s="39" t="str">
        <x:v>## Summary
This $4,992 build pairs the existing Ryzen 9 9950X3D and RTX 5090 with 128GB RAM, 4TB storage, and robust cooling, fully compatible for Unreal Engine 5 shader compilation, Blender Cycles, and large C++ builds at 4K 60fps.
## Trade-offs
The 898W estimated draw requires a high-wattage PSU and strong cooling, but the RTX 5090’s massive GPU power is essential for 4K development workloads [K4]. The 128GB RAM and 4TB storage meet your VRAM and capacity needs without compromise.
## Upgrade path
The AM5 socket and high-wattage PSU allow future CPU or GPU upgrades, though the RTX 5090 is already the top NVIDIA card. Adding more storage or upgrading to faster RAM are straightforward later options.</x:v>
      </x:c>
      <x:c r="H15" s="40" t="str">
        <x:v>Value-focused variant (4892): Lower cost with reduced graphics or compute headroom.</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8" hidden="0" customWidth="1"/>
    <x:col min="3" max="3" width="28" hidden="0" customWidth="1"/>
    <x:col min="4" max="4" width="3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34" hidden="0" customWidth="1"/>
    <x:col min="12" max="12" width="34" hidden="0" customWidth="1"/>
    <x:col min="13" max="13" width="34" hidden="0" customWidth="1"/>
    <x:col min="14" max="14" width="70" hidden="0" customWidth="1"/>
  </x:cols>
  <x:sheetData>
    <x:row r="1" ht="38" customHeight="1">
      <x:c r="A1" s="3" t="str">
        <x:v>RAG Evidence Audit</x:v>
      </x:c>
      <x:c r="B1" s="3"/>
      <x:c r="C1" s="3"/>
      <x:c r="D1" s="3"/>
      <x:c r="E1" s="3"/>
      <x:c r="F1" s="3"/>
      <x:c r="G1" s="3"/>
      <x:c r="H1" s="3"/>
      <x:c r="I1" s="3"/>
      <x:c r="J1" s="3"/>
      <x:c r="K1" s="3"/>
      <x:c r="L1" s="3"/>
      <x:c r="M1" s="3"/>
      <x:c r="N1" s="3"/>
    </x:row>
    <x:row r="2" ht="22" customHeight="1">
      <x:c r="A2" s="6" t="str">
        <x:v>Per-test vector hits returned by PostgreSQL/pgvector from the remote Ollama embedding space</x:v>
      </x:c>
      <x:c r="B2" s="6"/>
      <x:c r="C2" s="6"/>
      <x:c r="D2" s="6"/>
      <x:c r="E2" s="6"/>
      <x:c r="F2" s="6"/>
      <x:c r="G2" s="6"/>
      <x:c r="H2" s="6"/>
      <x:c r="I2" s="6"/>
      <x:c r="J2" s="6"/>
      <x:c r="K2" s="6"/>
      <x:c r="L2" s="6"/>
      <x:c r="M2" s="6"/>
      <x:c r="N2" s="6"/>
    </x:row>
    <x:row r="5" ht="28" customHeight="1">
      <x:c r="A5" s="30" t="str">
        <x:v>Test</x:v>
      </x:c>
      <x:c r="B5" s="31" t="str">
        <x:v>Rank</x:v>
      </x:c>
      <x:c r="C5" s="31" t="str">
        <x:v>Chunk ID</x:v>
      </x:c>
      <x:c r="D5" s="31" t="str">
        <x:v>Title</x:v>
      </x:c>
      <x:c r="E5" s="31" t="str">
        <x:v>Category</x:v>
      </x:c>
      <x:c r="F5" s="31" t="str">
        <x:v>Relevance</x:v>
      </x:c>
      <x:c r="G5" s="31" t="str">
        <x:v>Cosine similarity</x:v>
      </x:c>
      <x:c r="H5" s="31" t="str">
        <x:v>Mode</x:v>
      </x:c>
      <x:c r="I5" s="31" t="str">
        <x:v>Provider</x:v>
      </x:c>
      <x:c r="J5" s="31" t="str">
        <x:v>Embedding model</x:v>
      </x:c>
      <x:c r="K5" s="31" t="str">
        <x:v>Tags</x:v>
      </x:c>
      <x:c r="L5" s="31" t="str">
        <x:v>Source title</x:v>
      </x:c>
      <x:c r="M5" s="31" t="str">
        <x:v>Source URL</x:v>
      </x:c>
      <x:c r="N5" s="32" t="str">
        <x:v>Snippet</x:v>
      </x:c>
    </x:row>
    <x:row r="6">
      <x:c r="A6" s="33" t="str">
        <x:v>T01</x:v>
      </x:c>
      <x:c r="B6" s="34" t="n">
        <x:v>1</x:v>
      </x:c>
      <x:c r="C6" s="34" t="str">
        <x:v>gaming-1440p</x:v>
      </x:c>
      <x:c r="D6" s="34" t="str">
        <x:v>1440p gaming allocation</x:v>
      </x:c>
      <x:c r="E6" s="34" t="str">
        <x:v>workload</x:v>
      </x:c>
      <x:c r="F6" s="83" t="n">
        <x:v>77</x:v>
      </x:c>
      <x:c r="G6" s="83" t="n">
        <x:v>0.723</x:v>
      </x:c>
      <x:c r="H6" s="34" t="str">
        <x:v>vector</x:v>
      </x:c>
      <x:c r="I6" s="34" t="str">
        <x:v>ollama</x:v>
      </x:c>
      <x:c r="J6" s="34" t="str">
        <x:v>nomic-embed-text</x:v>
      </x:c>
      <x:c r="K6" s="34" t="str">
        <x:v>gaming, 1440p, gpu, value</x:v>
      </x:c>
      <x:c r="L6" s="34" t="str">
        <x:v>AIPC curated knowledge base</x:v>
      </x:c>
      <x:c r="M6" s="34" t="str"/>
      <x:c r="N6" s="35" t="str">
        <x:v>1440p gaming usually benefits from a GPU-first budget with a balanced modern CPU. It is the broadest value target for high-refresh PC gaming.</x:v>
      </x:c>
    </x:row>
    <x:row r="7">
      <x:c r="A7" s="33" t="str">
        <x:v>T01</x:v>
      </x:c>
      <x:c r="B7" s="34" t="n">
        <x:v>2</x:v>
      </x:c>
      <x:c r="C7" s="34" t="str">
        <x:v>gpu-4070s-gaming</x:v>
      </x:c>
      <x:c r="D7" s="34" t="str">
        <x:v>RTX 4070 Super gaming profile</x:v>
      </x:c>
      <x:c r="E7" s="34" t="str">
        <x:v>gpu</x:v>
      </x:c>
      <x:c r="F7" s="83" t="n">
        <x:v>74</x:v>
      </x:c>
      <x:c r="G7" s="83" t="n">
        <x:v>0.682</x:v>
      </x:c>
      <x:c r="H7" s="34" t="str">
        <x:v>vector</x:v>
      </x:c>
      <x:c r="I7" s="34" t="str">
        <x:v>ollama</x:v>
      </x:c>
      <x:c r="J7" s="34" t="str">
        <x:v>nomic-embed-text</x:v>
      </x:c>
      <x:c r="K7" s="34" t="str">
        <x:v>gpu, gaming, 1440p, cuda, 12gb, efficient</x:v>
      </x:c>
      <x:c r="L7" s="34" t="str">
        <x:v>AIPC curated knowledge base</x:v>
      </x:c>
      <x:c r="M7" s="34" t="str"/>
      <x:c r="N7" s="35" t="str">
        <x:v>The RTX 4070 Super is efficient for high-quality 1440p gaming and supports CUDA, but its 12GB VRAM is less flexible for larger local AI workloads.</x:v>
      </x:c>
    </x:row>
    <x:row r="8">
      <x:c r="A8" s="33" t="str">
        <x:v>T01</x:v>
      </x:c>
      <x:c r="B8" s="34" t="n">
        <x:v>3</x:v>
      </x:c>
      <x:c r="C8" s="34" t="str">
        <x:v>gpu-7800xt-1440p</x:v>
      </x:c>
      <x:c r="D8" s="34" t="str">
        <x:v>RX 7800 XT 1440p value</x:v>
      </x:c>
      <x:c r="E8" s="34" t="str">
        <x:v>gpu</x:v>
      </x:c>
      <x:c r="F8" s="83" t="n">
        <x:v>74</x:v>
      </x:c>
      <x:c r="G8" s="83" t="n">
        <x:v>0.678</x:v>
      </x:c>
      <x:c r="H8" s="34" t="str">
        <x:v>vector</x:v>
      </x:c>
      <x:c r="I8" s="34" t="str">
        <x:v>ollama</x:v>
      </x:c>
      <x:c r="J8" s="34" t="str">
        <x:v>nomic-embed-text</x:v>
      </x:c>
      <x:c r="K8" s="34" t="str">
        <x:v>gpu, gaming, 1440p, amd, 16gb, value</x:v>
      </x:c>
      <x:c r="L8" s="34" t="str">
        <x:v>AIPC curated knowledge base</x:v>
      </x:c>
      <x:c r="M8" s="34" t="str"/>
      <x:c r="N8" s="35" t="str">
        <x:v>The RX 7800 XT is a strong value target for 1440p gaming with 16GB VRAM. It favors raster performance per dollar over CUDA ecosystem support.</x:v>
      </x:c>
    </x:row>
    <x:row r="9">
      <x:c r="A9" s="33" t="str">
        <x:v>T01</x:v>
      </x:c>
      <x:c r="B9" s="34" t="n">
        <x:v>4</x:v>
      </x:c>
      <x:c r="C9" s="34" t="str">
        <x:v>gpu-4070tis-balanced</x:v>
      </x:c>
      <x:c r="D9" s="34" t="str">
        <x:v>RTX 4070 Ti Super balanced profile</x:v>
      </x:c>
      <x:c r="E9" s="34" t="str">
        <x:v>gpu</x:v>
      </x:c>
      <x:c r="F9" s="83" t="n">
        <x:v>72</x:v>
      </x:c>
      <x:c r="G9" s="83" t="n">
        <x:v>0.665</x:v>
      </x:c>
      <x:c r="H9" s="34" t="str">
        <x:v>vector</x:v>
      </x:c>
      <x:c r="I9" s="34" t="str">
        <x:v>ollama</x:v>
      </x:c>
      <x:c r="J9" s="34" t="str">
        <x:v>nomic-embed-text</x:v>
      </x:c>
      <x:c r="K9" s="34" t="str">
        <x:v>gpu, gaming, ai, cuda, 16gb, balanced</x:v>
      </x:c>
      <x:c r="L9" s="34" t="str">
        <x:v>AIPC curated knowledge base</x:v>
      </x:c>
      <x:c r="M9" s="34" t="str"/>
      <x:c r="N9" s="35" t="str">
        <x:v>The RTX 4070 Ti Super provides 16GB VRAM and strong 1440p to 4K capability at lower power and cost than flagship GPUs. It is a balanced choice for mixed gaming, creative, and CUDA work.</x:v>
      </x:c>
    </x:row>
    <x:row r="10">
      <x:c r="A10" s="33" t="str">
        <x:v>T01</x:v>
      </x:c>
      <x:c r="B10" s="34" t="n">
        <x:v>5</x:v>
      </x:c>
      <x:c r="C10" s="34" t="str">
        <x:v>gaming-1080p</x:v>
      </x:c>
      <x:c r="D10" s="34" t="str">
        <x:v>1080p gaming allocation</x:v>
      </x:c>
      <x:c r="E10" s="34" t="str">
        <x:v>workload</x:v>
      </x:c>
      <x:c r="F10" s="83" t="n">
        <x:v>70</x:v>
      </x:c>
      <x:c r="G10" s="83" t="n">
        <x:v>0.657</x:v>
      </x:c>
      <x:c r="H10" s="34" t="str">
        <x:v>vector</x:v>
      </x:c>
      <x:c r="I10" s="34" t="str">
        <x:v>ollama</x:v>
      </x:c>
      <x:c r="J10" s="34" t="str">
        <x:v>nomic-embed-text</x:v>
      </x:c>
      <x:c r="K10" s="34" t="str">
        <x:v>gaming, 1080p, high-fps, cpu</x:v>
      </x:c>
      <x:c r="L10" s="34" t="str">
        <x:v>AIPC curated knowledge base</x:v>
      </x:c>
      <x:c r="M10" s="34" t="str"/>
      <x:c r="N10" s="35" t="str">
        <x:v>At 1080p and high refresh rates, CPU frame delivery matters more than at higher resolutions. GPU budget remains important, but extreme GPU spending can produce diminishing returns.</x:v>
      </x:c>
    </x:row>
    <x:row r="11">
      <x:c r="A11" s="33" t="str">
        <x:v>T01</x:v>
      </x:c>
      <x:c r="B11" s="34" t="n">
        <x:v>6</x:v>
      </x:c>
      <x:c r="C11" s="34" t="str">
        <x:v>gpu-5070ti-blackwell</x:v>
      </x:c>
      <x:c r="D11" s="34" t="str">
        <x:v>RTX 5070 Ti balanced high-end profile</x:v>
      </x:c>
      <x:c r="E11" s="34" t="str">
        <x:v>gpu</x:v>
      </x:c>
      <x:c r="F11" s="83" t="n">
        <x:v>70</x:v>
      </x:c>
      <x:c r="G11" s="83" t="n">
        <x:v>0.652</x:v>
      </x:c>
      <x:c r="H11" s="34" t="str">
        <x:v>vector</x:v>
      </x:c>
      <x:c r="I11" s="34" t="str">
        <x:v>ollama</x:v>
      </x:c>
      <x:c r="J11" s="34" t="str">
        <x:v>nomic-embed-text</x:v>
      </x:c>
      <x:c r="K11" s="34" t="str">
        <x:v>gpu, nvidia, cuda, blackwell, 16gb, 1440p, 4k, balanced</x:v>
      </x:c>
      <x:c r="L11" s="34" t="str">
        <x:v>NVIDIA GeForce RTX 5070 family specifications</x:v>
      </x:c>
      <x:c r="M11" s="34" t="str">
        <x:v>https://www.nvidia.com/en-us/geforce/graphics-cards/50-series/rtx-5070-family/</x:v>
      </x:c>
      <x:c r="N11" s="35" t="str">
        <x:v>The GeForce RTX 5070 Ti provides 16GB GDDR7 and CUDA at a 300W reference power target. It is positioned for high-refresh 1440p, entry 4K, creator acceleration, and moderate local AI workloads without flagship cost.</x:v>
      </x:c>
    </x:row>
    <x:row r="12">
      <x:c r="A12" s="33" t="str">
        <x:v>T01</x:v>
      </x:c>
      <x:c r="B12" s="34" t="n">
        <x:v>7</x:v>
      </x:c>
      <x:c r="C12" s="34" t="str">
        <x:v>gpu-arc-b580-value</x:v>
      </x:c>
      <x:c r="D12" s="34" t="str">
        <x:v>Intel Arc B580 value profile</x:v>
      </x:c>
      <x:c r="E12" s="34" t="str">
        <x:v>gpu</x:v>
      </x:c>
      <x:c r="F12" s="83" t="n">
        <x:v>70</x:v>
      </x:c>
      <x:c r="G12" s="83" t="n">
        <x:v>0.659</x:v>
      </x:c>
      <x:c r="H12" s="34" t="str">
        <x:v>vector</x:v>
      </x:c>
      <x:c r="I12" s="34" t="str">
        <x:v>ollama</x:v>
      </x:c>
      <x:c r="J12" s="34" t="str">
        <x:v>nomic-embed-text</x:v>
      </x:c>
      <x:c r="K12" s="34" t="str">
        <x:v>gpu, intel, xe2, 12gb, value, 1440p, av1</x:v>
      </x:c>
      <x:c r="L12" s="34" t="str">
        <x:v>Intel Arc B580 product specifications and ordering</x:v>
      </x:c>
      <x:c r="M12" s="34" t="str">
        <x:v>https://www.intel.com/content/www/us/en/products/sku/241598/intel-arc-b580-graphics/ordering.html</x:v>
      </x:c>
      <x:c r="N12" s="35" t="str">
        <x:v>Intel Arc B580 Limited Edition provides 12GB VRAM, 190W total board power, AV1 media support, and a $249 recommended customer price. It is relevant to value 1080p/1440p builds, while application and game-specific driver behavior should be verified for specialized workloads.</x:v>
      </x:c>
    </x:row>
    <x:row r="13">
      <x:c r="A13" s="33" t="str">
        <x:v>T01</x:v>
      </x:c>
      <x:c r="B13" s="34" t="n">
        <x:v>8</x:v>
      </x:c>
      <x:c r="C13" s="34" t="str">
        <x:v>cpu-14700k-high-refresh</x:v>
      </x:c>
      <x:c r="D13" s="34" t="str">
        <x:v>Core i7-14700K high-refresh gaming profile</x:v>
      </x:c>
      <x:c r="E13" s="34" t="str">
        <x:v>cpu</x:v>
      </x:c>
      <x:c r="F13" s="83" t="n">
        <x:v>69</x:v>
      </x:c>
      <x:c r="G13" s="83" t="n">
        <x:v>0.649</x:v>
      </x:c>
      <x:c r="H13" s="34" t="str">
        <x:v>vector</x:v>
      </x:c>
      <x:c r="I13" s="34" t="str">
        <x:v>ollama</x:v>
      </x:c>
      <x:c r="J13" s="34" t="str">
        <x:v>nomic-embed-text</x:v>
      </x:c>
      <x:c r="K13" s="34" t="str">
        <x:v>cpu, intel, gaming, high-fps, lga1700, high-power</x:v>
      </x:c>
      <x:c r="L13" s="34" t="str">
        <x:v>AIPC curated knowledge base</x:v>
      </x:c>
      <x:c r="M13" s="34" t="str"/>
      <x:c r="N13" s="35" t="str">
        <x:v>The Core i7-14700K is an Intel LGA1700 option for high-refresh gaming and mixed productivity. Its high peak power requires substantial cooling, and the mature socket has less future CPU upgrade room than newer platforms.</x:v>
      </x:c>
    </x:row>
    <x:row r="14">
      <x:c r="A14" s="33" t="str">
        <x:v>T01</x:v>
      </x:c>
      <x:c r="B14" s="34" t="n">
        <x:v>9</x:v>
      </x:c>
      <x:c r="C14" s="34" t="str">
        <x:v>cpu-9800x3d-gaming</x:v>
      </x:c>
      <x:c r="D14" s="34" t="str">
        <x:v>Ryzen 7 9800X3D gaming focus</x:v>
      </x:c>
      <x:c r="E14" s="34" t="str">
        <x:v>cpu</x:v>
      </x:c>
      <x:c r="F14" s="83" t="n">
        <x:v>67</x:v>
      </x:c>
      <x:c r="G14" s="83" t="n">
        <x:v>0.626</x:v>
      </x:c>
      <x:c r="H14" s="34" t="str">
        <x:v>vector</x:v>
      </x:c>
      <x:c r="I14" s="34" t="str">
        <x:v>ollama</x:v>
      </x:c>
      <x:c r="J14" s="34" t="str">
        <x:v>nomic-embed-text</x:v>
      </x:c>
      <x:c r="K14" s="34" t="str">
        <x:v>cpu, gaming, high-fps, am5, enthusiast</x:v>
      </x:c>
      <x:c r="L14" s="34" t="str">
        <x:v>AIPC curated knowledge base</x:v>
      </x:c>
      <x:c r="M14" s="34" t="str"/>
      <x:c r="N14" s="35" t="str">
        <x:v>The Ryzen 7 9800X3D is an enthusiast gaming CPU. Its value is strongest in high-refresh gaming systems where the GPU is already well funded.</x:v>
      </x:c>
    </x:row>
    <x:row r="15">
      <x:c r="A15" s="33" t="str">
        <x:v>T01</x:v>
      </x:c>
      <x:c r="B15" s="34" t="n">
        <x:v>10</x:v>
      </x:c>
      <x:c r="C15" s="34" t="str">
        <x:v>gpu-rdna4-9070xt</x:v>
      </x:c>
      <x:c r="D15" s="34" t="str">
        <x:v>Radeon RX 9070 XT RDNA 4 profile</x:v>
      </x:c>
      <x:c r="E15" s="34" t="str">
        <x:v>gpu</x:v>
      </x:c>
      <x:c r="F15" s="83" t="n">
        <x:v>67</x:v>
      </x:c>
      <x:c r="G15" s="83" t="n">
        <x:v>0.641</x:v>
      </x:c>
      <x:c r="H15" s="34" t="str">
        <x:v>vector</x:v>
      </x:c>
      <x:c r="I15" s="34" t="str">
        <x:v>ollama</x:v>
      </x:c>
      <x:c r="J15" s="34" t="str">
        <x:v>nomic-embed-text</x:v>
      </x:c>
      <x:c r="K15" s="34" t="str">
        <x:v>gpu, amd, rdna4, 16gb, 4k, raster, fsr4</x:v>
      </x:c>
      <x:c r="L15" s="34" t="str">
        <x:v>AMD Radeon RX 9070 XT specifications</x:v>
      </x:c>
      <x:c r="M15" s="34" t="str">
        <x:v>https://www.amd.com/en/products/graphics/desktops/radeon/9000-series/amd-radeon-rx-9070xt.html</x:v>
      </x:c>
      <x:c r="N15" s="35" t="str">
        <x:v>The Radeon RX 9070 XT has 16GB GDDR6, a 304W typical board power rating, and a 750W minimum PSU recommendation from AMD. It is a strong raster and FSR-oriented 4K gaming option, but users requiring CUDA-first software should still prefer NVIDIA.</x:v>
      </x:c>
    </x:row>
    <x:row r="16">
      <x:c r="A16" s="33" t="str">
        <x:v>T01</x:v>
      </x:c>
      <x:c r="B16" s="34" t="n">
        <x:v>11</x:v>
      </x:c>
      <x:c r="C16" s="34" t="str">
        <x:v>case-clearance</x:v>
      </x:c>
      <x:c r="D16" s="34" t="str">
        <x:v>Case clearance constraints</x:v>
      </x:c>
      <x:c r="E16" s="34" t="str">
        <x:v>compatibility</x:v>
      </x:c>
      <x:c r="F16" s="83" t="n">
        <x:v>67</x:v>
      </x:c>
      <x:c r="G16" s="83" t="n">
        <x:v>0.653</x:v>
      </x:c>
      <x:c r="H16" s="34" t="str">
        <x:v>vector</x:v>
      </x:c>
      <x:c r="I16" s="34" t="str">
        <x:v>ollama</x:v>
      </x:c>
      <x:c r="J16" s="34" t="str">
        <x:v>nomic-embed-text</x:v>
      </x:c>
      <x:c r="K16" s="34" t="str">
        <x:v>case, clearance, gpu-length, cooler-height, form-factor</x:v>
      </x:c>
      <x:c r="L16" s="34" t="str">
        <x:v>AIPC curated knowledge base</x:v>
      </x:c>
      <x:c r="M16" s="34" t="str"/>
      <x:c r="N16" s="35" t="str">
        <x:v>GPU length, air-cooler height, motherboard form factor, and PSU form factor are hard physical constraints. These values must be checked deterministically before a case is accepted.</x:v>
      </x:c>
    </x:row>
    <x:row r="17">
      <x:c r="A17" s="33" t="str">
        <x:v>T01</x:v>
      </x:c>
      <x:c r="B17" s="34" t="n">
        <x:v>12</x:v>
      </x:c>
      <x:c r="C17" s="34" t="str">
        <x:v>cpu-7800x3d-gaming</x:v>
      </x:c>
      <x:c r="D17" s="34" t="str">
        <x:v>Ryzen 7 7800X3D gaming profile</x:v>
      </x:c>
      <x:c r="E17" s="34" t="str">
        <x:v>cpu</x:v>
      </x:c>
      <x:c r="F17" s="83" t="n">
        <x:v>66</x:v>
      </x:c>
      <x:c r="G17" s="83" t="n">
        <x:v>0.635</x:v>
      </x:c>
      <x:c r="H17" s="34" t="str">
        <x:v>vector</x:v>
      </x:c>
      <x:c r="I17" s="34" t="str">
        <x:v>ollama</x:v>
      </x:c>
      <x:c r="J17" s="34" t="str">
        <x:v>nomic-embed-text</x:v>
      </x:c>
      <x:c r="K17" s="34" t="str">
        <x:v>cpu, gaming, am5, efficient</x:v>
      </x:c>
      <x:c r="L17" s="34" t="str">
        <x:v>AIPC curated knowledge base</x:v>
      </x:c>
      <x:c r="M17" s="34" t="str"/>
      <x:c r="N17" s="35" t="str">
        <x:v>The Ryzen 7 7800X3D remains a focused gaming option with lower platform power than many high-core-count alternatives. It is less compelling for heavily threaded workstation tasks.</x:v>
      </x:c>
    </x:row>
    <x:row r="18">
      <x:c r="A18" s="33" t="str">
        <x:v>T01</x:v>
      </x:c>
      <x:c r="B18" s="34" t="n">
        <x:v>13</x:v>
      </x:c>
      <x:c r="C18" s="34" t="str">
        <x:v>gpu-7900xtx-raster</x:v>
      </x:c>
      <x:c r="D18" s="34" t="str">
        <x:v>RX 7900 XTX raster value</x:v>
      </x:c>
      <x:c r="E18" s="34" t="str">
        <x:v>gpu</x:v>
      </x:c>
      <x:c r="F18" s="83" t="n">
        <x:v>66</x:v>
      </x:c>
      <x:c r="G18" s="83" t="n">
        <x:v>0.631</x:v>
      </x:c>
      <x:c r="H18" s="34" t="str">
        <x:v>vector</x:v>
      </x:c>
      <x:c r="I18" s="34" t="str">
        <x:v>ollama</x:v>
      </x:c>
      <x:c r="J18" s="34" t="str">
        <x:v>nomic-embed-text</x:v>
      </x:c>
      <x:c r="K18" s="34" t="str">
        <x:v>gpu, gaming, 4k, amd, 24gb, value</x:v>
      </x:c>
      <x:c r="L18" s="34" t="str">
        <x:v>AIPC curated knowledge base</x:v>
      </x:c>
      <x:c r="M18" s="34" t="str"/>
      <x:c r="N18" s="35" t="str">
        <x:v>The RX 7900 XTX offers 24GB VRAM and excellent high-resolution raster performance. It is compelling for 4K gaming when CUDA compatibility is not required.</x:v>
      </x:c>
    </x:row>
    <x:row r="19">
      <x:c r="A19" s="33" t="str">
        <x:v>T01</x:v>
      </x:c>
      <x:c r="B19" s="34" t="n">
        <x:v>14</x:v>
      </x:c>
      <x:c r="C19" s="34" t="str">
        <x:v>cooler-pa120</x:v>
      </x:c>
      <x:c r="D19" s="34" t="str">
        <x:v>Peerless Assassin value cooling</x:v>
      </x:c>
      <x:c r="E19" s="34" t="str">
        <x:v>cooler</x:v>
      </x:c>
      <x:c r="F19" s="83" t="n">
        <x:v>66</x:v>
      </x:c>
      <x:c r="G19" s="83" t="n">
        <x:v>0.641</x:v>
      </x:c>
      <x:c r="H19" s="34" t="str">
        <x:v>vector</x:v>
      </x:c>
      <x:c r="I19" s="34" t="str">
        <x:v>ollama</x:v>
      </x:c>
      <x:c r="J19" s="34" t="str">
        <x:v>nomic-embed-text</x:v>
      </x:c>
      <x:c r="K19" s="34" t="str">
        <x:v>cooler, air, value, quiet</x:v>
      </x:c>
      <x:c r="L19" s="34" t="str">
        <x:v>AIPC curated knowledge base</x:v>
      </x:c>
      <x:c r="M19" s="34" t="str"/>
      <x:c r="N19" s="35" t="str">
        <x:v>The Peerless Assassin 120 SE offers high air-cooling capacity at low cost. It is well suited to mainstream and many high-tier CPUs when case height allows it.</x:v>
      </x:c>
    </x:row>
    <x:row r="20">
      <x:c r="A20" s="33" t="str">
        <x:v>T01</x:v>
      </x:c>
      <x:c r="B20" s="34" t="n">
        <x:v>15</x:v>
      </x:c>
      <x:c r="C20" s="34" t="str">
        <x:v>cpu-9950x3d-mixed</x:v>
      </x:c>
      <x:c r="D20" s="34" t="str">
        <x:v>Ryzen 9 9950X3D mixed gaming and creation profile</x:v>
      </x:c>
      <x:c r="E20" s="34" t="str">
        <x:v>cpu</x:v>
      </x:c>
      <x:c r="F20" s="83" t="n">
        <x:v>65</x:v>
      </x:c>
      <x:c r="G20" s="83" t="n">
        <x:v>0.621</x:v>
      </x:c>
      <x:c r="H20" s="34" t="str">
        <x:v>vector</x:v>
      </x:c>
      <x:c r="I20" s="34" t="str">
        <x:v>ollama</x:v>
      </x:c>
      <x:c r="J20" s="34" t="str">
        <x:v>nomic-embed-text</x:v>
      </x:c>
      <x:c r="K20" s="34" t="str">
        <x:v>cpu, amd, am5, zen5, 16-core, gaming, creator, enthusiast</x:v>
      </x:c>
      <x:c r="L20" s="34" t="str">
        <x:v>AMD Ryzen desktop processor specifications</x:v>
      </x:c>
      <x:c r="M20" s="34" t="str">
        <x:v>https://www.amd.com/en/products/processors/desktops/ryzen.html</x:v>
      </x:c>
      <x:c r="N20" s="35" t="str">
        <x:v>Ryzen 9 9950X3D combines 16 Zen 5 cores with second-generation 3D V-Cache on AM5. It fits premium systems that need strong gaming latency and high multicore throughput, but it should not displace cheaper eight-core X3D options in gaming-only budgets.</x:v>
      </x:c>
    </x:row>
    <x:row r="21">
      <x:c r="A21" s="33" t="str">
        <x:v>T01</x:v>
      </x:c>
      <x:c r="B21" s="34" t="n">
        <x:v>16</x:v>
      </x:c>
      <x:c r="C21" s="34" t="str">
        <x:v>gaming-4k</x:v>
      </x:c>
      <x:c r="D21" s="34" t="str">
        <x:v>4K gaming allocation</x:v>
      </x:c>
      <x:c r="E21" s="34" t="str">
        <x:v>workload</x:v>
      </x:c>
      <x:c r="F21" s="83" t="n">
        <x:v>65</x:v>
      </x:c>
      <x:c r="G21" s="83" t="n">
        <x:v>0.632</x:v>
      </x:c>
      <x:c r="H21" s="34" t="str">
        <x:v>vector</x:v>
      </x:c>
      <x:c r="I21" s="34" t="str">
        <x:v>ollama</x:v>
      </x:c>
      <x:c r="J21" s="34" t="str">
        <x:v>nomic-embed-text</x:v>
      </x:c>
      <x:c r="K21" s="34" t="str">
        <x:v>gaming, 4k, gpu, high-end</x:v>
      </x:c>
      <x:c r="L21" s="34" t="str">
        <x:v>AIPC curated knowledge base</x:v>
      </x:c>
      <x:c r="M21" s="34" t="str"/>
      <x:c r="N21" s="35" t="str">
        <x:v>At 4K the GPU is normally the primary performance constraint. Budget should favor the graphics card while retaining enough CPU, cooling, and PSU quality to avoid platform imbalance.</x:v>
      </x:c>
    </x:row>
    <x:row r="22">
      <x:c r="A22" s="33" t="str">
        <x:v>T01</x:v>
      </x:c>
      <x:c r="B22" s="34" t="n">
        <x:v>17</x:v>
      </x:c>
      <x:c r="C22" s="34" t="str">
        <x:v>storage-pcie5-thermal</x:v>
      </x:c>
      <x:c r="D22" s="34" t="str">
        <x:v>PCIe 5.0 SSD performance and thermal trade-off</x:v>
      </x:c>
      <x:c r="E22" s="34" t="str">
        <x:v>storage</x:v>
      </x:c>
      <x:c r="F22" s="83" t="n">
        <x:v>65</x:v>
      </x:c>
      <x:c r="G22" s="83" t="n">
        <x:v>0.622</x:v>
      </x:c>
      <x:c r="H22" s="34" t="str">
        <x:v>vector</x:v>
      </x:c>
      <x:c r="I22" s="34" t="str">
        <x:v>ollama</x:v>
      </x:c>
      <x:c r="J22" s="34" t="str">
        <x:v>nomic-embed-text</x:v>
      </x:c>
      <x:c r="K22" s="34" t="str">
        <x:v>storage, nvme, pcie5, thermal, creator, development, value</x:v>
      </x:c>
      <x:c r="L22" s="34" t="str">
        <x:v>Samsung 9100 Pro official specifications</x:v>
      </x:c>
      <x:c r="M22" s="34" t="str">
        <x:v>https://www.samsung.com/us/memory-storage/nvme-ssd/9100-pro-nvme-ssd-sku-mz-vap4t0b-am/</x:v>
      </x:c>
      <x:c r="N22"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23">
      <x:c r="A23" s="33" t="str">
        <x:v>T01</x:v>
      </x:c>
      <x:c r="B23" s="34" t="n">
        <x:v>18</x:v>
      </x:c>
      <x:c r="C23" s="34" t="str">
        <x:v>gaming-4k-240</x:v>
      </x:c>
      <x:c r="D23" s="34" t="str">
        <x:v>4K 240Hz target trade-off</x:v>
      </x:c>
      <x:c r="E23" s="34" t="str">
        <x:v>workload</x:v>
      </x:c>
      <x:c r="F23" s="83" t="n">
        <x:v>64</x:v>
      </x:c>
      <x:c r="G23" s="83" t="n">
        <x:v>0.605</x:v>
      </x:c>
      <x:c r="H23" s="34" t="str">
        <x:v>vector</x:v>
      </x:c>
      <x:c r="I23" s="34" t="str">
        <x:v>ollama</x:v>
      </x:c>
      <x:c r="J23" s="34" t="str">
        <x:v>nomic-embed-text</x:v>
      </x:c>
      <x:c r="K23" s="34" t="str">
        <x:v>gaming, 4k, 240fps, high-fps, gpu, trade-off</x:v>
      </x:c>
      <x:c r="L23" s="34" t="str">
        <x:v>AIPC curated knowledge base</x:v>
      </x:c>
      <x:c r="M23" s="34" t="str"/>
      <x:c r="N23" s="35" t="str">
        <x:v>A 4K 240Hz target is exceptionally demanding and depends heavily on the game, settings, and upscaling. The recommendation should maximize GPU headroom without claiming that every title will sustain 240 FPS.</x:v>
      </x:c>
    </x:row>
    <x:row r="24">
      <x:c r="A24" s="33" t="str">
        <x:v>T02</x:v>
      </x:c>
      <x:c r="B24" s="34" t="n">
        <x:v>1</x:v>
      </x:c>
      <x:c r="C24" s="34" t="str">
        <x:v>psu-headroom</x:v>
      </x:c>
      <x:c r="D24" s="34" t="str">
        <x:v>Power supply headroom rule</x:v>
      </x:c>
      <x:c r="E24" s="34" t="str">
        <x:v>compatibility</x:v>
      </x:c>
      <x:c r="F24" s="83" t="n">
        <x:v>74</x:v>
      </x:c>
      <x:c r="G24" s="83" t="n">
        <x:v>0.683</x:v>
      </x:c>
      <x:c r="H24" s="34" t="str">
        <x:v>vector</x:v>
      </x:c>
      <x:c r="I24" s="34" t="str">
        <x:v>ollama</x:v>
      </x:c>
      <x:c r="J24" s="34" t="str">
        <x:v>nomic-embed-text</x:v>
      </x:c>
      <x:c r="K24" s="34" t="str">
        <x:v>psu, power, headroom, quiet, upgradeability</x:v>
      </x:c>
      <x:c r="L24" s="34" t="str">
        <x:v>AIPC curated knowledge base</x:v>
      </x:c>
      <x:c r="M24" s="34" t="str"/>
      <x:c r="N24" s="35" t="str">
        <x:v>A power supply should exceed estimated sustained system draw by at least 35 percent. Additional headroom can reduce fan noise and preserve room for future GPU upgrades.</x:v>
      </x:c>
    </x:row>
    <x:row r="25">
      <x:c r="A25" s="33" t="str">
        <x:v>T02</x:v>
      </x:c>
      <x:c r="B25" s="34" t="n">
        <x:v>2</x:v>
      </x:c>
      <x:c r="C25" s="34" t="str">
        <x:v>gaming-4k</x:v>
      </x:c>
      <x:c r="D25" s="34" t="str">
        <x:v>4K gaming allocation</x:v>
      </x:c>
      <x:c r="E25" s="34" t="str">
        <x:v>workload</x:v>
      </x:c>
      <x:c r="F25" s="83" t="n">
        <x:v>71</x:v>
      </x:c>
      <x:c r="G25" s="83" t="n">
        <x:v>0.665</x:v>
      </x:c>
      <x:c r="H25" s="34" t="str">
        <x:v>vector</x:v>
      </x:c>
      <x:c r="I25" s="34" t="str">
        <x:v>ollama</x:v>
      </x:c>
      <x:c r="J25" s="34" t="str">
        <x:v>nomic-embed-text</x:v>
      </x:c>
      <x:c r="K25" s="34" t="str">
        <x:v>gaming, 4k, gpu, high-end</x:v>
      </x:c>
      <x:c r="L25" s="34" t="str">
        <x:v>AIPC curated knowledge base</x:v>
      </x:c>
      <x:c r="M25" s="34" t="str"/>
      <x:c r="N25" s="35" t="str">
        <x:v>At 4K the GPU is normally the primary performance constraint. Budget should favor the graphics card while retaining enough CPU, cooling, and PSU quality to avoid platform imbalance.</x:v>
      </x:c>
    </x:row>
    <x:row r="26">
      <x:c r="A26" s="33" t="str">
        <x:v>T02</x:v>
      </x:c>
      <x:c r="B26" s="34" t="n">
        <x:v>3</x:v>
      </x:c>
      <x:c r="C26" s="34" t="str">
        <x:v>gaming-4k-240</x:v>
      </x:c>
      <x:c r="D26" s="34" t="str">
        <x:v>4K 240Hz target trade-off</x:v>
      </x:c>
      <x:c r="E26" s="34" t="str">
        <x:v>workload</x:v>
      </x:c>
      <x:c r="F26" s="83" t="n">
        <x:v>71</x:v>
      </x:c>
      <x:c r="G26" s="83" t="n">
        <x:v>0.65</x:v>
      </x:c>
      <x:c r="H26" s="34" t="str">
        <x:v>vector</x:v>
      </x:c>
      <x:c r="I26" s="34" t="str">
        <x:v>ollama</x:v>
      </x:c>
      <x:c r="J26" s="34" t="str">
        <x:v>nomic-embed-text</x:v>
      </x:c>
      <x:c r="K26" s="34" t="str">
        <x:v>gaming, 4k, 240fps, high-fps, gpu, trade-off</x:v>
      </x:c>
      <x:c r="L26" s="34" t="str">
        <x:v>AIPC curated knowledge base</x:v>
      </x:c>
      <x:c r="M26" s="34" t="str"/>
      <x:c r="N26" s="35" t="str">
        <x:v>A 4K 240Hz target is exceptionally demanding and depends heavily on the game, settings, and upscaling. The recommendation should maximize GPU headroom without claiming that every title will sustain 240 FPS.</x:v>
      </x:c>
    </x:row>
    <x:row r="27">
      <x:c r="A27" s="33" t="str">
        <x:v>T02</x:v>
      </x:c>
      <x:c r="B27" s="34" t="n">
        <x:v>4</x:v>
      </x:c>
      <x:c r="C27" s="34" t="str">
        <x:v>case-north-airflow</x:v>
      </x:c>
      <x:c r="D27" s="34" t="str">
        <x:v>Fractal North balanced airflow</x:v>
      </x:c>
      <x:c r="E27" s="34" t="str">
        <x:v>case</x:v>
      </x:c>
      <x:c r="F27" s="83" t="n">
        <x:v>70</x:v>
      </x:c>
      <x:c r="G27" s="83" t="n">
        <x:v>0.659</x:v>
      </x:c>
      <x:c r="H27" s="34" t="str">
        <x:v>vector</x:v>
      </x:c>
      <x:c r="I27" s="34" t="str">
        <x:v>ollama</x:v>
      </x:c>
      <x:c r="J27" s="34" t="str">
        <x:v>nomic-embed-text</x:v>
      </x:c>
      <x:c r="K27" s="34" t="str">
        <x:v>case, atx, airflow, quiet, upgradeability</x:v>
      </x:c>
      <x:c r="L27" s="34" t="str">
        <x:v>AIPC curated knowledge base</x:v>
      </x:c>
      <x:c r="M27" s="34" t="str"/>
      <x:c r="N27" s="35" t="str">
        <x:v>The Fractal North supports full-size ATX components with 355mm GPU clearance and 170mm air-cooler clearance. It balances airflow, acoustics, and upgrade room.</x:v>
      </x:c>
    </x:row>
    <x:row r="28">
      <x:c r="A28" s="33" t="str">
        <x:v>T02</x:v>
      </x:c>
      <x:c r="B28" s="34" t="n">
        <x:v>5</x:v>
      </x:c>
      <x:c r="C28" s="34" t="str">
        <x:v>gpu-4070tis-balanced</x:v>
      </x:c>
      <x:c r="D28" s="34" t="str">
        <x:v>RTX 4070 Ti Super balanced profile</x:v>
      </x:c>
      <x:c r="E28" s="34" t="str">
        <x:v>gpu</x:v>
      </x:c>
      <x:c r="F28" s="83" t="n">
        <x:v>69</x:v>
      </x:c>
      <x:c r="G28" s="83" t="n">
        <x:v>0.644</x:v>
      </x:c>
      <x:c r="H28" s="34" t="str">
        <x:v>vector</x:v>
      </x:c>
      <x:c r="I28" s="34" t="str">
        <x:v>ollama</x:v>
      </x:c>
      <x:c r="J28" s="34" t="str">
        <x:v>nomic-embed-text</x:v>
      </x:c>
      <x:c r="K28" s="34" t="str">
        <x:v>gpu, gaming, ai, cuda, 16gb, balanced</x:v>
      </x:c>
      <x:c r="L28" s="34" t="str">
        <x:v>AIPC curated knowledge base</x:v>
      </x:c>
      <x:c r="M28" s="34" t="str"/>
      <x:c r="N28" s="35" t="str">
        <x:v>The RTX 4070 Ti Super provides 16GB VRAM and strong 1440p to 4K capability at lower power and cost than flagship GPUs. It is a balanced choice for mixed gaming, creative, and CUDA work.</x:v>
      </x:c>
    </x:row>
    <x:row r="29">
      <x:c r="A29" s="33" t="str">
        <x:v>T02</x:v>
      </x:c>
      <x:c r="B29" s="34" t="n">
        <x:v>6</x:v>
      </x:c>
      <x:c r="C29" s="34" t="str">
        <x:v>psu-850</x:v>
      </x:c>
      <x:c r="D29" s="34" t="str">
        <x:v>850W Gold mainstream high-end fit</x:v>
      </x:c>
      <x:c r="E29" s="34" t="str">
        <x:v>psu</x:v>
      </x:c>
      <x:c r="F29" s="83" t="n">
        <x:v>68</x:v>
      </x:c>
      <x:c r="G29" s="83" t="n">
        <x:v>0.653</x:v>
      </x:c>
      <x:c r="H29" s="34" t="str">
        <x:v>vector</x:v>
      </x:c>
      <x:c r="I29" s="34" t="str">
        <x:v>ollama</x:v>
      </x:c>
      <x:c r="J29" s="34" t="str">
        <x:v>nomic-embed-text</x:v>
      </x:c>
      <x:c r="K29" s="34" t="str">
        <x:v>psu, 850w, gold, upgradeability</x:v>
      </x:c>
      <x:c r="L29" s="34" t="str">
        <x:v>AIPC curated knowledge base</x:v>
      </x:c>
      <x:c r="M29" s="34" t="str"/>
      <x:c r="N29" s="35" t="str">
        <x:v>An 850W Gold PSU is a common fit for high-end single-GPU systems when it satisfies the 1.35x power rule. It offers more upgrade margin than 750W without flagship PSU cost.</x:v>
      </x:c>
    </x:row>
    <x:row r="30">
      <x:c r="A30" s="33" t="str">
        <x:v>T02</x:v>
      </x:c>
      <x:c r="B30" s="34" t="n">
        <x:v>7</x:v>
      </x:c>
      <x:c r="C30" s="34" t="str">
        <x:v>gpu-5070ti-blackwell</x:v>
      </x:c>
      <x:c r="D30" s="34" t="str">
        <x:v>RTX 5070 Ti balanced high-end profile</x:v>
      </x:c>
      <x:c r="E30" s="34" t="str">
        <x:v>gpu</x:v>
      </x:c>
      <x:c r="F30" s="83" t="n">
        <x:v>67</x:v>
      </x:c>
      <x:c r="G30" s="83" t="n">
        <x:v>0.628</x:v>
      </x:c>
      <x:c r="H30" s="34" t="str">
        <x:v>vector</x:v>
      </x:c>
      <x:c r="I30" s="34" t="str">
        <x:v>ollama</x:v>
      </x:c>
      <x:c r="J30" s="34" t="str">
        <x:v>nomic-embed-text</x:v>
      </x:c>
      <x:c r="K30" s="34" t="str">
        <x:v>gpu, nvidia, cuda, blackwell, 16gb, 1440p, 4k, balanced</x:v>
      </x:c>
      <x:c r="L30" s="34" t="str">
        <x:v>NVIDIA GeForce RTX 5070 family specifications</x:v>
      </x:c>
      <x:c r="M30" s="34" t="str">
        <x:v>https://www.nvidia.com/en-us/geforce/graphics-cards/50-series/rtx-5070-family/</x:v>
      </x:c>
      <x:c r="N30" s="35" t="str">
        <x:v>The GeForce RTX 5070 Ti provides 16GB GDDR7 and CUDA at a 300W reference power target. It is positioned for high-refresh 1440p, entry 4K, creator acceleration, and moderate local AI workloads without flagship cost.</x:v>
      </x:c>
    </x:row>
    <x:row r="31">
      <x:c r="A31" s="33" t="str">
        <x:v>T02</x:v>
      </x:c>
      <x:c r="B31" s="34" t="n">
        <x:v>8</x:v>
      </x:c>
      <x:c r="C31" s="34" t="str">
        <x:v>gpu-5080-blackwell</x:v>
      </x:c>
      <x:c r="D31" s="34" t="str">
        <x:v>RTX 5080 4K and creator profile</x:v>
      </x:c>
      <x:c r="E31" s="34" t="str">
        <x:v>gpu</x:v>
      </x:c>
      <x:c r="F31" s="83" t="n">
        <x:v>67</x:v>
      </x:c>
      <x:c r="G31" s="83" t="n">
        <x:v>0.628</x:v>
      </x:c>
      <x:c r="H31" s="34" t="str">
        <x:v>vector</x:v>
      </x:c>
      <x:c r="I31" s="34" t="str">
        <x:v>ollama</x:v>
      </x:c>
      <x:c r="J31" s="34" t="str">
        <x:v>nomic-embed-text</x:v>
      </x:c>
      <x:c r="K31" s="34" t="str">
        <x:v>gpu, nvidia, cuda, blackwell, 16gb, 4k, creator</x:v>
      </x:c>
      <x:c r="L31" s="34" t="str">
        <x:v>NVIDIA GeForce RTX 5080 specifications</x:v>
      </x:c>
      <x:c r="M31" s="34" t="str">
        <x:v>https://www.nvidia.com/en-us/geforce/graphics-cards/50-series/rtx-5080/</x:v>
      </x:c>
      <x:c r="N31"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32">
      <x:c r="A32" s="33" t="str">
        <x:v>T02</x:v>
      </x:c>
      <x:c r="B32" s="34" t="n">
        <x:v>9</x:v>
      </x:c>
      <x:c r="C32" s="34" t="str">
        <x:v>gpu-5090-flagship</x:v>
      </x:c>
      <x:c r="D32" s="34" t="str">
        <x:v>RTX 5090 flagship profile</x:v>
      </x:c>
      <x:c r="E32" s="34" t="str">
        <x:v>gpu</x:v>
      </x:c>
      <x:c r="F32" s="83" t="n">
        <x:v>67</x:v>
      </x:c>
      <x:c r="G32" s="83" t="n">
        <x:v>0.622</x:v>
      </x:c>
      <x:c r="H32" s="34" t="str">
        <x:v>vector</x:v>
      </x:c>
      <x:c r="I32" s="34" t="str">
        <x:v>ollama</x:v>
      </x:c>
      <x:c r="J32" s="34" t="str">
        <x:v>nomic-embed-text</x:v>
      </x:c>
      <x:c r="K32" s="34" t="str">
        <x:v>gpu, gaming, 4k, ai, cuda, 32gb, enthusiast, blackwell</x:v>
      </x:c>
      <x:c r="L32" s="34" t="str">
        <x:v>AIPC curated knowledge base</x:v>
      </x:c>
      <x:c r="M32" s="34" t="str"/>
      <x:c r="N32" s="35" t="str">
        <x:v>The RTX 5090 combines 32GB GDDR7 with CUDA support and a 575W total graphics power rating. It requires an enthusiast budget, a compatible case, and at least a 1000W system power plan.</x:v>
      </x:c>
    </x:row>
    <x:row r="33">
      <x:c r="A33" s="33" t="str">
        <x:v>T02</x:v>
      </x:c>
      <x:c r="B33" s="34" t="n">
        <x:v>10</x:v>
      </x:c>
      <x:c r="C33" s="34" t="str">
        <x:v>cooler-pa120</x:v>
      </x:c>
      <x:c r="D33" s="34" t="str">
        <x:v>Peerless Assassin value cooling</x:v>
      </x:c>
      <x:c r="E33" s="34" t="str">
        <x:v>cooler</x:v>
      </x:c>
      <x:c r="F33" s="83" t="n">
        <x:v>67</x:v>
      </x:c>
      <x:c r="G33" s="83" t="n">
        <x:v>0.638</x:v>
      </x:c>
      <x:c r="H33" s="34" t="str">
        <x:v>vector</x:v>
      </x:c>
      <x:c r="I33" s="34" t="str">
        <x:v>ollama</x:v>
      </x:c>
      <x:c r="J33" s="34" t="str">
        <x:v>nomic-embed-text</x:v>
      </x:c>
      <x:c r="K33" s="34" t="str">
        <x:v>cooler, air, value, quiet</x:v>
      </x:c>
      <x:c r="L33" s="34" t="str">
        <x:v>AIPC curated knowledge base</x:v>
      </x:c>
      <x:c r="M33" s="34" t="str"/>
      <x:c r="N33" s="35" t="str">
        <x:v>The Peerless Assassin 120 SE offers high air-cooling capacity at low cost. It is well suited to mainstream and many high-tier CPUs when case height allows it.</x:v>
      </x:c>
    </x:row>
    <x:row r="34">
      <x:c r="A34" s="33" t="str">
        <x:v>T02</x:v>
      </x:c>
      <x:c r="B34" s="34" t="n">
        <x:v>11</x:v>
      </x:c>
      <x:c r="C34" s="34" t="str">
        <x:v>gaming-1080p</x:v>
      </x:c>
      <x:c r="D34" s="34" t="str">
        <x:v>1080p gaming allocation</x:v>
      </x:c>
      <x:c r="E34" s="34" t="str">
        <x:v>workload</x:v>
      </x:c>
      <x:c r="F34" s="83" t="n">
        <x:v>66</x:v>
      </x:c>
      <x:c r="G34" s="83" t="n">
        <x:v>0.628</x:v>
      </x:c>
      <x:c r="H34" s="34" t="str">
        <x:v>vector</x:v>
      </x:c>
      <x:c r="I34" s="34" t="str">
        <x:v>ollama</x:v>
      </x:c>
      <x:c r="J34" s="34" t="str">
        <x:v>nomic-embed-text</x:v>
      </x:c>
      <x:c r="K34" s="34" t="str">
        <x:v>gaming, 1080p, high-fps, cpu</x:v>
      </x:c>
      <x:c r="L34" s="34" t="str">
        <x:v>AIPC curated knowledge base</x:v>
      </x:c>
      <x:c r="M34" s="34" t="str"/>
      <x:c r="N34" s="35" t="str">
        <x:v>At 1080p and high refresh rates, CPU frame delivery matters more than at higher resolutions. GPU budget remains important, but extreme GPU spending can produce diminishing returns.</x:v>
      </x:c>
    </x:row>
    <x:row r="35">
      <x:c r="A35" s="33" t="str">
        <x:v>T02</x:v>
      </x:c>
      <x:c r="B35" s="34" t="n">
        <x:v>12</x:v>
      </x:c>
      <x:c r="C35" s="34" t="str">
        <x:v>cpu-7600-value</x:v>
      </x:c>
      <x:c r="D35" s="34" t="str">
        <x:v>Ryzen 5 7600 value profile</x:v>
      </x:c>
      <x:c r="E35" s="34" t="str">
        <x:v>cpu</x:v>
      </x:c>
      <x:c r="F35" s="83" t="n">
        <x:v>65</x:v>
      </x:c>
      <x:c r="G35" s="83" t="n">
        <x:v>0.607</x:v>
      </x:c>
      <x:c r="H35" s="34" t="str">
        <x:v>vector</x:v>
      </x:c>
      <x:c r="I35" s="34" t="str">
        <x:v>ollama</x:v>
      </x:c>
      <x:c r="J35" s="34" t="str">
        <x:v>nomic-embed-text</x:v>
      </x:c>
      <x:c r="K35" s="34" t="str">
        <x:v>cpu, gaming, value, am5, upgradeability</x:v>
      </x:c>
      <x:c r="L35" s="34" t="str">
        <x:v>AIPC curated knowledge base</x:v>
      </x:c>
      <x:c r="M35" s="34" t="str"/>
      <x:c r="N35" s="35" t="str">
        <x:v>The Ryzen 5 7600 preserves AM5 upgradeability while leaving more of a constrained gaming budget for the GPU.</x:v>
      </x:c>
    </x:row>
    <x:row r="36">
      <x:c r="A36" s="33" t="str">
        <x:v>T02</x:v>
      </x:c>
      <x:c r="B36" s="34" t="n">
        <x:v>13</x:v>
      </x:c>
      <x:c r="C36" s="34" t="str">
        <x:v>motherboard-x670e</x:v>
      </x:c>
      <x:c r="D36" s="34" t="str">
        <x:v>X670E workstation expansion</x:v>
      </x:c>
      <x:c r="E36" s="34" t="str">
        <x:v>motherboard</x:v>
      </x:c>
      <x:c r="F36" s="83" t="n">
        <x:v>65</x:v>
      </x:c>
      <x:c r="G36" s="83" t="n">
        <x:v>0.621</x:v>
      </x:c>
      <x:c r="H36" s="34" t="str">
        <x:v>vector</x:v>
      </x:c>
      <x:c r="I36" s="34" t="str">
        <x:v>ollama</x:v>
      </x:c>
      <x:c r="J36" s="34" t="str">
        <x:v>nomic-embed-text</x:v>
      </x:c>
      <x:c r="K36" s="34" t="str">
        <x:v>motherboard, am5, x670e, workstation, upgradeability</x:v>
      </x:c>
      <x:c r="L36" s="34" t="str">
        <x:v>AIPC curated knowledge base</x:v>
      </x:c>
      <x:c r="M36" s="34" t="str"/>
      <x:c r="N36" s="35" t="str">
        <x:v>X670E boards add expansion and connectivity for high-tier AM5 workstations. They should be selected for actual I/O or upgrade needs rather than prestige alone.</x:v>
      </x:c>
    </x:row>
    <x:row r="37">
      <x:c r="A37" s="33" t="str">
        <x:v>T02</x:v>
      </x:c>
      <x:c r="B37" s="34" t="n">
        <x:v>14</x:v>
      </x:c>
      <x:c r="C37" s="34" t="str">
        <x:v>storage-pcie5-thermal</x:v>
      </x:c>
      <x:c r="D37" s="34" t="str">
        <x:v>PCIe 5.0 SSD performance and thermal trade-off</x:v>
      </x:c>
      <x:c r="E37" s="34" t="str">
        <x:v>storage</x:v>
      </x:c>
      <x:c r="F37" s="83" t="n">
        <x:v>65</x:v>
      </x:c>
      <x:c r="G37" s="83" t="n">
        <x:v>0.616</x:v>
      </x:c>
      <x:c r="H37" s="34" t="str">
        <x:v>vector</x:v>
      </x:c>
      <x:c r="I37" s="34" t="str">
        <x:v>ollama</x:v>
      </x:c>
      <x:c r="J37" s="34" t="str">
        <x:v>nomic-embed-text</x:v>
      </x:c>
      <x:c r="K37" s="34" t="str">
        <x:v>storage, nvme, pcie5, thermal, creator, development, value</x:v>
      </x:c>
      <x:c r="L37" s="34" t="str">
        <x:v>Samsung 9100 Pro official specifications</x:v>
      </x:c>
      <x:c r="M37" s="34" t="str">
        <x:v>https://www.samsung.com/us/memory-storage/nvme-ssd/9100-pro-nvme-ssd-sku-mz-vap4t0b-am/</x:v>
      </x:c>
      <x:c r="N37"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38">
      <x:c r="A38" s="33" t="str">
        <x:v>T02</x:v>
      </x:c>
      <x:c r="B38" s="34" t="n">
        <x:v>15</x:v>
      </x:c>
      <x:c r="C38" s="34" t="str">
        <x:v>cpu-7800x3d-gaming</x:v>
      </x:c>
      <x:c r="D38" s="34" t="str">
        <x:v>Ryzen 7 7800X3D gaming profile</x:v>
      </x:c>
      <x:c r="E38" s="34" t="str">
        <x:v>cpu</x:v>
      </x:c>
      <x:c r="F38" s="83" t="n">
        <x:v>64</x:v>
      </x:c>
      <x:c r="G38" s="83" t="n">
        <x:v>0.608</x:v>
      </x:c>
      <x:c r="H38" s="34" t="str">
        <x:v>vector</x:v>
      </x:c>
      <x:c r="I38" s="34" t="str">
        <x:v>ollama</x:v>
      </x:c>
      <x:c r="J38" s="34" t="str">
        <x:v>nomic-embed-text</x:v>
      </x:c>
      <x:c r="K38" s="34" t="str">
        <x:v>cpu, gaming, am5, efficient</x:v>
      </x:c>
      <x:c r="L38" s="34" t="str">
        <x:v>AIPC curated knowledge base</x:v>
      </x:c>
      <x:c r="M38" s="34" t="str"/>
      <x:c r="N38" s="35" t="str">
        <x:v>The Ryzen 7 7800X3D remains a focused gaming option with lower platform power than many high-core-count alternatives. It is less compelling for heavily threaded workstation tasks.</x:v>
      </x:c>
    </x:row>
    <x:row r="39">
      <x:c r="A39" s="33" t="str">
        <x:v>T02</x:v>
      </x:c>
      <x:c r="B39" s="34" t="n">
        <x:v>16</x:v>
      </x:c>
      <x:c r="C39" s="34" t="str">
        <x:v>cpu-9950x3d-mixed</x:v>
      </x:c>
      <x:c r="D39" s="34" t="str">
        <x:v>Ryzen 9 9950X3D mixed gaming and creation profile</x:v>
      </x:c>
      <x:c r="E39" s="34" t="str">
        <x:v>cpu</x:v>
      </x:c>
      <x:c r="F39" s="83" t="n">
        <x:v>64</x:v>
      </x:c>
      <x:c r="G39" s="83" t="n">
        <x:v>0.591</x:v>
      </x:c>
      <x:c r="H39" s="34" t="str">
        <x:v>vector</x:v>
      </x:c>
      <x:c r="I39" s="34" t="str">
        <x:v>ollama</x:v>
      </x:c>
      <x:c r="J39" s="34" t="str">
        <x:v>nomic-embed-text</x:v>
      </x:c>
      <x:c r="K39" s="34" t="str">
        <x:v>cpu, amd, am5, zen5, 16-core, gaming, creator, enthusiast</x:v>
      </x:c>
      <x:c r="L39" s="34" t="str">
        <x:v>AMD Ryzen desktop processor specifications</x:v>
      </x:c>
      <x:c r="M39" s="34" t="str">
        <x:v>https://www.amd.com/en/products/processors/desktops/ryzen.html</x:v>
      </x:c>
      <x:c r="N39" s="35" t="str">
        <x:v>Ryzen 9 9950X3D combines 16 Zen 5 cores with second-generation 3D V-Cache on AM5. It fits premium systems that need strong gaming latency and high multicore throughput, but it should not displace cheaper eight-core X3D options in gaming-only budgets.</x:v>
      </x:c>
    </x:row>
    <x:row r="40">
      <x:c r="A40" s="33" t="str">
        <x:v>T02</x:v>
      </x:c>
      <x:c r="B40" s="34" t="n">
        <x:v>17</x:v>
      </x:c>
      <x:c r="C40" s="34" t="str">
        <x:v>upgrade-am5</x:v>
      </x:c>
      <x:c r="D40" s="34" t="str">
        <x:v>AM5 platform upgradeability</x:v>
      </x:c>
      <x:c r="E40" s="34" t="str">
        <x:v>planning</x:v>
      </x:c>
      <x:c r="F40" s="83" t="n">
        <x:v>64</x:v>
      </x:c>
      <x:c r="G40" s="83" t="n">
        <x:v>0.611</x:v>
      </x:c>
      <x:c r="H40" s="34" t="str">
        <x:v>vector</x:v>
      </x:c>
      <x:c r="I40" s="34" t="str">
        <x:v>ollama</x:v>
      </x:c>
      <x:c r="J40" s="34" t="str">
        <x:v>nomic-embed-text</x:v>
      </x:c>
      <x:c r="K40" s="34" t="str">
        <x:v>motherboard, am5, upgradeability, planning</x:v>
      </x:c>
      <x:c r="L40" s="34" t="str">
        <x:v>AIPC curated knowledge base</x:v>
      </x:c>
      <x:c r="M40" s="34" t="str"/>
      <x:c r="N40" s="35" t="str">
        <x:v>AM5 boards provide a clearer CPU upgrade path than mature end-of-cycle platforms. The value is highest when the user explicitly plans a future CPU upgrade.</x:v>
      </x:c>
    </x:row>
    <x:row r="41">
      <x:c r="A41" s="33" t="str">
        <x:v>T02</x:v>
      </x:c>
      <x:c r="B41" s="34" t="n">
        <x:v>18</x:v>
      </x:c>
      <x:c r="C41" s="34" t="str">
        <x:v>platform-am5-800-series</x:v>
      </x:c>
      <x:c r="D41" s="34" t="str">
        <x:v>AM5 B850 and X870 platform choice</x:v>
      </x:c>
      <x:c r="E41" s="34" t="str">
        <x:v>planning</x:v>
      </x:c>
      <x:c r="F41" s="83" t="n">
        <x:v>64</x:v>
      </x:c>
      <x:c r="G41" s="83" t="n">
        <x:v>0.607</x:v>
      </x:c>
      <x:c r="H41" s="34" t="str">
        <x:v>vector</x:v>
      </x:c>
      <x:c r="I41" s="34" t="str">
        <x:v>ollama</x:v>
      </x:c>
      <x:c r="J41" s="34" t="str">
        <x:v>nomic-embed-text</x:v>
      </x:c>
      <x:c r="K41" s="34" t="str">
        <x:v>motherboard, am5, b850, x870, usb4, pcie5, upgradeability</x:v>
      </x:c>
      <x:c r="L41" s="34" t="str">
        <x:v>AMD 800-series motherboard product specifications</x:v>
      </x:c>
      <x:c r="M41" s="34" t="str">
        <x:v>https://www.msi.com/Motherboard/MAG-X870-TOMAHAWK-WIFI/Specification</x:v>
      </x:c>
      <x:c r="N41" s="35" t="str">
        <x:v>B850 boards can provide PCIe 5.0 storage and mainstream connectivity, while X870 boards add mandatory USB4-class connectivity and often more high-speed I/O. Board selection should follow actual M.2, USB4, LAN, Wi-Fi, and expansion needs rather than chipset prestige.</x:v>
      </x:c>
    </x:row>
    <x:row r="42">
      <x:c r="A42" s="33" t="str">
        <x:v>T03</x:v>
      </x:c>
      <x:c r="B42" s="34" t="n">
        <x:v>1</x:v>
      </x:c>
      <x:c r="C42" s="34" t="str">
        <x:v>gpu-vram-ai</x:v>
      </x:c>
      <x:c r="D42" s="34" t="str">
        <x:v>VRAM is the primary local AI constraint</x:v>
      </x:c>
      <x:c r="E42" s="34" t="str">
        <x:v>workload</x:v>
      </x:c>
      <x:c r="F42" s="83" t="n">
        <x:v>77</x:v>
      </x:c>
      <x:c r="G42" s="83" t="n">
        <x:v>0.696</x:v>
      </x:c>
      <x:c r="H42" s="34" t="str">
        <x:v>vector</x:v>
      </x:c>
      <x:c r="I42" s="34" t="str">
        <x:v>ollama</x:v>
      </x:c>
      <x:c r="J42" s="34" t="str">
        <x:v>nomic-embed-text</x:v>
      </x:c>
      <x:c r="K42" s="34" t="str">
        <x:v>gpu, ai, vram, local-llm, diffusion</x:v>
      </x:c>
      <x:c r="L42" s="34" t="str">
        <x:v>AIPC curated knowledge base</x:v>
      </x:c>
      <x:c r="M42" s="34" t="str"/>
      <x:c r="N42" s="35" t="str">
        <x:v>Local LLM inference and diffusion workloads keep model weights and intermediate data in GPU memory. 12GB suits smaller experiments, 16GB is a strong hobbyist target, and 24GB materially expands the models and batch sizes that fit without CPU offload.</x:v>
      </x:c>
    </x:row>
    <x:row r="43">
      <x:c r="A43" s="33" t="str">
        <x:v>T03</x:v>
      </x:c>
      <x:c r="B43" s="34" t="n">
        <x:v>2</x:v>
      </x:c>
      <x:c r="C43" s="34" t="str">
        <x:v>gpu-4090-ai</x:v>
      </x:c>
      <x:c r="D43" s="34" t="str">
        <x:v>RTX 4090 local AI profile</x:v>
      </x:c>
      <x:c r="E43" s="34" t="str">
        <x:v>gpu</x:v>
      </x:c>
      <x:c r="F43" s="83" t="n">
        <x:v>76</x:v>
      </x:c>
      <x:c r="G43" s="83" t="n">
        <x:v>0.681</x:v>
      </x:c>
      <x:c r="H43" s="34" t="str">
        <x:v>vector</x:v>
      </x:c>
      <x:c r="I43" s="34" t="str">
        <x:v>ollama</x:v>
      </x:c>
      <x:c r="J43" s="34" t="str">
        <x:v>nomic-embed-text</x:v>
      </x:c>
      <x:c r="K43" s="34" t="str">
        <x:v>gpu, ai, cuda, 24gb, enthusiast</x:v>
      </x:c>
      <x:c r="L43" s="34" t="str">
        <x:v>AIPC curated knowledge base</x:v>
      </x:c>
      <x:c r="M43" s="34" t="str"/>
      <x:c r="N43" s="35" t="str">
        <x:v>The RTX 4090 combines 24GB VRAM with CUDA support. It is a high-cost option best considered when local AI capacity matters more than power draw or compact size.</x:v>
      </x:c>
    </x:row>
    <x:row r="44">
      <x:c r="A44" s="33" t="str">
        <x:v>T03</x:v>
      </x:c>
      <x:c r="B44" s="34" t="n">
        <x:v>3</x:v>
      </x:c>
      <x:c r="C44" s="34" t="str">
        <x:v>gpu-5080-blackwell</x:v>
      </x:c>
      <x:c r="D44" s="34" t="str">
        <x:v>RTX 5080 4K and creator profile</x:v>
      </x:c>
      <x:c r="E44" s="34" t="str">
        <x:v>gpu</x:v>
      </x:c>
      <x:c r="F44" s="83" t="n">
        <x:v>70</x:v>
      </x:c>
      <x:c r="G44" s="83" t="n">
        <x:v>0.616</x:v>
      </x:c>
      <x:c r="H44" s="34" t="str">
        <x:v>vector</x:v>
      </x:c>
      <x:c r="I44" s="34" t="str">
        <x:v>ollama</x:v>
      </x:c>
      <x:c r="J44" s="34" t="str">
        <x:v>nomic-embed-text</x:v>
      </x:c>
      <x:c r="K44" s="34" t="str">
        <x:v>gpu, nvidia, cuda, blackwell, 16gb, 4k, creator</x:v>
      </x:c>
      <x:c r="L44" s="34" t="str">
        <x:v>NVIDIA GeForce RTX 5080 specifications</x:v>
      </x:c>
      <x:c r="M44" s="34" t="str">
        <x:v>https://www.nvidia.com/en-us/geforce/graphics-cards/50-series/rtx-5080/</x:v>
      </x:c>
      <x:c r="N44"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45">
      <x:c r="A45" s="33" t="str">
        <x:v>T03</x:v>
      </x:c>
      <x:c r="B45" s="34" t="n">
        <x:v>4</x:v>
      </x:c>
      <x:c r="C45" s="34" t="str">
        <x:v>gpu-5070ti-blackwell</x:v>
      </x:c>
      <x:c r="D45" s="34" t="str">
        <x:v>RTX 5070 Ti balanced high-end profile</x:v>
      </x:c>
      <x:c r="E45" s="34" t="str">
        <x:v>gpu</x:v>
      </x:c>
      <x:c r="F45" s="83" t="n">
        <x:v>69</x:v>
      </x:c>
      <x:c r="G45" s="83" t="n">
        <x:v>0.61</x:v>
      </x:c>
      <x:c r="H45" s="34" t="str">
        <x:v>vector</x:v>
      </x:c>
      <x:c r="I45" s="34" t="str">
        <x:v>ollama</x:v>
      </x:c>
      <x:c r="J45" s="34" t="str">
        <x:v>nomic-embed-text</x:v>
      </x:c>
      <x:c r="K45" s="34" t="str">
        <x:v>gpu, nvidia, cuda, blackwell, 16gb, 1440p, 4k, balanced</x:v>
      </x:c>
      <x:c r="L45" s="34" t="str">
        <x:v>NVIDIA GeForce RTX 5070 family specifications</x:v>
      </x:c>
      <x:c r="M45" s="34" t="str">
        <x:v>https://www.nvidia.com/en-us/geforce/graphics-cards/50-series/rtx-5070-family/</x:v>
      </x:c>
      <x:c r="N45" s="35" t="str">
        <x:v>The GeForce RTX 5070 Ti provides 16GB GDDR7 and CUDA at a 300W reference power target. It is positioned for high-refresh 1440p, entry 4K, creator acceleration, and moderate local AI workloads without flagship cost.</x:v>
      </x:c>
    </x:row>
    <x:row r="46">
      <x:c r="A46" s="33" t="str">
        <x:v>T03</x:v>
      </x:c>
      <x:c r="B46" s="34" t="n">
        <x:v>5</x:v>
      </x:c>
      <x:c r="C46" s="34" t="str">
        <x:v>gpu-5060ti16-ai-value</x:v>
      </x:c>
      <x:c r="D46" s="34" t="str">
        <x:v>RTX 5060 Ti 16GB capacity-value trade-off</x:v>
      </x:c>
      <x:c r="E46" s="34" t="str">
        <x:v>gpu</x:v>
      </x:c>
      <x:c r="F46" s="83" t="n">
        <x:v>69</x:v>
      </x:c>
      <x:c r="G46" s="83" t="n">
        <x:v>0.614</x:v>
      </x:c>
      <x:c r="H46" s="34" t="str">
        <x:v>vector</x:v>
      </x:c>
      <x:c r="I46" s="34" t="str">
        <x:v>ollama</x:v>
      </x:c>
      <x:c r="J46" s="34" t="str">
        <x:v>nomic-embed-text</x:v>
      </x:c>
      <x:c r="K46" s="34" t="str">
        <x:v>gpu, nvidia, cuda, blackwell, 16gb, ai, value, efficient</x:v>
      </x:c>
      <x:c r="L46" s="34" t="str">
        <x:v>NVIDIA GeForce RTX 5060 family specifications</x:v>
      </x:c>
      <x:c r="M46" s="34" t="str">
        <x:v>https://www.nvidia.com/en-us/geforce/graphics-cards/50-series/rtx-5060-family/</x:v>
      </x:c>
      <x:c r="N46"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47">
      <x:c r="A47" s="33" t="str">
        <x:v>T03</x:v>
      </x:c>
      <x:c r="B47" s="34" t="n">
        <x:v>6</x:v>
      </x:c>
      <x:c r="C47" s="34" t="str">
        <x:v>gpu-cuda-ai</x:v>
      </x:c>
      <x:c r="D47" s="34" t="str">
        <x:v>CUDA ecosystem preference</x:v>
      </x:c>
      <x:c r="E47" s="34" t="str">
        <x:v>workload</x:v>
      </x:c>
      <x:c r="F47" s="83" t="n">
        <x:v>69</x:v>
      </x:c>
      <x:c r="G47" s="83" t="n">
        <x:v>0.627</x:v>
      </x:c>
      <x:c r="H47" s="34" t="str">
        <x:v>vector</x:v>
      </x:c>
      <x:c r="I47" s="34" t="str">
        <x:v>ollama</x:v>
      </x:c>
      <x:c r="J47" s="34" t="str">
        <x:v>nomic-embed-text</x:v>
      </x:c>
      <x:c r="K47" s="34" t="str">
        <x:v>gpu, ai, cuda, nvidia, compatibility</x:v>
      </x:c>
      <x:c r="L47" s="34" t="str">
        <x:v>AIPC curated knowledge base</x:v>
      </x:c>
      <x:c r="M47" s="34" t="str"/>
      <x:c r="N47" s="35" t="str">
        <x:v>Many common AI tools are optimized first for NVIDIA CUDA. AMD cards can offer strong raster value, but users who need broad framework compatibility should prioritize CUDA unless they have verified their exact stack.</x:v>
      </x:c>
    </x:row>
    <x:row r="48">
      <x:c r="A48" s="33" t="str">
        <x:v>T03</x:v>
      </x:c>
      <x:c r="B48" s="34" t="n">
        <x:v>7</x:v>
      </x:c>
      <x:c r="C48" s="34" t="str">
        <x:v>gpu-4070s-gaming</x:v>
      </x:c>
      <x:c r="D48" s="34" t="str">
        <x:v>RTX 4070 Super gaming profile</x:v>
      </x:c>
      <x:c r="E48" s="34" t="str">
        <x:v>gpu</x:v>
      </x:c>
      <x:c r="F48" s="83" t="n">
        <x:v>67</x:v>
      </x:c>
      <x:c r="G48" s="83" t="n">
        <x:v>0.594</x:v>
      </x:c>
      <x:c r="H48" s="34" t="str">
        <x:v>vector</x:v>
      </x:c>
      <x:c r="I48" s="34" t="str">
        <x:v>ollama</x:v>
      </x:c>
      <x:c r="J48" s="34" t="str">
        <x:v>nomic-embed-text</x:v>
      </x:c>
      <x:c r="K48" s="34" t="str">
        <x:v>gpu, gaming, 1440p, cuda, 12gb, efficient</x:v>
      </x:c>
      <x:c r="L48" s="34" t="str">
        <x:v>AIPC curated knowledge base</x:v>
      </x:c>
      <x:c r="M48" s="34" t="str"/>
      <x:c r="N48" s="35" t="str">
        <x:v>The RTX 4070 Super is efficient for high-quality 1440p gaming and supports CUDA, but its 12GB VRAM is less flexible for larger local AI workloads.</x:v>
      </x:c>
    </x:row>
    <x:row r="49">
      <x:c r="A49" s="33" t="str">
        <x:v>T03</x:v>
      </x:c>
      <x:c r="B49" s="34" t="n">
        <x:v>8</x:v>
      </x:c>
      <x:c r="C49" s="34" t="str">
        <x:v>gpu-4070tis-balanced</x:v>
      </x:c>
      <x:c r="D49" s="34" t="str">
        <x:v>RTX 4070 Ti Super balanced profile</x:v>
      </x:c>
      <x:c r="E49" s="34" t="str">
        <x:v>gpu</x:v>
      </x:c>
      <x:c r="F49" s="83" t="n">
        <x:v>67</x:v>
      </x:c>
      <x:c r="G49" s="83" t="n">
        <x:v>0.591</x:v>
      </x:c>
      <x:c r="H49" s="34" t="str">
        <x:v>vector</x:v>
      </x:c>
      <x:c r="I49" s="34" t="str">
        <x:v>ollama</x:v>
      </x:c>
      <x:c r="J49" s="34" t="str">
        <x:v>nomic-embed-text</x:v>
      </x:c>
      <x:c r="K49" s="34" t="str">
        <x:v>gpu, gaming, ai, cuda, 16gb, balanced</x:v>
      </x:c>
      <x:c r="L49" s="34" t="str">
        <x:v>AIPC curated knowledge base</x:v>
      </x:c>
      <x:c r="M49" s="34" t="str"/>
      <x:c r="N49" s="35" t="str">
        <x:v>The RTX 4070 Ti Super provides 16GB VRAM and strong 1440p to 4K capability at lower power and cost than flagship GPUs. It is a balanced choice for mixed gaming, creative, and CUDA work.</x:v>
      </x:c>
    </x:row>
    <x:row r="50">
      <x:c r="A50" s="33" t="str">
        <x:v>T03</x:v>
      </x:c>
      <x:c r="B50" s="34" t="n">
        <x:v>9</x:v>
      </x:c>
      <x:c r="C50" s="34" t="str">
        <x:v>ram-capacity-ai</x:v>
      </x:c>
      <x:c r="D50" s="34" t="str">
        <x:v>System RAM for local AI</x:v>
      </x:c>
      <x:c r="E50" s="34" t="str">
        <x:v>workload</x:v>
      </x:c>
      <x:c r="F50" s="83" t="n">
        <x:v>61</x:v>
      </x:c>
      <x:c r="G50" s="83" t="n">
        <x:v>0.566</x:v>
      </x:c>
      <x:c r="H50" s="34" t="str">
        <x:v>vector</x:v>
      </x:c>
      <x:c r="I50" s="34" t="str">
        <x:v>ollama</x:v>
      </x:c>
      <x:c r="J50" s="34" t="str">
        <x:v>nomic-embed-text</x:v>
      </x:c>
      <x:c r="K50" s="34" t="str">
        <x:v>ram, ai, local-llm, 64gb, 96gb</x:v>
      </x:c>
      <x:c r="L50" s="34" t="str">
        <x:v>AIPC curated knowledge base</x:v>
      </x:c>
      <x:c r="M50" s="34" t="str"/>
      <x:c r="N50" s="35" t="str">
        <x:v>System RAM does not replace VRAM, but 64GB or more helps with model loading, CPU offload, data preparation, and running supporting services beside a local model.</x:v>
      </x:c>
    </x:row>
    <x:row r="51">
      <x:c r="A51" s="33" t="str">
        <x:v>T03</x:v>
      </x:c>
      <x:c r="B51" s="34" t="n">
        <x:v>10</x:v>
      </x:c>
      <x:c r="C51" s="34" t="str">
        <x:v>gaming-4k-240</x:v>
      </x:c>
      <x:c r="D51" s="34" t="str">
        <x:v>4K 240Hz target trade-off</x:v>
      </x:c>
      <x:c r="E51" s="34" t="str">
        <x:v>workload</x:v>
      </x:c>
      <x:c r="F51" s="83" t="n">
        <x:v>56</x:v>
      </x:c>
      <x:c r="G51" s="83" t="n">
        <x:v>0.516</x:v>
      </x:c>
      <x:c r="H51" s="34" t="str">
        <x:v>vector</x:v>
      </x:c>
      <x:c r="I51" s="34" t="str">
        <x:v>ollama</x:v>
      </x:c>
      <x:c r="J51" s="34" t="str">
        <x:v>nomic-embed-text</x:v>
      </x:c>
      <x:c r="K51" s="34" t="str">
        <x:v>gaming, 4k, 240fps, high-fps, gpu, trade-off</x:v>
      </x:c>
      <x:c r="L51" s="34" t="str">
        <x:v>AIPC curated knowledge base</x:v>
      </x:c>
      <x:c r="M51" s="34" t="str"/>
      <x:c r="N51" s="35" t="str">
        <x:v>A 4K 240Hz target is exceptionally demanding and depends heavily on the game, settings, and upscaling. The recommendation should maximize GPU headroom without claiming that every title will sustain 240 FPS.</x:v>
      </x:c>
    </x:row>
    <x:row r="52">
      <x:c r="A52" s="33" t="str">
        <x:v>T03</x:v>
      </x:c>
      <x:c r="B52" s="34" t="n">
        <x:v>11</x:v>
      </x:c>
      <x:c r="C52" s="34" t="str">
        <x:v>case-north-airflow</x:v>
      </x:c>
      <x:c r="D52" s="34" t="str">
        <x:v>Fractal North balanced airflow</x:v>
      </x:c>
      <x:c r="E52" s="34" t="str">
        <x:v>case</x:v>
      </x:c>
      <x:c r="F52" s="83" t="n">
        <x:v>56</x:v>
      </x:c>
      <x:c r="G52" s="83" t="n">
        <x:v>0.496</x:v>
      </x:c>
      <x:c r="H52" s="34" t="str">
        <x:v>vector</x:v>
      </x:c>
      <x:c r="I52" s="34" t="str">
        <x:v>ollama</x:v>
      </x:c>
      <x:c r="J52" s="34" t="str">
        <x:v>nomic-embed-text</x:v>
      </x:c>
      <x:c r="K52" s="34" t="str">
        <x:v>case, atx, airflow, quiet, upgradeability</x:v>
      </x:c>
      <x:c r="L52" s="34" t="str">
        <x:v>AIPC curated knowledge base</x:v>
      </x:c>
      <x:c r="M52" s="34" t="str"/>
      <x:c r="N52" s="35" t="str">
        <x:v>The Fractal North supports full-size ATX components with 355mm GPU clearance and 170mm air-cooler clearance. It balances airflow, acoustics, and upgrade room.</x:v>
      </x:c>
    </x:row>
    <x:row r="53">
      <x:c r="A53" s="33" t="str">
        <x:v>T03</x:v>
      </x:c>
      <x:c r="B53" s="34" t="n">
        <x:v>12</x:v>
      </x:c>
      <x:c r="C53" s="34" t="str">
        <x:v>gaming-4k</x:v>
      </x:c>
      <x:c r="D53" s="34" t="str">
        <x:v>4K gaming allocation</x:v>
      </x:c>
      <x:c r="E53" s="34" t="str">
        <x:v>workload</x:v>
      </x:c>
      <x:c r="F53" s="83" t="n">
        <x:v>55</x:v>
      </x:c>
      <x:c r="G53" s="83" t="n">
        <x:v>0.518</x:v>
      </x:c>
      <x:c r="H53" s="34" t="str">
        <x:v>vector</x:v>
      </x:c>
      <x:c r="I53" s="34" t="str">
        <x:v>ollama</x:v>
      </x:c>
      <x:c r="J53" s="34" t="str">
        <x:v>nomic-embed-text</x:v>
      </x:c>
      <x:c r="K53" s="34" t="str">
        <x:v>gaming, 4k, gpu, high-end</x:v>
      </x:c>
      <x:c r="L53" s="34" t="str">
        <x:v>AIPC curated knowledge base</x:v>
      </x:c>
      <x:c r="M53" s="34" t="str"/>
      <x:c r="N53" s="35" t="str">
        <x:v>At 4K the GPU is normally the primary performance constraint. Budget should favor the graphics card while retaining enough CPU, cooling, and PSU quality to avoid platform imbalance.</x:v>
      </x:c>
    </x:row>
    <x:row r="54">
      <x:c r="A54" s="33" t="str">
        <x:v>T04</x:v>
      </x:c>
      <x:c r="B54" s="34" t="n">
        <x:v>1</x:v>
      </x:c>
      <x:c r="C54" s="34" t="str">
        <x:v>gpu-5070ti-blackwell</x:v>
      </x:c>
      <x:c r="D54" s="34" t="str">
        <x:v>RTX 5070 Ti balanced high-end profile</x:v>
      </x:c>
      <x:c r="E54" s="34" t="str">
        <x:v>gpu</x:v>
      </x:c>
      <x:c r="F54" s="83" t="n">
        <x:v>74</x:v>
      </x:c>
      <x:c r="G54" s="83" t="n">
        <x:v>0.68</x:v>
      </x:c>
      <x:c r="H54" s="34" t="str">
        <x:v>vector</x:v>
      </x:c>
      <x:c r="I54" s="34" t="str">
        <x:v>ollama</x:v>
      </x:c>
      <x:c r="J54" s="34" t="str">
        <x:v>nomic-embed-text</x:v>
      </x:c>
      <x:c r="K54" s="34" t="str">
        <x:v>gpu, nvidia, cuda, blackwell, 16gb, 1440p, 4k, balanced</x:v>
      </x:c>
      <x:c r="L54" s="34" t="str">
        <x:v>NVIDIA GeForce RTX 5070 family specifications</x:v>
      </x:c>
      <x:c r="M54" s="34" t="str">
        <x:v>https://www.nvidia.com/en-us/geforce/graphics-cards/50-series/rtx-5070-family/</x:v>
      </x:c>
      <x:c r="N54" s="35" t="str">
        <x:v>The GeForce RTX 5070 Ti provides 16GB GDDR7 and CUDA at a 300W reference power target. It is positioned for high-refresh 1440p, entry 4K, creator acceleration, and moderate local AI workloads without flagship cost.</x:v>
      </x:c>
    </x:row>
    <x:row r="55">
      <x:c r="A55" s="33" t="str">
        <x:v>T04</x:v>
      </x:c>
      <x:c r="B55" s="34" t="n">
        <x:v>2</x:v>
      </x:c>
      <x:c r="C55" s="34" t="str">
        <x:v>gpu-4070tis-balanced</x:v>
      </x:c>
      <x:c r="D55" s="34" t="str">
        <x:v>RTX 4070 Ti Super balanced profile</x:v>
      </x:c>
      <x:c r="E55" s="34" t="str">
        <x:v>gpu</x:v>
      </x:c>
      <x:c r="F55" s="83" t="n">
        <x:v>71</x:v>
      </x:c>
      <x:c r="G55" s="83" t="n">
        <x:v>0.67</x:v>
      </x:c>
      <x:c r="H55" s="34" t="str">
        <x:v>vector</x:v>
      </x:c>
      <x:c r="I55" s="34" t="str">
        <x:v>ollama</x:v>
      </x:c>
      <x:c r="J55" s="34" t="str">
        <x:v>nomic-embed-text</x:v>
      </x:c>
      <x:c r="K55" s="34" t="str">
        <x:v>gpu, gaming, ai, cuda, 16gb, balanced</x:v>
      </x:c>
      <x:c r="L55" s="34" t="str">
        <x:v>AIPC curated knowledge base</x:v>
      </x:c>
      <x:c r="M55" s="34" t="str"/>
      <x:c r="N55" s="35" t="str">
        <x:v>The RTX 4070 Ti Super provides 16GB VRAM and strong 1440p to 4K capability at lower power and cost than flagship GPUs. It is a balanced choice for mixed gaming, creative, and CUDA work.</x:v>
      </x:c>
    </x:row>
    <x:row r="56">
      <x:c r="A56" s="33" t="str">
        <x:v>T04</x:v>
      </x:c>
      <x:c r="B56" s="34" t="n">
        <x:v>3</x:v>
      </x:c>
      <x:c r="C56" s="34" t="str">
        <x:v>gpu-5060ti16-ai-value</x:v>
      </x:c>
      <x:c r="D56" s="34" t="str">
        <x:v>RTX 5060 Ti 16GB capacity-value trade-off</x:v>
      </x:c>
      <x:c r="E56" s="34" t="str">
        <x:v>gpu</x:v>
      </x:c>
      <x:c r="F56" s="83" t="n">
        <x:v>67</x:v>
      </x:c>
      <x:c r="G56" s="83" t="n">
        <x:v>0.629</x:v>
      </x:c>
      <x:c r="H56" s="34" t="str">
        <x:v>vector</x:v>
      </x:c>
      <x:c r="I56" s="34" t="str">
        <x:v>ollama</x:v>
      </x:c>
      <x:c r="J56" s="34" t="str">
        <x:v>nomic-embed-text</x:v>
      </x:c>
      <x:c r="K56" s="34" t="str">
        <x:v>gpu, nvidia, cuda, blackwell, 16gb, ai, value, efficient</x:v>
      </x:c>
      <x:c r="L56" s="34" t="str">
        <x:v>NVIDIA GeForce RTX 5060 family specifications</x:v>
      </x:c>
      <x:c r="M56" s="34" t="str">
        <x:v>https://www.nvidia.com/en-us/geforce/graphics-cards/50-series/rtx-5060-family/</x:v>
      </x:c>
      <x:c r="N56"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57">
      <x:c r="A57" s="33" t="str">
        <x:v>T04</x:v>
      </x:c>
      <x:c r="B57" s="34" t="n">
        <x:v>4</x:v>
      </x:c>
      <x:c r="C57" s="34" t="str">
        <x:v>gpu-5080-blackwell</x:v>
      </x:c>
      <x:c r="D57" s="34" t="str">
        <x:v>RTX 5080 4K and creator profile</x:v>
      </x:c>
      <x:c r="E57" s="34" t="str">
        <x:v>gpu</x:v>
      </x:c>
      <x:c r="F57" s="83" t="n">
        <x:v>66</x:v>
      </x:c>
      <x:c r="G57" s="83" t="n">
        <x:v>0.616</x:v>
      </x:c>
      <x:c r="H57" s="34" t="str">
        <x:v>vector</x:v>
      </x:c>
      <x:c r="I57" s="34" t="str">
        <x:v>ollama</x:v>
      </x:c>
      <x:c r="J57" s="34" t="str">
        <x:v>nomic-embed-text</x:v>
      </x:c>
      <x:c r="K57" s="34" t="str">
        <x:v>gpu, nvidia, cuda, blackwell, 16gb, 4k, creator</x:v>
      </x:c>
      <x:c r="L57" s="34" t="str">
        <x:v>NVIDIA GeForce RTX 5080 specifications</x:v>
      </x:c>
      <x:c r="M57" s="34" t="str">
        <x:v>https://www.nvidia.com/en-us/geforce/graphics-cards/50-series/rtx-5080/</x:v>
      </x:c>
      <x:c r="N57"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58">
      <x:c r="A58" s="33" t="str">
        <x:v>T04</x:v>
      </x:c>
      <x:c r="B58" s="34" t="n">
        <x:v>5</x:v>
      </x:c>
      <x:c r="C58" s="34" t="str">
        <x:v>gaming-1440p</x:v>
      </x:c>
      <x:c r="D58" s="34" t="str">
        <x:v>1440p gaming allocation</x:v>
      </x:c>
      <x:c r="E58" s="34" t="str">
        <x:v>workload</x:v>
      </x:c>
      <x:c r="F58" s="83" t="n">
        <x:v>65</x:v>
      </x:c>
      <x:c r="G58" s="83" t="n">
        <x:v>0.606</x:v>
      </x:c>
      <x:c r="H58" s="34" t="str">
        <x:v>vector</x:v>
      </x:c>
      <x:c r="I58" s="34" t="str">
        <x:v>ollama</x:v>
      </x:c>
      <x:c r="J58" s="34" t="str">
        <x:v>nomic-embed-text</x:v>
      </x:c>
      <x:c r="K58" s="34" t="str">
        <x:v>gaming, 1440p, gpu, value</x:v>
      </x:c>
      <x:c r="L58" s="34" t="str">
        <x:v>AIPC curated knowledge base</x:v>
      </x:c>
      <x:c r="M58" s="34" t="str"/>
      <x:c r="N58" s="35" t="str">
        <x:v>1440p gaming usually benefits from a GPU-first budget with a balanced modern CPU. It is the broadest value target for high-refresh PC gaming.</x:v>
      </x:c>
    </x:row>
    <x:row r="59">
      <x:c r="A59" s="33" t="str">
        <x:v>T04</x:v>
      </x:c>
      <x:c r="B59" s="34" t="n">
        <x:v>6</x:v>
      </x:c>
      <x:c r="C59" s="34" t="str">
        <x:v>gpu-4090-ai</x:v>
      </x:c>
      <x:c r="D59" s="34" t="str">
        <x:v>RTX 4090 local AI profile</x:v>
      </x:c>
      <x:c r="E59" s="34" t="str">
        <x:v>gpu</x:v>
      </x:c>
      <x:c r="F59" s="83" t="n">
        <x:v>64</x:v>
      </x:c>
      <x:c r="G59" s="83" t="n">
        <x:v>0.626</x:v>
      </x:c>
      <x:c r="H59" s="34" t="str">
        <x:v>vector</x:v>
      </x:c>
      <x:c r="I59" s="34" t="str">
        <x:v>ollama</x:v>
      </x:c>
      <x:c r="J59" s="34" t="str">
        <x:v>nomic-embed-text</x:v>
      </x:c>
      <x:c r="K59" s="34" t="str">
        <x:v>gpu, ai, cuda, 24gb, enthusiast</x:v>
      </x:c>
      <x:c r="L59" s="34" t="str">
        <x:v>AIPC curated knowledge base</x:v>
      </x:c>
      <x:c r="M59" s="34" t="str"/>
      <x:c r="N59" s="35" t="str">
        <x:v>The RTX 4090 combines 24GB VRAM with CUDA support. It is a high-cost option best considered when local AI capacity matters more than power draw or compact size.</x:v>
      </x:c>
    </x:row>
    <x:row r="60">
      <x:c r="A60" s="33" t="str">
        <x:v>T04</x:v>
      </x:c>
      <x:c r="B60" s="34" t="n">
        <x:v>7</x:v>
      </x:c>
      <x:c r="C60" s="34" t="str">
        <x:v>gpu-4070s-gaming</x:v>
      </x:c>
      <x:c r="D60" s="34" t="str">
        <x:v>RTX 4070 Super gaming profile</x:v>
      </x:c>
      <x:c r="E60" s="34" t="str">
        <x:v>gpu</x:v>
      </x:c>
      <x:c r="F60" s="83" t="n">
        <x:v>64</x:v>
      </x:c>
      <x:c r="G60" s="83" t="n">
        <x:v>0.612</x:v>
      </x:c>
      <x:c r="H60" s="34" t="str">
        <x:v>vector</x:v>
      </x:c>
      <x:c r="I60" s="34" t="str">
        <x:v>ollama</x:v>
      </x:c>
      <x:c r="J60" s="34" t="str">
        <x:v>nomic-embed-text</x:v>
      </x:c>
      <x:c r="K60" s="34" t="str">
        <x:v>gpu, gaming, 1440p, cuda, 12gb, efficient</x:v>
      </x:c>
      <x:c r="L60" s="34" t="str">
        <x:v>AIPC curated knowledge base</x:v>
      </x:c>
      <x:c r="M60" s="34" t="str"/>
      <x:c r="N60" s="35" t="str">
        <x:v>The RTX 4070 Super is efficient for high-quality 1440p gaming and supports CUDA, but its 12GB VRAM is less flexible for larger local AI workloads.</x:v>
      </x:c>
    </x:row>
    <x:row r="61">
      <x:c r="A61" s="33" t="str">
        <x:v>T04</x:v>
      </x:c>
      <x:c r="B61" s="34" t="n">
        <x:v>8</x:v>
      </x:c>
      <x:c r="C61" s="34" t="str">
        <x:v>storage-pcie5-thermal</x:v>
      </x:c>
      <x:c r="D61" s="34" t="str">
        <x:v>PCIe 5.0 SSD performance and thermal trade-off</x:v>
      </x:c>
      <x:c r="E61" s="34" t="str">
        <x:v>storage</x:v>
      </x:c>
      <x:c r="F61" s="83" t="n">
        <x:v>62</x:v>
      </x:c>
      <x:c r="G61" s="83" t="n">
        <x:v>0.604</x:v>
      </x:c>
      <x:c r="H61" s="34" t="str">
        <x:v>vector</x:v>
      </x:c>
      <x:c r="I61" s="34" t="str">
        <x:v>ollama</x:v>
      </x:c>
      <x:c r="J61" s="34" t="str">
        <x:v>nomic-embed-text</x:v>
      </x:c>
      <x:c r="K61" s="34" t="str">
        <x:v>storage, nvme, pcie5, thermal, creator, development, value</x:v>
      </x:c>
      <x:c r="L61" s="34" t="str">
        <x:v>Samsung 9100 Pro official specifications</x:v>
      </x:c>
      <x:c r="M61" s="34" t="str">
        <x:v>https://www.samsung.com/us/memory-storage/nvme-ssd/9100-pro-nvme-ssd-sku-mz-vap4t0b-am/</x:v>
      </x:c>
      <x:c r="N61"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62">
      <x:c r="A62" s="33" t="str">
        <x:v>T04</x:v>
      </x:c>
      <x:c r="B62" s="34" t="n">
        <x:v>9</x:v>
      </x:c>
      <x:c r="C62" s="34" t="str">
        <x:v>cpu-7700-balanced</x:v>
      </x:c>
      <x:c r="D62" s="34" t="str">
        <x:v>Ryzen 7 7700 balanced profile</x:v>
      </x:c>
      <x:c r="E62" s="34" t="str">
        <x:v>cpu</x:v>
      </x:c>
      <x:c r="F62" s="83" t="n">
        <x:v>59</x:v>
      </x:c>
      <x:c r="G62" s="83" t="n">
        <x:v>0.561</x:v>
      </x:c>
      <x:c r="H62" s="34" t="str">
        <x:v>vector</x:v>
      </x:c>
      <x:c r="I62" s="34" t="str">
        <x:v>ollama</x:v>
      </x:c>
      <x:c r="J62" s="34" t="str">
        <x:v>nomic-embed-text</x:v>
      </x:c>
      <x:c r="K62" s="34" t="str">
        <x:v>cpu, development, balanced, quiet, efficient, am5</x:v>
      </x:c>
      <x:c r="L62" s="34" t="str">
        <x:v>AIPC curated knowledge base</x:v>
      </x:c>
      <x:c r="M62" s="34" t="str"/>
      <x:c r="N62" s="35" t="str">
        <x:v>The Ryzen 7 7700 combines eight cores with a 65W rating. It is a quiet, efficient foundation for development and balanced builds with a useful AM5 upgrade path.</x:v>
      </x:c>
    </x:row>
    <x:row r="63">
      <x:c r="A63" s="33" t="str">
        <x:v>T04</x:v>
      </x:c>
      <x:c r="B63" s="34" t="n">
        <x:v>10</x:v>
      </x:c>
      <x:c r="C63" s="34" t="str">
        <x:v>storage-workstation</x:v>
      </x:c>
      <x:c r="D63" s="34" t="str">
        <x:v>NVMe capacity for workstation use</x:v>
      </x:c>
      <x:c r="E63" s="34" t="str">
        <x:v>workload</x:v>
      </x:c>
      <x:c r="F63" s="83" t="n">
        <x:v>59</x:v>
      </x:c>
      <x:c r="G63" s="83" t="n">
        <x:v>0.578</x:v>
      </x:c>
      <x:c r="H63" s="34" t="str">
        <x:v>vector</x:v>
      </x:c>
      <x:c r="I63" s="34" t="str">
        <x:v>ollama</x:v>
      </x:c>
      <x:c r="J63" s="34" t="str">
        <x:v>nomic-embed-text</x:v>
      </x:c>
      <x:c r="K63" s="34" t="str">
        <x:v>storage, nvme, development, video, 2tb</x:v>
      </x:c>
      <x:c r="L63" s="34" t="str">
        <x:v>AIPC curated knowledge base</x:v>
      </x:c>
      <x:c r="M63" s="34" t="str"/>
      <x:c r="N63" s="35" t="str">
        <x:v>Development and editing systems benefit from 2TB or more of fast NVMe storage for repositories, containers, caches, footage, and active projects.</x:v>
      </x:c>
    </x:row>
    <x:row r="64">
      <x:c r="A64" s="33" t="str">
        <x:v>T04</x:v>
      </x:c>
      <x:c r="B64" s="34" t="n">
        <x:v>11</x:v>
      </x:c>
      <x:c r="C64" s="34" t="str">
        <x:v>gaming-1080p</x:v>
      </x:c>
      <x:c r="D64" s="34" t="str">
        <x:v>1080p gaming allocation</x:v>
      </x:c>
      <x:c r="E64" s="34" t="str">
        <x:v>workload</x:v>
      </x:c>
      <x:c r="F64" s="83" t="n">
        <x:v>58</x:v>
      </x:c>
      <x:c r="G64" s="83" t="n">
        <x:v>0.552</x:v>
      </x:c>
      <x:c r="H64" s="34" t="str">
        <x:v>vector</x:v>
      </x:c>
      <x:c r="I64" s="34" t="str">
        <x:v>ollama</x:v>
      </x:c>
      <x:c r="J64" s="34" t="str">
        <x:v>nomic-embed-text</x:v>
      </x:c>
      <x:c r="K64" s="34" t="str">
        <x:v>gaming, 1080p, high-fps, cpu</x:v>
      </x:c>
      <x:c r="L64" s="34" t="str">
        <x:v>AIPC curated knowledge base</x:v>
      </x:c>
      <x:c r="M64" s="34" t="str"/>
      <x:c r="N64" s="35" t="str">
        <x:v>At 1080p and high refresh rates, CPU frame delivery matters more than at higher resolutions. GPU budget remains important, but extreme GPU spending can produce diminishing returns.</x:v>
      </x:c>
    </x:row>
    <x:row r="65">
      <x:c r="A65" s="33" t="str">
        <x:v>T04</x:v>
      </x:c>
      <x:c r="B65" s="34" t="n">
        <x:v>12</x:v>
      </x:c>
      <x:c r="C65" s="34" t="str">
        <x:v>cpu-9950x3d-mixed</x:v>
      </x:c>
      <x:c r="D65" s="34" t="str">
        <x:v>Ryzen 9 9950X3D mixed gaming and creation profile</x:v>
      </x:c>
      <x:c r="E65" s="34" t="str">
        <x:v>cpu</x:v>
      </x:c>
      <x:c r="F65" s="83" t="n">
        <x:v>57</x:v>
      </x:c>
      <x:c r="G65" s="83" t="n">
        <x:v>0.552</x:v>
      </x:c>
      <x:c r="H65" s="34" t="str">
        <x:v>vector</x:v>
      </x:c>
      <x:c r="I65" s="34" t="str">
        <x:v>ollama</x:v>
      </x:c>
      <x:c r="J65" s="34" t="str">
        <x:v>nomic-embed-text</x:v>
      </x:c>
      <x:c r="K65" s="34" t="str">
        <x:v>cpu, amd, am5, zen5, 16-core, gaming, creator, enthusiast</x:v>
      </x:c>
      <x:c r="L65" s="34" t="str">
        <x:v>AMD Ryzen desktop processor specifications</x:v>
      </x:c>
      <x:c r="M65" s="34" t="str">
        <x:v>https://www.amd.com/en/products/processors/desktops/ryzen.html</x:v>
      </x:c>
      <x:c r="N65" s="35" t="str">
        <x:v>Ryzen 9 9950X3D combines 16 Zen 5 cores with second-generation 3D V-Cache on AM5. It fits premium systems that need strong gaming latency and high multicore throughput, but it should not displace cheaper eight-core X3D options in gaming-only budgets.</x:v>
      </x:c>
    </x:row>
    <x:row r="66">
      <x:c r="A66" s="33" t="str">
        <x:v>T04</x:v>
      </x:c>
      <x:c r="B66" s="34" t="n">
        <x:v>13</x:v>
      </x:c>
      <x:c r="C66" s="34" t="str">
        <x:v>cpu-14700k-high-refresh</x:v>
      </x:c>
      <x:c r="D66" s="34" t="str">
        <x:v>Core i7-14700K high-refresh gaming profile</x:v>
      </x:c>
      <x:c r="E66" s="34" t="str">
        <x:v>cpu</x:v>
      </x:c>
      <x:c r="F66" s="83" t="n">
        <x:v>57</x:v>
      </x:c>
      <x:c r="G66" s="83" t="n">
        <x:v>0.54</x:v>
      </x:c>
      <x:c r="H66" s="34" t="str">
        <x:v>vector</x:v>
      </x:c>
      <x:c r="I66" s="34" t="str">
        <x:v>ollama</x:v>
      </x:c>
      <x:c r="J66" s="34" t="str">
        <x:v>nomic-embed-text</x:v>
      </x:c>
      <x:c r="K66" s="34" t="str">
        <x:v>cpu, intel, gaming, high-fps, lga1700, high-power</x:v>
      </x:c>
      <x:c r="L66" s="34" t="str">
        <x:v>AIPC curated knowledge base</x:v>
      </x:c>
      <x:c r="M66" s="34" t="str"/>
      <x:c r="N66" s="35" t="str">
        <x:v>The Core i7-14700K is an Intel LGA1700 option for high-refresh gaming and mixed productivity. Its high peak power requires substantial cooling, and the mature socket has less future CPU upgrade room than newer platforms.</x:v>
      </x:c>
    </x:row>
    <x:row r="67">
      <x:c r="A67" s="33" t="str">
        <x:v>T04</x:v>
      </x:c>
      <x:c r="B67" s="34" t="n">
        <x:v>14</x:v>
      </x:c>
      <x:c r="C67" s="34" t="str">
        <x:v>cooler-pa120</x:v>
      </x:c>
      <x:c r="D67" s="34" t="str">
        <x:v>Peerless Assassin value cooling</x:v>
      </x:c>
      <x:c r="E67" s="34" t="str">
        <x:v>cooler</x:v>
      </x:c>
      <x:c r="F67" s="83" t="n">
        <x:v>57</x:v>
      </x:c>
      <x:c r="G67" s="83" t="n">
        <x:v>0.557</x:v>
      </x:c>
      <x:c r="H67" s="34" t="str">
        <x:v>vector</x:v>
      </x:c>
      <x:c r="I67" s="34" t="str">
        <x:v>ollama</x:v>
      </x:c>
      <x:c r="J67" s="34" t="str">
        <x:v>nomic-embed-text</x:v>
      </x:c>
      <x:c r="K67" s="34" t="str">
        <x:v>cooler, air, value, quiet</x:v>
      </x:c>
      <x:c r="L67" s="34" t="str">
        <x:v>AIPC curated knowledge base</x:v>
      </x:c>
      <x:c r="M67" s="34" t="str"/>
      <x:c r="N67" s="35" t="str">
        <x:v>The Peerless Assassin 120 SE offers high air-cooling capacity at low cost. It is well suited to mainstream and many high-tier CPUs when case height allows it.</x:v>
      </x:c>
    </x:row>
    <x:row r="68">
      <x:c r="A68" s="33" t="str">
        <x:v>T04</x:v>
      </x:c>
      <x:c r="B68" s="34" t="n">
        <x:v>15</x:v>
      </x:c>
      <x:c r="C68" s="34" t="str">
        <x:v>case-north-airflow</x:v>
      </x:c>
      <x:c r="D68" s="34" t="str">
        <x:v>Fractal North balanced airflow</x:v>
      </x:c>
      <x:c r="E68" s="34" t="str">
        <x:v>case</x:v>
      </x:c>
      <x:c r="F68" s="83" t="n">
        <x:v>57</x:v>
      </x:c>
      <x:c r="G68" s="83" t="n">
        <x:v>0.536</x:v>
      </x:c>
      <x:c r="H68" s="34" t="str">
        <x:v>vector</x:v>
      </x:c>
      <x:c r="I68" s="34" t="str">
        <x:v>ollama</x:v>
      </x:c>
      <x:c r="J68" s="34" t="str">
        <x:v>nomic-embed-text</x:v>
      </x:c>
      <x:c r="K68" s="34" t="str">
        <x:v>case, atx, airflow, quiet, upgradeability</x:v>
      </x:c>
      <x:c r="L68" s="34" t="str">
        <x:v>AIPC curated knowledge base</x:v>
      </x:c>
      <x:c r="M68" s="34" t="str"/>
      <x:c r="N68" s="35" t="str">
        <x:v>The Fractal North supports full-size ATX components with 355mm GPU clearance and 170mm air-cooler clearance. It balances airflow, acoustics, and upgrade room.</x:v>
      </x:c>
    </x:row>
    <x:row r="69">
      <x:c r="A69" s="33" t="str">
        <x:v>T04</x:v>
      </x:c>
      <x:c r="B69" s="34" t="n">
        <x:v>16</x:v>
      </x:c>
      <x:c r="C69" s="34" t="str">
        <x:v>cpu-14700k-productivity</x:v>
      </x:c>
      <x:c r="D69" s="34" t="str">
        <x:v>Core i7-14700K productivity profile</x:v>
      </x:c>
      <x:c r="E69" s="34" t="str">
        <x:v>cpu</x:v>
      </x:c>
      <x:c r="F69" s="83" t="n">
        <x:v>56</x:v>
      </x:c>
      <x:c r="G69" s="83" t="n">
        <x:v>0.547</x:v>
      </x:c>
      <x:c r="H69" s="34" t="str">
        <x:v>vector</x:v>
      </x:c>
      <x:c r="I69" s="34" t="str">
        <x:v>ollama</x:v>
      </x:c>
      <x:c r="J69" s="34" t="str">
        <x:v>nomic-embed-text</x:v>
      </x:c>
      <x:c r="K69" s="34" t="str">
        <x:v>cpu, development, video, productivity, lga1700, high-power</x:v>
      </x:c>
      <x:c r="L69" s="34" t="str">
        <x:v>AIPC curated knowledge base</x:v>
      </x:c>
      <x:c r="M69" s="34" t="str"/>
      <x:c r="N69" s="35" t="str">
        <x:v>The Core i7-14700K offers high multithreaded throughput for editing and compilation, but its peak power and cooling requirements are substantial.</x:v>
      </x:c>
    </x:row>
    <x:row r="70">
      <x:c r="A70" s="33" t="str">
        <x:v>T04</x:v>
      </x:c>
      <x:c r="B70" s="34" t="n">
        <x:v>17</x:v>
      </x:c>
      <x:c r="C70" s="34" t="str">
        <x:v>motherboard-x670e</x:v>
      </x:c>
      <x:c r="D70" s="34" t="str">
        <x:v>X670E workstation expansion</x:v>
      </x:c>
      <x:c r="E70" s="34" t="str">
        <x:v>motherboard</x:v>
      </x:c>
      <x:c r="F70" s="83" t="n">
        <x:v>56</x:v>
      </x:c>
      <x:c r="G70" s="83" t="n">
        <x:v>0.542</x:v>
      </x:c>
      <x:c r="H70" s="34" t="str">
        <x:v>vector</x:v>
      </x:c>
      <x:c r="I70" s="34" t="str">
        <x:v>ollama</x:v>
      </x:c>
      <x:c r="J70" s="34" t="str">
        <x:v>nomic-embed-text</x:v>
      </x:c>
      <x:c r="K70" s="34" t="str">
        <x:v>motherboard, am5, x670e, workstation, upgradeability</x:v>
      </x:c>
      <x:c r="L70" s="34" t="str">
        <x:v>AIPC curated knowledge base</x:v>
      </x:c>
      <x:c r="M70" s="34" t="str"/>
      <x:c r="N70" s="35" t="str">
        <x:v>X670E boards add expansion and connectivity for high-tier AM5 workstations. They should be selected for actual I/O or upgrade needs rather than prestige alone.</x:v>
      </x:c>
    </x:row>
    <x:row r="71">
      <x:c r="A71" s="33" t="str">
        <x:v>T04</x:v>
      </x:c>
      <x:c r="B71" s="34" t="n">
        <x:v>18</x:v>
      </x:c>
      <x:c r="C71" s="34" t="str">
        <x:v>motherboard-b650</x:v>
      </x:c>
      <x:c r="D71" s="34" t="str">
        <x:v>B650 platform fit</x:v>
      </x:c>
      <x:c r="E71" s="34" t="str">
        <x:v>motherboard</x:v>
      </x:c>
      <x:c r="F71" s="83" t="n">
        <x:v>56</x:v>
      </x:c>
      <x:c r="G71" s="83" t="n">
        <x:v>0.54</x:v>
      </x:c>
      <x:c r="H71" s="34" t="str">
        <x:v>vector</x:v>
      </x:c>
      <x:c r="I71" s="34" t="str">
        <x:v>ollama</x:v>
      </x:c>
      <x:c r="J71" s="34" t="str">
        <x:v>nomic-embed-text</x:v>
      </x:c>
      <x:c r="K71" s="34" t="str">
        <x:v>motherboard, am5, b650, ddr5, value</x:v>
      </x:c>
      <x:c r="L71" s="34" t="str">
        <x:v>AIPC curated knowledge base</x:v>
      </x:c>
      <x:c r="M71" s="34" t="str"/>
      <x:c r="N71" s="35" t="str">
        <x:v>A well-equipped B650 motherboard is a sensible mainstream AM5 choice with DDR5 and multiple NVMe slots. Enthusiast CPUs may justify stronger power delivery or an X670E board.</x:v>
      </x:c>
    </x:row>
    <x:row r="72">
      <x:c r="A72" s="33" t="str">
        <x:v>T05</x:v>
      </x:c>
      <x:c r="B72" s="34" t="n">
        <x:v>1</x:v>
      </x:c>
      <x:c r="C72" s="34" t="str">
        <x:v>cpu-14700k-productivity</x:v>
      </x:c>
      <x:c r="D72" s="34" t="str">
        <x:v>Core i7-14700K productivity profile</x:v>
      </x:c>
      <x:c r="E72" s="34" t="str">
        <x:v>cpu</x:v>
      </x:c>
      <x:c r="F72" s="83" t="n">
        <x:v>71</x:v>
      </x:c>
      <x:c r="G72" s="83" t="n">
        <x:v>0.633</x:v>
      </x:c>
      <x:c r="H72" s="34" t="str">
        <x:v>vector</x:v>
      </x:c>
      <x:c r="I72" s="34" t="str">
        <x:v>ollama</x:v>
      </x:c>
      <x:c r="J72" s="34" t="str">
        <x:v>nomic-embed-text</x:v>
      </x:c>
      <x:c r="K72" s="34" t="str">
        <x:v>cpu, development, video, productivity, lga1700, high-power</x:v>
      </x:c>
      <x:c r="L72" s="34" t="str">
        <x:v>AIPC curated knowledge base</x:v>
      </x:c>
      <x:c r="M72" s="34" t="str"/>
      <x:c r="N72" s="35" t="str">
        <x:v>The Core i7-14700K offers high multithreaded throughput for editing and compilation, but its peak power and cooling requirements are substantial.</x:v>
      </x:c>
    </x:row>
    <x:row r="73">
      <x:c r="A73" s="33" t="str">
        <x:v>T05</x:v>
      </x:c>
      <x:c r="B73" s="34" t="n">
        <x:v>2</x:v>
      </x:c>
      <x:c r="C73" s="34" t="str">
        <x:v>ram-capacity-dev</x:v>
      </x:c>
      <x:c r="D73" s="34" t="str">
        <x:v>Memory capacity for development</x:v>
      </x:c>
      <x:c r="E73" s="34" t="str">
        <x:v>workload</x:v>
      </x:c>
      <x:c r="F73" s="83" t="n">
        <x:v>70</x:v>
      </x:c>
      <x:c r="G73" s="83" t="n">
        <x:v>0.639</x:v>
      </x:c>
      <x:c r="H73" s="34" t="str">
        <x:v>vector</x:v>
      </x:c>
      <x:c r="I73" s="34" t="str">
        <x:v>ollama</x:v>
      </x:c>
      <x:c r="J73" s="34" t="str">
        <x:v>nomic-embed-text</x:v>
      </x:c>
      <x:c r="K73" s="34" t="str">
        <x:v>ram, development, docker, containers, 64gb</x:v>
      </x:c>
      <x:c r="L73" s="34" t="str">
        <x:v>AIPC curated knowledge base</x:v>
      </x:c>
      <x:c r="M73" s="34" t="str"/>
      <x:c r="N73" s="35" t="str">
        <x:v>Docker, local databases, IDEs, browsers, and emulators compete for memory. 32GB is a practical baseline; 64GB provides meaningful headroom for heavier container and mobile build workflows.</x:v>
      </x:c>
    </x:row>
    <x:row r="74">
      <x:c r="A74" s="33" t="str">
        <x:v>T05</x:v>
      </x:c>
      <x:c r="B74" s="34" t="n">
        <x:v>3</x:v>
      </x:c>
      <x:c r="C74" s="34" t="str">
        <x:v>cpu-14700k-high-refresh</x:v>
      </x:c>
      <x:c r="D74" s="34" t="str">
        <x:v>Core i7-14700K high-refresh gaming profile</x:v>
      </x:c>
      <x:c r="E74" s="34" t="str">
        <x:v>cpu</x:v>
      </x:c>
      <x:c r="F74" s="83" t="n">
        <x:v>66</x:v>
      </x:c>
      <x:c r="G74" s="83" t="n">
        <x:v>0.598</x:v>
      </x:c>
      <x:c r="H74" s="34" t="str">
        <x:v>vector</x:v>
      </x:c>
      <x:c r="I74" s="34" t="str">
        <x:v>ollama</x:v>
      </x:c>
      <x:c r="J74" s="34" t="str">
        <x:v>nomic-embed-text</x:v>
      </x:c>
      <x:c r="K74" s="34" t="str">
        <x:v>cpu, intel, gaming, high-fps, lga1700, high-power</x:v>
      </x:c>
      <x:c r="L74" s="34" t="str">
        <x:v>AIPC curated knowledge base</x:v>
      </x:c>
      <x:c r="M74" s="34" t="str"/>
      <x:c r="N74" s="35" t="str">
        <x:v>The Core i7-14700K is an Intel LGA1700 option for high-refresh gaming and mixed productivity. Its high peak power requires substantial cooling, and the mature socket has less future CPU upgrade room than newer platforms.</x:v>
      </x:c>
    </x:row>
    <x:row r="75">
      <x:c r="A75" s="33" t="str">
        <x:v>T05</x:v>
      </x:c>
      <x:c r="B75" s="34" t="n">
        <x:v>4</x:v>
      </x:c>
      <x:c r="C75" s="34" t="str">
        <x:v>gaming-4k</x:v>
      </x:c>
      <x:c r="D75" s="34" t="str">
        <x:v>4K gaming allocation</x:v>
      </x:c>
      <x:c r="E75" s="34" t="str">
        <x:v>workload</x:v>
      </x:c>
      <x:c r="F75" s="83" t="n">
        <x:v>66</x:v>
      </x:c>
      <x:c r="G75" s="83" t="n">
        <x:v>0.631</x:v>
      </x:c>
      <x:c r="H75" s="34" t="str">
        <x:v>vector</x:v>
      </x:c>
      <x:c r="I75" s="34" t="str">
        <x:v>ollama</x:v>
      </x:c>
      <x:c r="J75" s="34" t="str">
        <x:v>nomic-embed-text</x:v>
      </x:c>
      <x:c r="K75" s="34" t="str">
        <x:v>gaming, 4k, gpu, high-end</x:v>
      </x:c>
      <x:c r="L75" s="34" t="str">
        <x:v>AIPC curated knowledge base</x:v>
      </x:c>
      <x:c r="M75" s="34" t="str"/>
      <x:c r="N75" s="35" t="str">
        <x:v>At 4K the GPU is normally the primary performance constraint. Budget should favor the graphics card while retaining enough CPU, cooling, and PSU quality to avoid platform imbalance.</x:v>
      </x:c>
    </x:row>
    <x:row r="76">
      <x:c r="A76" s="33" t="str">
        <x:v>T05</x:v>
      </x:c>
      <x:c r="B76" s="34" t="n">
        <x:v>5</x:v>
      </x:c>
      <x:c r="C76" s="34" t="str">
        <x:v>gpu-4090-ai</x:v>
      </x:c>
      <x:c r="D76" s="34" t="str">
        <x:v>RTX 4090 local AI profile</x:v>
      </x:c>
      <x:c r="E76" s="34" t="str">
        <x:v>gpu</x:v>
      </x:c>
      <x:c r="F76" s="83" t="n">
        <x:v>66</x:v>
      </x:c>
      <x:c r="G76" s="83" t="n">
        <x:v>0.611</x:v>
      </x:c>
      <x:c r="H76" s="34" t="str">
        <x:v>vector</x:v>
      </x:c>
      <x:c r="I76" s="34" t="str">
        <x:v>ollama</x:v>
      </x:c>
      <x:c r="J76" s="34" t="str">
        <x:v>nomic-embed-text</x:v>
      </x:c>
      <x:c r="K76" s="34" t="str">
        <x:v>gpu, ai, cuda, 24gb, enthusiast</x:v>
      </x:c>
      <x:c r="L76" s="34" t="str">
        <x:v>AIPC curated knowledge base</x:v>
      </x:c>
      <x:c r="M76" s="34" t="str"/>
      <x:c r="N76" s="35" t="str">
        <x:v>The RTX 4090 combines 24GB VRAM with CUDA support. It is a high-cost option best considered when local AI capacity matters more than power draw or compact size.</x:v>
      </x:c>
    </x:row>
    <x:row r="77">
      <x:c r="A77" s="33" t="str">
        <x:v>T05</x:v>
      </x:c>
      <x:c r="B77" s="34" t="n">
        <x:v>6</x:v>
      </x:c>
      <x:c r="C77" s="34" t="str">
        <x:v>gpu-5080-blackwell</x:v>
      </x:c>
      <x:c r="D77" s="34" t="str">
        <x:v>RTX 5080 4K and creator profile</x:v>
      </x:c>
      <x:c r="E77" s="34" t="str">
        <x:v>gpu</x:v>
      </x:c>
      <x:c r="F77" s="83" t="n">
        <x:v>66</x:v>
      </x:c>
      <x:c r="G77" s="83" t="n">
        <x:v>0.579</x:v>
      </x:c>
      <x:c r="H77" s="34" t="str">
        <x:v>vector</x:v>
      </x:c>
      <x:c r="I77" s="34" t="str">
        <x:v>ollama</x:v>
      </x:c>
      <x:c r="J77" s="34" t="str">
        <x:v>nomic-embed-text</x:v>
      </x:c>
      <x:c r="K77" s="34" t="str">
        <x:v>gpu, nvidia, cuda, blackwell, 16gb, 4k, creator</x:v>
      </x:c>
      <x:c r="L77" s="34" t="str">
        <x:v>NVIDIA GeForce RTX 5080 specifications</x:v>
      </x:c>
      <x:c r="M77" s="34" t="str">
        <x:v>https://www.nvidia.com/en-us/geforce/graphics-cards/50-series/rtx-5080/</x:v>
      </x:c>
      <x:c r="N77"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78">
      <x:c r="A78" s="33" t="str">
        <x:v>T05</x:v>
      </x:c>
      <x:c r="B78" s="34" t="n">
        <x:v>7</x:v>
      </x:c>
      <x:c r="C78" s="34" t="str">
        <x:v>cpu-ultra265k-platform</x:v>
      </x:c>
      <x:c r="D78" s="34" t="str">
        <x:v>Core Ultra 7 265K LGA1851 profile</x:v>
      </x:c>
      <x:c r="E78" s="34" t="str">
        <x:v>cpu</x:v>
      </x:c>
      <x:c r="F78" s="83" t="n">
        <x:v>65</x:v>
      </x:c>
      <x:c r="G78" s="83" t="n">
        <x:v>0.608</x:v>
      </x:c>
      <x:c r="H78" s="34" t="str">
        <x:v>vector</x:v>
      </x:c>
      <x:c r="I78" s="34" t="str">
        <x:v>ollama</x:v>
      </x:c>
      <x:c r="J78" s="34" t="str">
        <x:v>nomic-embed-text</x:v>
      </x:c>
      <x:c r="K78" s="34" t="str">
        <x:v>cpu, intel, lga1851, arrow-lake, productivity, high-power</x:v>
      </x:c>
      <x:c r="L78" s="34" t="str">
        <x:v>Intel Core Ultra 7 265K specifications</x:v>
      </x:c>
      <x:c r="M78" s="34" t="str">
        <x:v>https://www.intel.com/content/www/us/en/products/sku/241063/intel-core-ultra-7-processor-265k-30m-cache-up-to-5-50-ghz/specifications.html</x:v>
      </x:c>
      <x:c r="N78" s="35" t="str">
        <x:v>Core Ultra 7 265K has 20 cores and 20 threads, up to 5.5GHz turbo, 125W base power, and 250W maximum turbo power on LGA1851. It is suited to Intel-preference mixed productivity builds but requires a Z890-class motherboard and strong cooling at unrestricted power.</x:v>
      </x:c>
    </x:row>
    <x:row r="79">
      <x:c r="A79" s="33" t="str">
        <x:v>T05</x:v>
      </x:c>
      <x:c r="B79" s="34" t="n">
        <x:v>8</x:v>
      </x:c>
      <x:c r="C79" s="34" t="str">
        <x:v>gpu-5060ti16-ai-value</x:v>
      </x:c>
      <x:c r="D79" s="34" t="str">
        <x:v>RTX 5060 Ti 16GB capacity-value trade-off</x:v>
      </x:c>
      <x:c r="E79" s="34" t="str">
        <x:v>gpu</x:v>
      </x:c>
      <x:c r="F79" s="83" t="n">
        <x:v>65</x:v>
      </x:c>
      <x:c r="G79" s="83" t="n">
        <x:v>0.575</x:v>
      </x:c>
      <x:c r="H79" s="34" t="str">
        <x:v>vector</x:v>
      </x:c>
      <x:c r="I79" s="34" t="str">
        <x:v>ollama</x:v>
      </x:c>
      <x:c r="J79" s="34" t="str">
        <x:v>nomic-embed-text</x:v>
      </x:c>
      <x:c r="K79" s="34" t="str">
        <x:v>gpu, nvidia, cuda, blackwell, 16gb, ai, value, efficient</x:v>
      </x:c>
      <x:c r="L79" s="34" t="str">
        <x:v>NVIDIA GeForce RTX 5060 family specifications</x:v>
      </x:c>
      <x:c r="M79" s="34" t="str">
        <x:v>https://www.nvidia.com/en-us/geforce/graphics-cards/50-series/rtx-5060-family/</x:v>
      </x:c>
      <x:c r="N79"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80">
      <x:c r="A80" s="33" t="str">
        <x:v>T05</x:v>
      </x:c>
      <x:c r="B80" s="34" t="n">
        <x:v>9</x:v>
      </x:c>
      <x:c r="C80" s="34" t="str">
        <x:v>gpu-rdna4-9070xt</x:v>
      </x:c>
      <x:c r="D80" s="34" t="str">
        <x:v>Radeon RX 9070 XT RDNA 4 profile</x:v>
      </x:c>
      <x:c r="E80" s="34" t="str">
        <x:v>gpu</x:v>
      </x:c>
      <x:c r="F80" s="83" t="n">
        <x:v>64</x:v>
      </x:c>
      <x:c r="G80" s="83" t="n">
        <x:v>0.596</x:v>
      </x:c>
      <x:c r="H80" s="34" t="str">
        <x:v>vector</x:v>
      </x:c>
      <x:c r="I80" s="34" t="str">
        <x:v>ollama</x:v>
      </x:c>
      <x:c r="J80" s="34" t="str">
        <x:v>nomic-embed-text</x:v>
      </x:c>
      <x:c r="K80" s="34" t="str">
        <x:v>gpu, amd, rdna4, 16gb, 4k, raster, fsr4</x:v>
      </x:c>
      <x:c r="L80" s="34" t="str">
        <x:v>AMD Radeon RX 9070 XT specifications</x:v>
      </x:c>
      <x:c r="M80" s="34" t="str">
        <x:v>https://www.amd.com/en/products/graphics/desktops/radeon/9000-series/amd-radeon-rx-9070xt.html</x:v>
      </x:c>
      <x:c r="N80" s="35" t="str">
        <x:v>The Radeon RX 9070 XT has 16GB GDDR6, a 304W typical board power rating, and a 750W minimum PSU recommendation from AMD. It is a strong raster and FSR-oriented 4K gaming option, but users requiring CUDA-first software should still prefer NVIDIA.</x:v>
      </x:c>
    </x:row>
    <x:row r="81">
      <x:c r="A81" s="33" t="str">
        <x:v>T05</x:v>
      </x:c>
      <x:c r="B81" s="34" t="n">
        <x:v>10</x:v>
      </x:c>
      <x:c r="C81" s="34" t="str">
        <x:v>motherboard-x670e</x:v>
      </x:c>
      <x:c r="D81" s="34" t="str">
        <x:v>X670E workstation expansion</x:v>
      </x:c>
      <x:c r="E81" s="34" t="str">
        <x:v>motherboard</x:v>
      </x:c>
      <x:c r="F81" s="83" t="n">
        <x:v>64</x:v>
      </x:c>
      <x:c r="G81" s="83" t="n">
        <x:v>0.606</x:v>
      </x:c>
      <x:c r="H81" s="34" t="str">
        <x:v>vector</x:v>
      </x:c>
      <x:c r="I81" s="34" t="str">
        <x:v>ollama</x:v>
      </x:c>
      <x:c r="J81" s="34" t="str">
        <x:v>nomic-embed-text</x:v>
      </x:c>
      <x:c r="K81" s="34" t="str">
        <x:v>motherboard, am5, x670e, workstation, upgradeability</x:v>
      </x:c>
      <x:c r="L81" s="34" t="str">
        <x:v>AIPC curated knowledge base</x:v>
      </x:c>
      <x:c r="M81" s="34" t="str"/>
      <x:c r="N81" s="35" t="str">
        <x:v>X670E boards add expansion and connectivity for high-tier AM5 workstations. They should be selected for actual I/O or upgrade needs rather than prestige alone.</x:v>
      </x:c>
    </x:row>
    <x:row r="82">
      <x:c r="A82" s="33" t="str">
        <x:v>T05</x:v>
      </x:c>
      <x:c r="B82" s="34" t="n">
        <x:v>11</x:v>
      </x:c>
      <x:c r="C82" s="34" t="str">
        <x:v>psu-headroom</x:v>
      </x:c>
      <x:c r="D82" s="34" t="str">
        <x:v>Power supply headroom rule</x:v>
      </x:c>
      <x:c r="E82" s="34" t="str">
        <x:v>compatibility</x:v>
      </x:c>
      <x:c r="F82" s="83" t="n">
        <x:v>64</x:v>
      </x:c>
      <x:c r="G82" s="83" t="n">
        <x:v>0.579</x:v>
      </x:c>
      <x:c r="H82" s="34" t="str">
        <x:v>vector</x:v>
      </x:c>
      <x:c r="I82" s="34" t="str">
        <x:v>ollama</x:v>
      </x:c>
      <x:c r="J82" s="34" t="str">
        <x:v>nomic-embed-text</x:v>
      </x:c>
      <x:c r="K82" s="34" t="str">
        <x:v>psu, power, headroom, quiet, upgradeability</x:v>
      </x:c>
      <x:c r="L82" s="34" t="str">
        <x:v>AIPC curated knowledge base</x:v>
      </x:c>
      <x:c r="M82" s="34" t="str"/>
      <x:c r="N82" s="35" t="str">
        <x:v>A power supply should exceed estimated sustained system draw by at least 35 percent. Additional headroom can reduce fan noise and preserve room for future GPU upgrades.</x:v>
      </x:c>
    </x:row>
    <x:row r="83">
      <x:c r="A83" s="33" t="str">
        <x:v>T05</x:v>
      </x:c>
      <x:c r="B83" s="34" t="n">
        <x:v>12</x:v>
      </x:c>
      <x:c r="C83" s="34" t="str">
        <x:v>case-north-airflow</x:v>
      </x:c>
      <x:c r="D83" s="34" t="str">
        <x:v>Fractal North balanced airflow</x:v>
      </x:c>
      <x:c r="E83" s="34" t="str">
        <x:v>case</x:v>
      </x:c>
      <x:c r="F83" s="83" t="n">
        <x:v>64</x:v>
      </x:c>
      <x:c r="G83" s="83" t="n">
        <x:v>0.594</x:v>
      </x:c>
      <x:c r="H83" s="34" t="str">
        <x:v>vector</x:v>
      </x:c>
      <x:c r="I83" s="34" t="str">
        <x:v>ollama</x:v>
      </x:c>
      <x:c r="J83" s="34" t="str">
        <x:v>nomic-embed-text</x:v>
      </x:c>
      <x:c r="K83" s="34" t="str">
        <x:v>case, atx, airflow, quiet, upgradeability</x:v>
      </x:c>
      <x:c r="L83" s="34" t="str">
        <x:v>AIPC curated knowledge base</x:v>
      </x:c>
      <x:c r="M83" s="34" t="str"/>
      <x:c r="N83" s="35" t="str">
        <x:v>The Fractal North supports full-size ATX components with 355mm GPU clearance and 170mm air-cooler clearance. It balances airflow, acoustics, and upgrade room.</x:v>
      </x:c>
    </x:row>
    <x:row r="84">
      <x:c r="A84" s="33" t="str">
        <x:v>T05</x:v>
      </x:c>
      <x:c r="B84" s="34" t="n">
        <x:v>13</x:v>
      </x:c>
      <x:c r="C84" s="34" t="str">
        <x:v>storage-workstation</x:v>
      </x:c>
      <x:c r="D84" s="34" t="str">
        <x:v>NVMe capacity for workstation use</x:v>
      </x:c>
      <x:c r="E84" s="34" t="str">
        <x:v>workload</x:v>
      </x:c>
      <x:c r="F84" s="83" t="n">
        <x:v>63</x:v>
      </x:c>
      <x:c r="G84" s="83" t="n">
        <x:v>0.6</x:v>
      </x:c>
      <x:c r="H84" s="34" t="str">
        <x:v>vector</x:v>
      </x:c>
      <x:c r="I84" s="34" t="str">
        <x:v>ollama</x:v>
      </x:c>
      <x:c r="J84" s="34" t="str">
        <x:v>nomic-embed-text</x:v>
      </x:c>
      <x:c r="K84" s="34" t="str">
        <x:v>storage, nvme, development, video, 2tb</x:v>
      </x:c>
      <x:c r="L84" s="34" t="str">
        <x:v>AIPC curated knowledge base</x:v>
      </x:c>
      <x:c r="M84" s="34" t="str"/>
      <x:c r="N84" s="35" t="str">
        <x:v>Development and editing systems benefit from 2TB or more of fast NVMe storage for repositories, containers, caches, footage, and active projects.</x:v>
      </x:c>
    </x:row>
    <x:row r="85">
      <x:c r="A85" s="33" t="str">
        <x:v>T05</x:v>
      </x:c>
      <x:c r="B85" s="34" t="n">
        <x:v>14</x:v>
      </x:c>
      <x:c r="C85" s="34" t="str">
        <x:v>storage-pcie5-thermal</x:v>
      </x:c>
      <x:c r="D85" s="34" t="str">
        <x:v>PCIe 5.0 SSD performance and thermal trade-off</x:v>
      </x:c>
      <x:c r="E85" s="34" t="str">
        <x:v>storage</x:v>
      </x:c>
      <x:c r="F85" s="83" t="n">
        <x:v>62</x:v>
      </x:c>
      <x:c r="G85" s="83" t="n">
        <x:v>0.573</x:v>
      </x:c>
      <x:c r="H85" s="34" t="str">
        <x:v>vector</x:v>
      </x:c>
      <x:c r="I85" s="34" t="str">
        <x:v>ollama</x:v>
      </x:c>
      <x:c r="J85" s="34" t="str">
        <x:v>nomic-embed-text</x:v>
      </x:c>
      <x:c r="K85" s="34" t="str">
        <x:v>storage, nvme, pcie5, thermal, creator, development, value</x:v>
      </x:c>
      <x:c r="L85" s="34" t="str">
        <x:v>Samsung 9100 Pro official specifications</x:v>
      </x:c>
      <x:c r="M85" s="34" t="str">
        <x:v>https://www.samsung.com/us/memory-storage/nvme-ssd/9100-pro-nvme-ssd-sku-mz-vap4t0b-am/</x:v>
      </x:c>
      <x:c r="N85"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86">
      <x:c r="A86" s="33" t="str">
        <x:v>T05</x:v>
      </x:c>
      <x:c r="B86" s="34" t="n">
        <x:v>15</x:v>
      </x:c>
      <x:c r="C86" s="34" t="str">
        <x:v>upgrade-am5</x:v>
      </x:c>
      <x:c r="D86" s="34" t="str">
        <x:v>AM5 platform upgradeability</x:v>
      </x:c>
      <x:c r="E86" s="34" t="str">
        <x:v>planning</x:v>
      </x:c>
      <x:c r="F86" s="83" t="n">
        <x:v>61</x:v>
      </x:c>
      <x:c r="G86" s="83" t="n">
        <x:v>0.577</x:v>
      </x:c>
      <x:c r="H86" s="34" t="str">
        <x:v>vector</x:v>
      </x:c>
      <x:c r="I86" s="34" t="str">
        <x:v>ollama</x:v>
      </x:c>
      <x:c r="J86" s="34" t="str">
        <x:v>nomic-embed-text</x:v>
      </x:c>
      <x:c r="K86" s="34" t="str">
        <x:v>motherboard, am5, upgradeability, planning</x:v>
      </x:c>
      <x:c r="L86" s="34" t="str">
        <x:v>AIPC curated knowledge base</x:v>
      </x:c>
      <x:c r="M86" s="34" t="str"/>
      <x:c r="N86" s="35" t="str">
        <x:v>AM5 boards provide a clearer CPU upgrade path than mature end-of-cycle platforms. The value is highest when the user explicitly plans a future CPU upgrade.</x:v>
      </x:c>
    </x:row>
    <x:row r="87">
      <x:c r="A87" s="33" t="str">
        <x:v>T05</x:v>
      </x:c>
      <x:c r="B87" s="34" t="n">
        <x:v>16</x:v>
      </x:c>
      <x:c r="C87" s="34" t="str">
        <x:v>ram-capacity-ai</x:v>
      </x:c>
      <x:c r="D87" s="34" t="str">
        <x:v>System RAM for local AI</x:v>
      </x:c>
      <x:c r="E87" s="34" t="str">
        <x:v>workload</x:v>
      </x:c>
      <x:c r="F87" s="83" t="n">
        <x:v>61</x:v>
      </x:c>
      <x:c r="G87" s="83" t="n">
        <x:v>0.561</x:v>
      </x:c>
      <x:c r="H87" s="34" t="str">
        <x:v>vector</x:v>
      </x:c>
      <x:c r="I87" s="34" t="str">
        <x:v>ollama</x:v>
      </x:c>
      <x:c r="J87" s="34" t="str">
        <x:v>nomic-embed-text</x:v>
      </x:c>
      <x:c r="K87" s="34" t="str">
        <x:v>ram, ai, local-llm, 64gb, 96gb</x:v>
      </x:c>
      <x:c r="L87" s="34" t="str">
        <x:v>AIPC curated knowledge base</x:v>
      </x:c>
      <x:c r="M87" s="34" t="str"/>
      <x:c r="N87" s="35" t="str">
        <x:v>System RAM does not replace VRAM, but 64GB or more helps with model loading, CPU offload, data preparation, and running supporting services beside a local model.</x:v>
      </x:c>
    </x:row>
    <x:row r="88">
      <x:c r="A88" s="33" t="str">
        <x:v>T05</x:v>
      </x:c>
      <x:c r="B88" s="34" t="n">
        <x:v>17</x:v>
      </x:c>
      <x:c r="C88" s="34" t="str">
        <x:v>ram-64</x:v>
      </x:c>
      <x:c r="D88" s="34" t="str">
        <x:v>64GB DDR5 workload fit</x:v>
      </x:c>
      <x:c r="E88" s="34" t="str">
        <x:v>ram</x:v>
      </x:c>
      <x:c r="F88" s="83" t="n">
        <x:v>59</x:v>
      </x:c>
      <x:c r="G88" s="83" t="n">
        <x:v>0.545</x:v>
      </x:c>
      <x:c r="H88" s="34" t="str">
        <x:v>vector</x:v>
      </x:c>
      <x:c r="I88" s="34" t="str">
        <x:v>ollama</x:v>
      </x:c>
      <x:c r="J88" s="34" t="str">
        <x:v>nomic-embed-text</x:v>
      </x:c>
      <x:c r="K88" s="34" t="str">
        <x:v>ram, 64gb, ddr5, workstation</x:v>
      </x:c>
      <x:c r="L88" s="34" t="str">
        <x:v>AIPC curated knowledge base</x:v>
      </x:c>
      <x:c r="M88" s="34" t="str"/>
      <x:c r="N88" s="35" t="str">
        <x:v>A 64GB DDR5 kit is the default workstation capacity for local AI, development, and video editing when the budget allows.</x:v>
      </x:c>
    </x:row>
    <x:row r="89">
      <x:c r="A89" s="33" t="str">
        <x:v>T06</x:v>
      </x:c>
      <x:c r="B89" s="34" t="n">
        <x:v>1</x:v>
      </x:c>
      <x:c r="C89" s="34" t="str">
        <x:v>gpu-5080-blackwell</x:v>
      </x:c>
      <x:c r="D89" s="34" t="str">
        <x:v>RTX 5080 4K and creator profile</x:v>
      </x:c>
      <x:c r="E89" s="34" t="str">
        <x:v>gpu</x:v>
      </x:c>
      <x:c r="F89" s="83" t="n">
        <x:v>72</x:v>
      </x:c>
      <x:c r="G89" s="83" t="n">
        <x:v>0.671</x:v>
      </x:c>
      <x:c r="H89" s="34" t="str">
        <x:v>vector</x:v>
      </x:c>
      <x:c r="I89" s="34" t="str">
        <x:v>ollama</x:v>
      </x:c>
      <x:c r="J89" s="34" t="str">
        <x:v>nomic-embed-text</x:v>
      </x:c>
      <x:c r="K89" s="34" t="str">
        <x:v>gpu, nvidia, cuda, blackwell, 16gb, 4k, creator</x:v>
      </x:c>
      <x:c r="L89" s="34" t="str">
        <x:v>NVIDIA GeForce RTX 5080 specifications</x:v>
      </x:c>
      <x:c r="M89" s="34" t="str">
        <x:v>https://www.nvidia.com/en-us/geforce/graphics-cards/50-series/rtx-5080/</x:v>
      </x:c>
      <x:c r="N89"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90">
      <x:c r="A90" s="33" t="str">
        <x:v>T06</x:v>
      </x:c>
      <x:c r="B90" s="34" t="n">
        <x:v>2</x:v>
      </x:c>
      <x:c r="C90" s="34" t="str">
        <x:v>case-dual-chamber-white</x:v>
      </x:c>
      <x:c r="D90" s="34" t="str">
        <x:v>White dual-chamber showcase case planning</x:v>
      </x:c>
      <x:c r="E90" s="34" t="str">
        <x:v>case</x:v>
      </x:c>
      <x:c r="F90" s="83" t="n">
        <x:v>70</x:v>
      </x:c>
      <x:c r="G90" s="83" t="n">
        <x:v>0.642</x:v>
      </x:c>
      <x:c r="H90" s="34" t="str">
        <x:v>vector</x:v>
      </x:c>
      <x:c r="I90" s="34" t="str">
        <x:v>ollama</x:v>
      </x:c>
      <x:c r="J90" s="34" t="str">
        <x:v>nomic-embed-text</x:v>
      </x:c>
      <x:c r="K90" s="34" t="str">
        <x:v>case, white, rgb, panoramic, dual-chamber, clearance, planning</x:v>
      </x:c>
      <x:c r="L90" s="34" t="str">
        <x:v>NZXT H9 Flow RGB official product specifications</x:v>
      </x:c>
      <x:c r="M90" s="34" t="str">
        <x:v>https://nzxt.com/products/h9-flow-rgb?variant=40595201032264</x:v>
      </x:c>
      <x:c r="N90" s="35" t="str">
        <x:v>A white dual-chamber case can provide panoramic presentation, cable separation, and extensive radiator support, but it is physically larger than a conventional mid-tower. Visible-component color matching should remain a preference layer after GPU length, cooler/radiator, motherboard, and PSU compatibility checks.</x:v>
      </x:c>
    </x:row>
    <x:row r="91">
      <x:c r="A91" s="33" t="str">
        <x:v>T06</x:v>
      </x:c>
      <x:c r="B91" s="34" t="n">
        <x:v>3</x:v>
      </x:c>
      <x:c r="C91" s="34" t="str">
        <x:v>gpu-5070ti-blackwell</x:v>
      </x:c>
      <x:c r="D91" s="34" t="str">
        <x:v>RTX 5070 Ti balanced high-end profile</x:v>
      </x:c>
      <x:c r="E91" s="34" t="str">
        <x:v>gpu</x:v>
      </x:c>
      <x:c r="F91" s="83" t="n">
        <x:v>69</x:v>
      </x:c>
      <x:c r="G91" s="83" t="n">
        <x:v>0.641</x:v>
      </x:c>
      <x:c r="H91" s="34" t="str">
        <x:v>vector</x:v>
      </x:c>
      <x:c r="I91" s="34" t="str">
        <x:v>ollama</x:v>
      </x:c>
      <x:c r="J91" s="34" t="str">
        <x:v>nomic-embed-text</x:v>
      </x:c>
      <x:c r="K91" s="34" t="str">
        <x:v>gpu, nvidia, cuda, blackwell, 16gb, 1440p, 4k, balanced</x:v>
      </x:c>
      <x:c r="L91" s="34" t="str">
        <x:v>NVIDIA GeForce RTX 5070 family specifications</x:v>
      </x:c>
      <x:c r="M91" s="34" t="str">
        <x:v>https://www.nvidia.com/en-us/geforce/graphics-cards/50-series/rtx-5070-family/</x:v>
      </x:c>
      <x:c r="N91" s="35" t="str">
        <x:v>The GeForce RTX 5070 Ti provides 16GB GDDR7 and CUDA at a 300W reference power target. It is positioned for high-refresh 1440p, entry 4K, creator acceleration, and moderate local AI workloads without flagship cost.</x:v>
      </x:c>
    </x:row>
    <x:row r="92">
      <x:c r="A92" s="33" t="str">
        <x:v>T06</x:v>
      </x:c>
      <x:c r="B92" s="34" t="n">
        <x:v>4</x:v>
      </x:c>
      <x:c r="C92" s="34" t="str">
        <x:v>gaming-4k</x:v>
      </x:c>
      <x:c r="D92" s="34" t="str">
        <x:v>4K gaming allocation</x:v>
      </x:c>
      <x:c r="E92" s="34" t="str">
        <x:v>workload</x:v>
      </x:c>
      <x:c r="F92" s="83" t="n">
        <x:v>66</x:v>
      </x:c>
      <x:c r="G92" s="83" t="n">
        <x:v>0.634</x:v>
      </x:c>
      <x:c r="H92" s="34" t="str">
        <x:v>vector</x:v>
      </x:c>
      <x:c r="I92" s="34" t="str">
        <x:v>ollama</x:v>
      </x:c>
      <x:c r="J92" s="34" t="str">
        <x:v>nomic-embed-text</x:v>
      </x:c>
      <x:c r="K92" s="34" t="str">
        <x:v>gaming, 4k, gpu, high-end</x:v>
      </x:c>
      <x:c r="L92" s="34" t="str">
        <x:v>AIPC curated knowledge base</x:v>
      </x:c>
      <x:c r="M92" s="34" t="str"/>
      <x:c r="N92" s="35" t="str">
        <x:v>At 4K the GPU is normally the primary performance constraint. Budget should favor the graphics card while retaining enough CPU, cooling, and PSU quality to avoid platform imbalance.</x:v>
      </x:c>
    </x:row>
    <x:row r="93">
      <x:c r="A93" s="33" t="str">
        <x:v>T06</x:v>
      </x:c>
      <x:c r="B93" s="34" t="n">
        <x:v>5</x:v>
      </x:c>
      <x:c r="C93" s="34" t="str">
        <x:v>gpu-4090-ai</x:v>
      </x:c>
      <x:c r="D93" s="34" t="str">
        <x:v>RTX 4090 local AI profile</x:v>
      </x:c>
      <x:c r="E93" s="34" t="str">
        <x:v>gpu</x:v>
      </x:c>
      <x:c r="F93" s="83" t="n">
        <x:v>66</x:v>
      </x:c>
      <x:c r="G93" s="83" t="n">
        <x:v>0.64</x:v>
      </x:c>
      <x:c r="H93" s="34" t="str">
        <x:v>vector</x:v>
      </x:c>
      <x:c r="I93" s="34" t="str">
        <x:v>ollama</x:v>
      </x:c>
      <x:c r="J93" s="34" t="str">
        <x:v>nomic-embed-text</x:v>
      </x:c>
      <x:c r="K93" s="34" t="str">
        <x:v>gpu, ai, cuda, 24gb, enthusiast</x:v>
      </x:c>
      <x:c r="L93" s="34" t="str">
        <x:v>AIPC curated knowledge base</x:v>
      </x:c>
      <x:c r="M93" s="34" t="str"/>
      <x:c r="N93" s="35" t="str">
        <x:v>The RTX 4090 combines 24GB VRAM with CUDA support. It is a high-cost option best considered when local AI capacity matters more than power draw or compact size.</x:v>
      </x:c>
    </x:row>
    <x:row r="94">
      <x:c r="A94" s="33" t="str">
        <x:v>T06</x:v>
      </x:c>
      <x:c r="B94" s="34" t="n">
        <x:v>6</x:v>
      </x:c>
      <x:c r="C94" s="34" t="str">
        <x:v>gpu-4070tis-balanced</x:v>
      </x:c>
      <x:c r="D94" s="34" t="str">
        <x:v>RTX 4070 Ti Super balanced profile</x:v>
      </x:c>
      <x:c r="E94" s="34" t="str">
        <x:v>gpu</x:v>
      </x:c>
      <x:c r="F94" s="83" t="n">
        <x:v>66</x:v>
      </x:c>
      <x:c r="G94" s="83" t="n">
        <x:v>0.631</x:v>
      </x:c>
      <x:c r="H94" s="34" t="str">
        <x:v>vector</x:v>
      </x:c>
      <x:c r="I94" s="34" t="str">
        <x:v>ollama</x:v>
      </x:c>
      <x:c r="J94" s="34" t="str">
        <x:v>nomic-embed-text</x:v>
      </x:c>
      <x:c r="K94" s="34" t="str">
        <x:v>gpu, gaming, ai, cuda, 16gb, balanced</x:v>
      </x:c>
      <x:c r="L94" s="34" t="str">
        <x:v>AIPC curated knowledge base</x:v>
      </x:c>
      <x:c r="M94" s="34" t="str"/>
      <x:c r="N94" s="35" t="str">
        <x:v>The RTX 4070 Ti Super provides 16GB VRAM and strong 1440p to 4K capability at lower power and cost than flagship GPUs. It is a balanced choice for mixed gaming, creative, and CUDA work.</x:v>
      </x:c>
    </x:row>
    <x:row r="95">
      <x:c r="A95" s="33" t="str">
        <x:v>T06</x:v>
      </x:c>
      <x:c r="B95" s="34" t="n">
        <x:v>7</x:v>
      </x:c>
      <x:c r="C95" s="34" t="str">
        <x:v>gpu-5090-flagship</x:v>
      </x:c>
      <x:c r="D95" s="34" t="str">
        <x:v>RTX 5090 flagship profile</x:v>
      </x:c>
      <x:c r="E95" s="34" t="str">
        <x:v>gpu</x:v>
      </x:c>
      <x:c r="F95" s="83" t="n">
        <x:v>66</x:v>
      </x:c>
      <x:c r="G95" s="83" t="n">
        <x:v>0.625</x:v>
      </x:c>
      <x:c r="H95" s="34" t="str">
        <x:v>vector</x:v>
      </x:c>
      <x:c r="I95" s="34" t="str">
        <x:v>ollama</x:v>
      </x:c>
      <x:c r="J95" s="34" t="str">
        <x:v>nomic-embed-text</x:v>
      </x:c>
      <x:c r="K95" s="34" t="str">
        <x:v>gpu, gaming, 4k, ai, cuda, 32gb, enthusiast, blackwell</x:v>
      </x:c>
      <x:c r="L95" s="34" t="str">
        <x:v>AIPC curated knowledge base</x:v>
      </x:c>
      <x:c r="M95" s="34" t="str"/>
      <x:c r="N95" s="35" t="str">
        <x:v>The RTX 5090 combines 32GB GDDR7 with CUDA support and a 575W total graphics power rating. It requires an enthusiast budget, a compatible case, and at least a 1000W system power plan.</x:v>
      </x:c>
    </x:row>
    <x:row r="96">
      <x:c r="A96" s="33" t="str">
        <x:v>T06</x:v>
      </x:c>
      <x:c r="B96" s="34" t="n">
        <x:v>8</x:v>
      </x:c>
      <x:c r="C96" s="34" t="str">
        <x:v>appearance-white-rgb</x:v>
      </x:c>
      <x:c r="D96" s="34" t="str">
        <x:v>Planning a white RGB build</x:v>
      </x:c>
      <x:c r="E96" s="34" t="str">
        <x:v>planning</x:v>
      </x:c>
      <x:c r="F96" s="83" t="n">
        <x:v>65</x:v>
      </x:c>
      <x:c r="G96" s="83" t="n">
        <x:v>0.6</x:v>
      </x:c>
      <x:c r="H96" s="34" t="str">
        <x:v>vector</x:v>
      </x:c>
      <x:c r="I96" s="34" t="str">
        <x:v>ollama</x:v>
      </x:c>
      <x:c r="J96" s="34" t="str">
        <x:v>nomic-embed-text</x:v>
      </x:c>
      <x:c r="K96" s="34" t="str">
        <x:v>planning, white, rgb, case, gpu, motherboard, ram, cooler</x:v>
      </x:c>
      <x:c r="L96" s="34" t="str">
        <x:v>AIPC curated knowledge base</x:v>
      </x:c>
      <x:c r="M96" s="34" t="str"/>
      <x:c r="N96" s="35" t="str">
        <x:v>A coherent white build should prioritize visible components such as the case, graphics card, motherboard heatsinks, memory, and cooler. RGB is an appearance preference and must never override socket, clearance, cooling, or PSU safety rules.</x:v>
      </x:c>
    </x:row>
    <x:row r="97">
      <x:c r="A97" s="33" t="str">
        <x:v>T06</x:v>
      </x:c>
      <x:c r="B97" s="34" t="n">
        <x:v>9</x:v>
      </x:c>
      <x:c r="C97" s="34" t="str">
        <x:v>motherboard-z790-white</x:v>
      </x:c>
      <x:c r="D97" s="34" t="str">
        <x:v>White Z790 platform pairing</x:v>
      </x:c>
      <x:c r="E97" s="34" t="str">
        <x:v>motherboard</x:v>
      </x:c>
      <x:c r="F97" s="83" t="n">
        <x:v>63</x:v>
      </x:c>
      <x:c r="G97" s="83" t="n">
        <x:v>0.595</x:v>
      </x:c>
      <x:c r="H97" s="34" t="str">
        <x:v>vector</x:v>
      </x:c>
      <x:c r="I97" s="34" t="str">
        <x:v>ollama</x:v>
      </x:c>
      <x:c r="J97" s="34" t="str">
        <x:v>nomic-embed-text</x:v>
      </x:c>
      <x:c r="K97" s="34" t="str">
        <x:v>motherboard, intel, lga1700, z790, white, rgb</x:v>
      </x:c>
      <x:c r="L97" s="34" t="str">
        <x:v>AIPC curated knowledge base</x:v>
      </x:c>
      <x:c r="M97" s="34" t="str"/>
      <x:c r="N97" s="35" t="str">
        <x:v>A Z790 DDR5 motherboard is the appropriate enthusiast chipset pairing for an unlocked Intel LGA1700 CPU. White or silver heatsink variants can satisfy a light-color build without changing socket or memory compatibility.</x:v>
      </x:c>
    </x:row>
    <x:row r="98">
      <x:c r="A98" s="33" t="str">
        <x:v>T06</x:v>
      </x:c>
      <x:c r="B98" s="34" t="n">
        <x:v>10</x:v>
      </x:c>
      <x:c r="C98" s="34" t="str">
        <x:v>cooler-aio360</x:v>
      </x:c>
      <x:c r="D98" s="34" t="str">
        <x:v>360mm AIO high-power cooling</x:v>
      </x:c>
      <x:c r="E98" s="34" t="str">
        <x:v>cooler</x:v>
      </x:c>
      <x:c r="F98" s="83" t="n">
        <x:v>62</x:v>
      </x:c>
      <x:c r="G98" s="83" t="n">
        <x:v>0.586</x:v>
      </x:c>
      <x:c r="H98" s="34" t="str">
        <x:v>vector</x:v>
      </x:c>
      <x:c r="I98" s="34" t="str">
        <x:v>ollama</x:v>
      </x:c>
      <x:c r="J98" s="34" t="str">
        <x:v>nomic-embed-text</x:v>
      </x:c>
      <x:c r="K98" s="34" t="str">
        <x:v>cooler, aio, 360mm, high-power</x:v>
      </x:c>
      <x:c r="L98" s="34" t="str">
        <x:v>AIPC curated knowledge base</x:v>
      </x:c>
      <x:c r="M98" s="34" t="str"/>
      <x:c r="N98" s="35" t="str">
        <x:v>A 360mm AIO provides additional thermal capacity for high-power workstation CPUs, but costs more and requires a compatible radiator mount.</x:v>
      </x:c>
    </x:row>
    <x:row r="99">
      <x:c r="A99" s="33" t="str">
        <x:v>T06</x:v>
      </x:c>
      <x:c r="B99" s="34" t="n">
        <x:v>11</x:v>
      </x:c>
      <x:c r="C99" s="34" t="str">
        <x:v>ram-64</x:v>
      </x:c>
      <x:c r="D99" s="34" t="str">
        <x:v>64GB DDR5 workload fit</x:v>
      </x:c>
      <x:c r="E99" s="34" t="str">
        <x:v>ram</x:v>
      </x:c>
      <x:c r="F99" s="83" t="n">
        <x:v>60</x:v>
      </x:c>
      <x:c r="G99" s="83" t="n">
        <x:v>0.566</x:v>
      </x:c>
      <x:c r="H99" s="34" t="str">
        <x:v>vector</x:v>
      </x:c>
      <x:c r="I99" s="34" t="str">
        <x:v>ollama</x:v>
      </x:c>
      <x:c r="J99" s="34" t="str">
        <x:v>nomic-embed-text</x:v>
      </x:c>
      <x:c r="K99" s="34" t="str">
        <x:v>ram, 64gb, ddr5, workstation</x:v>
      </x:c>
      <x:c r="L99" s="34" t="str">
        <x:v>AIPC curated knowledge base</x:v>
      </x:c>
      <x:c r="M99" s="34" t="str"/>
      <x:c r="N99" s="35" t="str">
        <x:v>A 64GB DDR5 kit is the default workstation capacity for local AI, development, and video editing when the budget allows.</x:v>
      </x:c>
    </x:row>
    <x:row r="100">
      <x:c r="A100" s="33" t="str">
        <x:v>T06</x:v>
      </x:c>
      <x:c r="B100" s="34" t="n">
        <x:v>12</x:v>
      </x:c>
      <x:c r="C100" s="34" t="str">
        <x:v>storage-workstation</x:v>
      </x:c>
      <x:c r="D100" s="34" t="str">
        <x:v>NVMe capacity for workstation use</x:v>
      </x:c>
      <x:c r="E100" s="34" t="str">
        <x:v>workload</x:v>
      </x:c>
      <x:c r="F100" s="83" t="n">
        <x:v>59</x:v>
      </x:c>
      <x:c r="G100" s="83" t="n">
        <x:v>0.559</x:v>
      </x:c>
      <x:c r="H100" s="34" t="str">
        <x:v>vector</x:v>
      </x:c>
      <x:c r="I100" s="34" t="str">
        <x:v>ollama</x:v>
      </x:c>
      <x:c r="J100" s="34" t="str">
        <x:v>nomic-embed-text</x:v>
      </x:c>
      <x:c r="K100" s="34" t="str">
        <x:v>storage, nvme, development, video, 2tb</x:v>
      </x:c>
      <x:c r="L100" s="34" t="str">
        <x:v>AIPC curated knowledge base</x:v>
      </x:c>
      <x:c r="M100" s="34" t="str"/>
      <x:c r="N100" s="35" t="str">
        <x:v>Development and editing systems benefit from 2TB or more of fast NVMe storage for repositories, containers, caches, footage, and active projects.</x:v>
      </x:c>
    </x:row>
    <x:row r="101">
      <x:c r="A101" s="33" t="str">
        <x:v>T06</x:v>
      </x:c>
      <x:c r="B101" s="34" t="n">
        <x:v>13</x:v>
      </x:c>
      <x:c r="C101" s="34" t="str">
        <x:v>psu-850</x:v>
      </x:c>
      <x:c r="D101" s="34" t="str">
        <x:v>850W Gold mainstream high-end fit</x:v>
      </x:c>
      <x:c r="E101" s="34" t="str">
        <x:v>psu</x:v>
      </x:c>
      <x:c r="F101" s="83" t="n">
        <x:v>57</x:v>
      </x:c>
      <x:c r="G101" s="83" t="n">
        <x:v>0.552</x:v>
      </x:c>
      <x:c r="H101" s="34" t="str">
        <x:v>vector</x:v>
      </x:c>
      <x:c r="I101" s="34" t="str">
        <x:v>ollama</x:v>
      </x:c>
      <x:c r="J101" s="34" t="str">
        <x:v>nomic-embed-text</x:v>
      </x:c>
      <x:c r="K101" s="34" t="str">
        <x:v>psu, 850w, gold, upgradeability</x:v>
      </x:c>
      <x:c r="L101" s="34" t="str">
        <x:v>AIPC curated knowledge base</x:v>
      </x:c>
      <x:c r="M101" s="34" t="str"/>
      <x:c r="N101" s="35" t="str">
        <x:v>An 850W Gold PSU is a common fit for high-end single-GPU systems when it satisfies the 1.35x power rule. It offers more upgrade margin than 750W without flagship PSU cost.</x:v>
      </x:c>
    </x:row>
    <x:row r="102">
      <x:c r="A102" s="33" t="str">
        <x:v>T06</x:v>
      </x:c>
      <x:c r="B102" s="34" t="n">
        <x:v>14</x:v>
      </x:c>
      <x:c r="C102" s="34" t="str">
        <x:v>cooler-pa120</x:v>
      </x:c>
      <x:c r="D102" s="34" t="str">
        <x:v>Peerless Assassin value cooling</x:v>
      </x:c>
      <x:c r="E102" s="34" t="str">
        <x:v>cooler</x:v>
      </x:c>
      <x:c r="F102" s="83" t="n">
        <x:v>56</x:v>
      </x:c>
      <x:c r="G102" s="83" t="n">
        <x:v>0.545</x:v>
      </x:c>
      <x:c r="H102" s="34" t="str">
        <x:v>vector</x:v>
      </x:c>
      <x:c r="I102" s="34" t="str">
        <x:v>ollama</x:v>
      </x:c>
      <x:c r="J102" s="34" t="str">
        <x:v>nomic-embed-text</x:v>
      </x:c>
      <x:c r="K102" s="34" t="str">
        <x:v>cooler, air, value, quiet</x:v>
      </x:c>
      <x:c r="L102" s="34" t="str">
        <x:v>AIPC curated knowledge base</x:v>
      </x:c>
      <x:c r="M102" s="34" t="str"/>
      <x:c r="N102" s="35" t="str">
        <x:v>The Peerless Assassin 120 SE offers high air-cooling capacity at low cost. It is well suited to mainstream and many high-tier CPUs when case height allows it.</x:v>
      </x:c>
    </x:row>
    <x:row r="103">
      <x:c r="A103" s="33" t="str">
        <x:v>T06</x:v>
      </x:c>
      <x:c r="B103" s="34" t="n">
        <x:v>15</x:v>
      </x:c>
      <x:c r="C103" s="34" t="str">
        <x:v>psu-atx31-modern-gpu</x:v>
      </x:c>
      <x:c r="D103" s="34" t="str">
        <x:v>ATX 3.1 and modern GPU power planning</x:v>
      </x:c>
      <x:c r="E103" s="34" t="str">
        <x:v>compatibility</x:v>
      </x:c>
      <x:c r="F103" s="83" t="n">
        <x:v>56</x:v>
      </x:c>
      <x:c r="G103" s="83" t="n">
        <x:v>0.542</x:v>
      </x:c>
      <x:c r="H103" s="34" t="str">
        <x:v>vector</x:v>
      </x:c>
      <x:c r="I103" s="34" t="str">
        <x:v>ollama</x:v>
      </x:c>
      <x:c r="J103" s="34" t="str">
        <x:v>nomic-embed-text</x:v>
      </x:c>
      <x:c r="K103" s="34" t="str">
        <x:v>psu, atx3.1, 12v-2x6, power, headroom, compatibility</x:v>
      </x:c>
      <x:c r="L103" s="34" t="str">
        <x:v>Corsair RM1200x SHIFT ATX 3.1 specifications</x:v>
      </x:c>
      <x:c r="M103" s="34" t="str">
        <x:v>https://www.corsair.com/us/en/p/psu/cp-9020276-na/rm1200x-shift-80-plus-gold-fully-modular-atx-power-supply-white-na-cp-9020276-na</x:v>
      </x:c>
      <x:c r="N103" s="35" t="str">
        <x:v>For high-draw current GPUs, an ATX 3.1 supply with a native 12V-2x6 cable simplifies cabling and is designed around modern transient requirements. Wattage still must satisfy deterministic sustained-load headroom; the connector standard does not make an undersized PSU acceptable.</x:v>
      </x:c>
    </x:row>
    <x:row r="104">
      <x:c r="A104" s="33" t="str">
        <x:v>T06</x:v>
      </x:c>
      <x:c r="B104" s="34" t="n">
        <x:v>16</x:v>
      </x:c>
      <x:c r="C104" s="34" t="str">
        <x:v>cpu-14700k-productivity</x:v>
      </x:c>
      <x:c r="D104" s="34" t="str">
        <x:v>Core i7-14700K productivity profile</x:v>
      </x:c>
      <x:c r="E104" s="34" t="str">
        <x:v>cpu</x:v>
      </x:c>
      <x:c r="F104" s="83" t="n">
        <x:v>54</x:v>
      </x:c>
      <x:c r="G104" s="83" t="n">
        <x:v>0.515</x:v>
      </x:c>
      <x:c r="H104" s="34" t="str">
        <x:v>vector</x:v>
      </x:c>
      <x:c r="I104" s="34" t="str">
        <x:v>ollama</x:v>
      </x:c>
      <x:c r="J104" s="34" t="str">
        <x:v>nomic-embed-text</x:v>
      </x:c>
      <x:c r="K104" s="34" t="str">
        <x:v>cpu, development, video, productivity, lga1700, high-power</x:v>
      </x:c>
      <x:c r="L104" s="34" t="str">
        <x:v>AIPC curated knowledge base</x:v>
      </x:c>
      <x:c r="M104" s="34" t="str"/>
      <x:c r="N104" s="35" t="str">
        <x:v>The Core i7-14700K offers high multithreaded throughput for editing and compilation, but its peak power and cooling requirements are substantial.</x:v>
      </x:c>
    </x:row>
    <x:row r="105">
      <x:c r="A105" s="33" t="str">
        <x:v>T06</x:v>
      </x:c>
      <x:c r="B105" s="34" t="n">
        <x:v>17</x:v>
      </x:c>
      <x:c r="C105" s="34" t="str">
        <x:v>motherboard-b650</x:v>
      </x:c>
      <x:c r="D105" s="34" t="str">
        <x:v>B650 platform fit</x:v>
      </x:c>
      <x:c r="E105" s="34" t="str">
        <x:v>motherboard</x:v>
      </x:c>
      <x:c r="F105" s="83" t="n">
        <x:v>54</x:v>
      </x:c>
      <x:c r="G105" s="83" t="n">
        <x:v>0.526</x:v>
      </x:c>
      <x:c r="H105" s="34" t="str">
        <x:v>vector</x:v>
      </x:c>
      <x:c r="I105" s="34" t="str">
        <x:v>ollama</x:v>
      </x:c>
      <x:c r="J105" s="34" t="str">
        <x:v>nomic-embed-text</x:v>
      </x:c>
      <x:c r="K105" s="34" t="str">
        <x:v>motherboard, am5, b650, ddr5, value</x:v>
      </x:c>
      <x:c r="L105" s="34" t="str">
        <x:v>AIPC curated knowledge base</x:v>
      </x:c>
      <x:c r="M105" s="34" t="str"/>
      <x:c r="N105" s="35" t="str">
        <x:v>A well-equipped B650 motherboard is a sensible mainstream AM5 choice with DDR5 and multiple NVMe slots. Enthusiast CPUs may justify stronger power delivery or an X670E board.</x:v>
      </x:c>
    </x:row>
    <x:row r="106">
      <x:c r="A106" s="33" t="str">
        <x:v>T06</x:v>
      </x:c>
      <x:c r="B106" s="34" t="n">
        <x:v>18</x:v>
      </x:c>
      <x:c r="C106" s="34" t="str">
        <x:v>psu-1000</x:v>
      </x:c>
      <x:c r="D106" s="34" t="str">
        <x:v>1000W Gold enthusiast fit</x:v>
      </x:c>
      <x:c r="E106" s="34" t="str">
        <x:v>psu</x:v>
      </x:c>
      <x:c r="F106" s="83" t="n">
        <x:v>54</x:v>
      </x:c>
      <x:c r="G106" s="83" t="n">
        <x:v>0.524</x:v>
      </x:c>
      <x:c r="H106" s="34" t="str">
        <x:v>vector</x:v>
      </x:c>
      <x:c r="I106" s="34" t="str">
        <x:v>ollama</x:v>
      </x:c>
      <x:c r="J106" s="34" t="str">
        <x:v>nomic-embed-text</x:v>
      </x:c>
      <x:c r="K106" s="34" t="str">
        <x:v>psu, 1000w, gold, enthusiast</x:v>
      </x:c>
      <x:c r="L106" s="34" t="str">
        <x:v>AIPC curated knowledge base</x:v>
      </x:c>
      <x:c r="M106" s="34" t="str"/>
      <x:c r="N106" s="35" t="str">
        <x:v>A 1000W Gold PSU is appropriate for higher-draw GPUs and workstation CPUs where 850W would leave limited transient or upgrade headroom.</x:v>
      </x:c>
    </x:row>
    <x:row r="107">
      <x:c r="A107" s="33" t="str">
        <x:v>T07</x:v>
      </x:c>
      <x:c r="B107" s="34" t="n">
        <x:v>1</x:v>
      </x:c>
      <x:c r="C107" s="34" t="str">
        <x:v>gaming-1440p</x:v>
      </x:c>
      <x:c r="D107" s="34" t="str">
        <x:v>1440p gaming allocation</x:v>
      </x:c>
      <x:c r="E107" s="34" t="str">
        <x:v>workload</x:v>
      </x:c>
      <x:c r="F107" s="83" t="n">
        <x:v>79</x:v>
      </x:c>
      <x:c r="G107" s="83" t="n">
        <x:v>0.725</x:v>
      </x:c>
      <x:c r="H107" s="34" t="str">
        <x:v>vector</x:v>
      </x:c>
      <x:c r="I107" s="34" t="str">
        <x:v>ollama</x:v>
      </x:c>
      <x:c r="J107" s="34" t="str">
        <x:v>nomic-embed-text</x:v>
      </x:c>
      <x:c r="K107" s="34" t="str">
        <x:v>gaming, 1440p, gpu, value</x:v>
      </x:c>
      <x:c r="L107" s="34" t="str">
        <x:v>AIPC curated knowledge base</x:v>
      </x:c>
      <x:c r="M107" s="34" t="str"/>
      <x:c r="N107" s="35" t="str">
        <x:v>1440p gaming usually benefits from a GPU-first budget with a balanced modern CPU. It is the broadest value target for high-refresh PC gaming.</x:v>
      </x:c>
    </x:row>
    <x:row r="108">
      <x:c r="A108" s="33" t="str">
        <x:v>T07</x:v>
      </x:c>
      <x:c r="B108" s="34" t="n">
        <x:v>2</x:v>
      </x:c>
      <x:c r="C108" s="34" t="str">
        <x:v>gpu-4070s-gaming</x:v>
      </x:c>
      <x:c r="D108" s="34" t="str">
        <x:v>RTX 4070 Super gaming profile</x:v>
      </x:c>
      <x:c r="E108" s="34" t="str">
        <x:v>gpu</x:v>
      </x:c>
      <x:c r="F108" s="83" t="n">
        <x:v>77</x:v>
      </x:c>
      <x:c r="G108" s="83" t="n">
        <x:v>0.711</x:v>
      </x:c>
      <x:c r="H108" s="34" t="str">
        <x:v>vector</x:v>
      </x:c>
      <x:c r="I108" s="34" t="str">
        <x:v>ollama</x:v>
      </x:c>
      <x:c r="J108" s="34" t="str">
        <x:v>nomic-embed-text</x:v>
      </x:c>
      <x:c r="K108" s="34" t="str">
        <x:v>gpu, gaming, 1440p, cuda, 12gb, efficient</x:v>
      </x:c>
      <x:c r="L108" s="34" t="str">
        <x:v>AIPC curated knowledge base</x:v>
      </x:c>
      <x:c r="M108" s="34" t="str"/>
      <x:c r="N108" s="35" t="str">
        <x:v>The RTX 4070 Super is efficient for high-quality 1440p gaming and supports CUDA, but its 12GB VRAM is less flexible for larger local AI workloads.</x:v>
      </x:c>
    </x:row>
    <x:row r="109">
      <x:c r="A109" s="33" t="str">
        <x:v>T07</x:v>
      </x:c>
      <x:c r="B109" s="34" t="n">
        <x:v>3</x:v>
      </x:c>
      <x:c r="C109" s="34" t="str">
        <x:v>gpu-4070tis-balanced</x:v>
      </x:c>
      <x:c r="D109" s="34" t="str">
        <x:v>RTX 4070 Ti Super balanced profile</x:v>
      </x:c>
      <x:c r="E109" s="34" t="str">
        <x:v>gpu</x:v>
      </x:c>
      <x:c r="F109" s="83" t="n">
        <x:v>74</x:v>
      </x:c>
      <x:c r="G109" s="83" t="n">
        <x:v>0.681</x:v>
      </x:c>
      <x:c r="H109" s="34" t="str">
        <x:v>vector</x:v>
      </x:c>
      <x:c r="I109" s="34" t="str">
        <x:v>ollama</x:v>
      </x:c>
      <x:c r="J109" s="34" t="str">
        <x:v>nomic-embed-text</x:v>
      </x:c>
      <x:c r="K109" s="34" t="str">
        <x:v>gpu, gaming, ai, cuda, 16gb, balanced</x:v>
      </x:c>
      <x:c r="L109" s="34" t="str">
        <x:v>AIPC curated knowledge base</x:v>
      </x:c>
      <x:c r="M109" s="34" t="str"/>
      <x:c r="N109" s="35" t="str">
        <x:v>The RTX 4070 Ti Super provides 16GB VRAM and strong 1440p to 4K capability at lower power and cost than flagship GPUs. It is a balanced choice for mixed gaming, creative, and CUDA work.</x:v>
      </x:c>
    </x:row>
    <x:row r="110">
      <x:c r="A110" s="33" t="str">
        <x:v>T07</x:v>
      </x:c>
      <x:c r="B110" s="34" t="n">
        <x:v>4</x:v>
      </x:c>
      <x:c r="C110" s="34" t="str">
        <x:v>case-nr200-sff</x:v>
      </x:c>
      <x:c r="D110" s="34" t="str">
        <x:v>NR200P small-form-factor constraints</x:v>
      </x:c>
      <x:c r="E110" s="34" t="str">
        <x:v>case</x:v>
      </x:c>
      <x:c r="F110" s="83" t="n">
        <x:v>74</x:v>
      </x:c>
      <x:c r="G110" s="83" t="n">
        <x:v>0.683</x:v>
      </x:c>
      <x:c r="H110" s="34" t="str">
        <x:v>vector</x:v>
      </x:c>
      <x:c r="I110" s="34" t="str">
        <x:v>ollama</x:v>
      </x:c>
      <x:c r="J110" s="34" t="str">
        <x:v>nomic-embed-text</x:v>
      </x:c>
      <x:c r="K110" s="34" t="str">
        <x:v>case, sff, mini-itx, sfx, compact</x:v>
      </x:c>
      <x:c r="L110" s="34" t="str">
        <x:v>AIPC curated knowledge base</x:v>
      </x:c>
      <x:c r="M110" s="34" t="str"/>
      <x:c r="N110" s="35" t="str">
        <x:v>The NR200P is a Mini-ITX enclosure that requires an SFX power supply and limits tower cooler height. Compact builds require stricter part filtering and usually carry a price premium.</x:v>
      </x:c>
    </x:row>
    <x:row r="111">
      <x:c r="A111" s="33" t="str">
        <x:v>T07</x:v>
      </x:c>
      <x:c r="B111" s="34" t="n">
        <x:v>5</x:v>
      </x:c>
      <x:c r="C111" s="34" t="str">
        <x:v>gpu-5070ti-blackwell</x:v>
      </x:c>
      <x:c r="D111" s="34" t="str">
        <x:v>RTX 5070 Ti balanced high-end profile</x:v>
      </x:c>
      <x:c r="E111" s="34" t="str">
        <x:v>gpu</x:v>
      </x:c>
      <x:c r="F111" s="83" t="n">
        <x:v>73</x:v>
      </x:c>
      <x:c r="G111" s="83" t="n">
        <x:v>0.674</x:v>
      </x:c>
      <x:c r="H111" s="34" t="str">
        <x:v>vector</x:v>
      </x:c>
      <x:c r="I111" s="34" t="str">
        <x:v>ollama</x:v>
      </x:c>
      <x:c r="J111" s="34" t="str">
        <x:v>nomic-embed-text</x:v>
      </x:c>
      <x:c r="K111" s="34" t="str">
        <x:v>gpu, nvidia, cuda, blackwell, 16gb, 1440p, 4k, balanced</x:v>
      </x:c>
      <x:c r="L111" s="34" t="str">
        <x:v>NVIDIA GeForce RTX 5070 family specifications</x:v>
      </x:c>
      <x:c r="M111" s="34" t="str">
        <x:v>https://www.nvidia.com/en-us/geforce/graphics-cards/50-series/rtx-5070-family/</x:v>
      </x:c>
      <x:c r="N111" s="35" t="str">
        <x:v>The GeForce RTX 5070 Ti provides 16GB GDDR7 and CUDA at a 300W reference power target. It is positioned for high-refresh 1440p, entry 4K, creator acceleration, and moderate local AI workloads without flagship cost.</x:v>
      </x:c>
    </x:row>
    <x:row r="112">
      <x:c r="A112" s="33" t="str">
        <x:v>T07</x:v>
      </x:c>
      <x:c r="B112" s="34" t="n">
        <x:v>6</x:v>
      </x:c>
      <x:c r="C112" s="34" t="str">
        <x:v>gaming-1080p</x:v>
      </x:c>
      <x:c r="D112" s="34" t="str">
        <x:v>1080p gaming allocation</x:v>
      </x:c>
      <x:c r="E112" s="34" t="str">
        <x:v>workload</x:v>
      </x:c>
      <x:c r="F112" s="83" t="n">
        <x:v>72</x:v>
      </x:c>
      <x:c r="G112" s="83" t="n">
        <x:v>0.672</x:v>
      </x:c>
      <x:c r="H112" s="34" t="str">
        <x:v>vector</x:v>
      </x:c>
      <x:c r="I112" s="34" t="str">
        <x:v>ollama</x:v>
      </x:c>
      <x:c r="J112" s="34" t="str">
        <x:v>nomic-embed-text</x:v>
      </x:c>
      <x:c r="K112" s="34" t="str">
        <x:v>gaming, 1080p, high-fps, cpu</x:v>
      </x:c>
      <x:c r="L112" s="34" t="str">
        <x:v>AIPC curated knowledge base</x:v>
      </x:c>
      <x:c r="M112" s="34" t="str"/>
      <x:c r="N112" s="35" t="str">
        <x:v>At 1080p and high refresh rates, CPU frame delivery matters more than at higher resolutions. GPU budget remains important, but extreme GPU spending can produce diminishing returns.</x:v>
      </x:c>
    </x:row>
    <x:row r="113">
      <x:c r="A113" s="33" t="str">
        <x:v>T07</x:v>
      </x:c>
      <x:c r="B113" s="34" t="n">
        <x:v>7</x:v>
      </x:c>
      <x:c r="C113" s="34" t="str">
        <x:v>cooler-pa120</x:v>
      </x:c>
      <x:c r="D113" s="34" t="str">
        <x:v>Peerless Assassin value cooling</x:v>
      </x:c>
      <x:c r="E113" s="34" t="str">
        <x:v>cooler</x:v>
      </x:c>
      <x:c r="F113" s="83" t="n">
        <x:v>72</x:v>
      </x:c>
      <x:c r="G113" s="83" t="n">
        <x:v>0.672</x:v>
      </x:c>
      <x:c r="H113" s="34" t="str">
        <x:v>vector</x:v>
      </x:c>
      <x:c r="I113" s="34" t="str">
        <x:v>ollama</x:v>
      </x:c>
      <x:c r="J113" s="34" t="str">
        <x:v>nomic-embed-text</x:v>
      </x:c>
      <x:c r="K113" s="34" t="str">
        <x:v>cooler, air, value, quiet</x:v>
      </x:c>
      <x:c r="L113" s="34" t="str">
        <x:v>AIPC curated knowledge base</x:v>
      </x:c>
      <x:c r="M113" s="34" t="str"/>
      <x:c r="N113" s="35" t="str">
        <x:v>The Peerless Assassin 120 SE offers high air-cooling capacity at low cost. It is well suited to mainstream and many high-tier CPUs when case height allows it.</x:v>
      </x:c>
    </x:row>
    <x:row r="114">
      <x:c r="A114" s="33" t="str">
        <x:v>T07</x:v>
      </x:c>
      <x:c r="B114" s="34" t="n">
        <x:v>8</x:v>
      </x:c>
      <x:c r="C114" s="34" t="str">
        <x:v>case-north-airflow</x:v>
      </x:c>
      <x:c r="D114" s="34" t="str">
        <x:v>Fractal North balanced airflow</x:v>
      </x:c>
      <x:c r="E114" s="34" t="str">
        <x:v>case</x:v>
      </x:c>
      <x:c r="F114" s="83" t="n">
        <x:v>72</x:v>
      </x:c>
      <x:c r="G114" s="83" t="n">
        <x:v>0.679</x:v>
      </x:c>
      <x:c r="H114" s="34" t="str">
        <x:v>vector</x:v>
      </x:c>
      <x:c r="I114" s="34" t="str">
        <x:v>ollama</x:v>
      </x:c>
      <x:c r="J114" s="34" t="str">
        <x:v>nomic-embed-text</x:v>
      </x:c>
      <x:c r="K114" s="34" t="str">
        <x:v>case, atx, airflow, quiet, upgradeability</x:v>
      </x:c>
      <x:c r="L114" s="34" t="str">
        <x:v>AIPC curated knowledge base</x:v>
      </x:c>
      <x:c r="M114" s="34" t="str"/>
      <x:c r="N114" s="35" t="str">
        <x:v>The Fractal North supports full-size ATX components with 355mm GPU clearance and 170mm air-cooler clearance. It balances airflow, acoustics, and upgrade room.</x:v>
      </x:c>
    </x:row>
    <x:row r="115">
      <x:c r="A115" s="33" t="str">
        <x:v>T07</x:v>
      </x:c>
      <x:c r="B115" s="34" t="n">
        <x:v>9</x:v>
      </x:c>
      <x:c r="C115" s="34" t="str">
        <x:v>case-sff-cooling-budget</x:v>
      </x:c>
      <x:c r="D115" s="34" t="str">
        <x:v>Small-form-factor cost and cooling trade-off</x:v>
      </x:c>
      <x:c r="E115" s="34" t="str">
        <x:v>planning</x:v>
      </x:c>
      <x:c r="F115" s="83" t="n">
        <x:v>72</x:v>
      </x:c>
      <x:c r="G115" s="83" t="n">
        <x:v>0.664</x:v>
      </x:c>
      <x:c r="H115" s="34" t="str">
        <x:v>vector</x:v>
      </x:c>
      <x:c r="I115" s="34" t="str">
        <x:v>ollama</x:v>
      </x:c>
      <x:c r="J115" s="34" t="str">
        <x:v>nomic-embed-text</x:v>
      </x:c>
      <x:c r="K115" s="34" t="str">
        <x:v>case, sff, mini-itx, sfx, cooling, clearance, trade-off</x:v>
      </x:c>
      <x:c r="L115" s="34" t="str">
        <x:v>Fractal Design Terra official specifications</x:v>
      </x:c>
      <x:c r="M115" s="34" t="str">
        <x:v>https://www.fractal-design.com/products/cases/terra/terra/</x:v>
      </x:c>
      <x:c r="N115" s="35" t="str">
        <x:v>Mini-ITX systems typically require a Mini-ITX motherboard and SFX power supply and may sharply limit air-cooler height and GPU dimensions. A compact request should trigger hard form-factor filtering and should expect higher component cost or reduced thermal headroom.</x:v>
      </x:c>
    </x:row>
    <x:row r="116">
      <x:c r="A116" s="33" t="str">
        <x:v>T07</x:v>
      </x:c>
      <x:c r="B116" s="34" t="n">
        <x:v>10</x:v>
      </x:c>
      <x:c r="C116" s="34" t="str">
        <x:v>cpu-9950x3d-mixed</x:v>
      </x:c>
      <x:c r="D116" s="34" t="str">
        <x:v>Ryzen 9 9950X3D mixed gaming and creation profile</x:v>
      </x:c>
      <x:c r="E116" s="34" t="str">
        <x:v>cpu</x:v>
      </x:c>
      <x:c r="F116" s="83" t="n">
        <x:v>70</x:v>
      </x:c>
      <x:c r="G116" s="83" t="n">
        <x:v>0.653</x:v>
      </x:c>
      <x:c r="H116" s="34" t="str">
        <x:v>vector</x:v>
      </x:c>
      <x:c r="I116" s="34" t="str">
        <x:v>ollama</x:v>
      </x:c>
      <x:c r="J116" s="34" t="str">
        <x:v>nomic-embed-text</x:v>
      </x:c>
      <x:c r="K116" s="34" t="str">
        <x:v>cpu, amd, am5, zen5, 16-core, gaming, creator, enthusiast</x:v>
      </x:c>
      <x:c r="L116" s="34" t="str">
        <x:v>AMD Ryzen desktop processor specifications</x:v>
      </x:c>
      <x:c r="M116" s="34" t="str">
        <x:v>https://www.amd.com/en/products/processors/desktops/ryzen.html</x:v>
      </x:c>
      <x:c r="N116" s="35" t="str">
        <x:v>Ryzen 9 9950X3D combines 16 Zen 5 cores with second-generation 3D V-Cache on AM5. It fits premium systems that need strong gaming latency and high multicore throughput, but it should not displace cheaper eight-core X3D options in gaming-only budgets.</x:v>
      </x:c>
    </x:row>
    <x:row r="117">
      <x:c r="A117" s="33" t="str">
        <x:v>T07</x:v>
      </x:c>
      <x:c r="B117" s="34" t="n">
        <x:v>11</x:v>
      </x:c>
      <x:c r="C117" s="34" t="str">
        <x:v>cpu-9950x3d2-workstation</x:v>
      </x:c>
      <x:c r="D117" s="34" t="str">
        <x:v>Ryzen 9 9950X3D2 developer workstation profile</x:v>
      </x:c>
      <x:c r="E117" s="34" t="str">
        <x:v>cpu</x:v>
      </x:c>
      <x:c r="F117" s="83" t="n">
        <x:v>70</x:v>
      </x:c>
      <x:c r="G117" s="83" t="n">
        <x:v>0.652</x:v>
      </x:c>
      <x:c r="H117" s="34" t="str">
        <x:v>vector</x:v>
      </x:c>
      <x:c r="I117" s="34" t="str">
        <x:v>ollama</x:v>
      </x:c>
      <x:c r="J117" s="34" t="str">
        <x:v>nomic-embed-text</x:v>
      </x:c>
      <x:c r="K117" s="34" t="str">
        <x:v>cpu, amd, am5, zen5, 16-core, development, creator, enthusiast, high-power</x:v>
      </x:c>
      <x:c r="L117" s="34" t="str">
        <x:v>AMD Ryzen 9 9950X3D2 launch specifications</x:v>
      </x:c>
      <x:c r="M117" s="34" t="str">
        <x:v>https://www.amd.com/en/newsroom/press-releases/2026-4-22-amd-launches-ryzen-9-9950x3d2-dual-edition-processor.html</x:v>
      </x:c>
      <x:c r="N117" s="35" t="str">
        <x:v>Ryzen 9 9950X3D2 combines 16 cores, 32 threads, 208MB total cache, a 200W TDP, and an $899 SEP. It targets high-budget development, compilation, simulation, creation, and gaming systems where both cache capacity and core throughput matter.</x:v>
      </x:c>
    </x:row>
    <x:row r="118">
      <x:c r="A118" s="33" t="str">
        <x:v>T07</x:v>
      </x:c>
      <x:c r="B118" s="34" t="n">
        <x:v>12</x:v>
      </x:c>
      <x:c r="C118" s="34" t="str">
        <x:v>cpu-9800x3d-gaming</x:v>
      </x:c>
      <x:c r="D118" s="34" t="str">
        <x:v>Ryzen 7 9800X3D gaming focus</x:v>
      </x:c>
      <x:c r="E118" s="34" t="str">
        <x:v>cpu</x:v>
      </x:c>
      <x:c r="F118" s="83" t="n">
        <x:v>68</x:v>
      </x:c>
      <x:c r="G118" s="83" t="n">
        <x:v>0.631</x:v>
      </x:c>
      <x:c r="H118" s="34" t="str">
        <x:v>vector</x:v>
      </x:c>
      <x:c r="I118" s="34" t="str">
        <x:v>ollama</x:v>
      </x:c>
      <x:c r="J118" s="34" t="str">
        <x:v>nomic-embed-text</x:v>
      </x:c>
      <x:c r="K118" s="34" t="str">
        <x:v>cpu, gaming, high-fps, am5, enthusiast</x:v>
      </x:c>
      <x:c r="L118" s="34" t="str">
        <x:v>AIPC curated knowledge base</x:v>
      </x:c>
      <x:c r="M118" s="34" t="str"/>
      <x:c r="N118" s="35" t="str">
        <x:v>The Ryzen 7 9800X3D is an enthusiast gaming CPU. Its value is strongest in high-refresh gaming systems where the GPU is already well funded.</x:v>
      </x:c>
    </x:row>
    <x:row r="119">
      <x:c r="A119" s="33" t="str">
        <x:v>T07</x:v>
      </x:c>
      <x:c r="B119" s="34" t="n">
        <x:v>13</x:v>
      </x:c>
      <x:c r="C119" s="34" t="str">
        <x:v>case-clearance</x:v>
      </x:c>
      <x:c r="D119" s="34" t="str">
        <x:v>Case clearance constraints</x:v>
      </x:c>
      <x:c r="E119" s="34" t="str">
        <x:v>compatibility</x:v>
      </x:c>
      <x:c r="F119" s="83" t="n">
        <x:v>68</x:v>
      </x:c>
      <x:c r="G119" s="83" t="n">
        <x:v>0.649</x:v>
      </x:c>
      <x:c r="H119" s="34" t="str">
        <x:v>vector</x:v>
      </x:c>
      <x:c r="I119" s="34" t="str">
        <x:v>ollama</x:v>
      </x:c>
      <x:c r="J119" s="34" t="str">
        <x:v>nomic-embed-text</x:v>
      </x:c>
      <x:c r="K119" s="34" t="str">
        <x:v>case, clearance, gpu-length, cooler-height, form-factor</x:v>
      </x:c>
      <x:c r="L119" s="34" t="str">
        <x:v>AIPC curated knowledge base</x:v>
      </x:c>
      <x:c r="M119" s="34" t="str"/>
      <x:c r="N119" s="35" t="str">
        <x:v>GPU length, air-cooler height, motherboard form factor, and PSU form factor are hard physical constraints. These values must be checked deterministically before a case is accepted.</x:v>
      </x:c>
    </x:row>
    <x:row r="120">
      <x:c r="A120" s="33" t="str">
        <x:v>T07</x:v>
      </x:c>
      <x:c r="B120" s="34" t="n">
        <x:v>14</x:v>
      </x:c>
      <x:c r="C120" s="34" t="str">
        <x:v>gaming-4k</x:v>
      </x:c>
      <x:c r="D120" s="34" t="str">
        <x:v>4K gaming allocation</x:v>
      </x:c>
      <x:c r="E120" s="34" t="str">
        <x:v>workload</x:v>
      </x:c>
      <x:c r="F120" s="83" t="n">
        <x:v>66</x:v>
      </x:c>
      <x:c r="G120" s="83" t="n">
        <x:v>0.648</x:v>
      </x:c>
      <x:c r="H120" s="34" t="str">
        <x:v>vector</x:v>
      </x:c>
      <x:c r="I120" s="34" t="str">
        <x:v>ollama</x:v>
      </x:c>
      <x:c r="J120" s="34" t="str">
        <x:v>nomic-embed-text</x:v>
      </x:c>
      <x:c r="K120" s="34" t="str">
        <x:v>gaming, 4k, gpu, high-end</x:v>
      </x:c>
      <x:c r="L120" s="34" t="str">
        <x:v>AIPC curated knowledge base</x:v>
      </x:c>
      <x:c r="M120" s="34" t="str"/>
      <x:c r="N120" s="35" t="str">
        <x:v>At 4K the GPU is normally the primary performance constraint. Budget should favor the graphics card while retaining enough CPU, cooling, and PSU quality to avoid platform imbalance.</x:v>
      </x:c>
    </x:row>
    <x:row r="121">
      <x:c r="A121" s="33" t="str">
        <x:v>T07</x:v>
      </x:c>
      <x:c r="B121" s="34" t="n">
        <x:v>15</x:v>
      </x:c>
      <x:c r="C121" s="34" t="str">
        <x:v>storage-pcie5-thermal</x:v>
      </x:c>
      <x:c r="D121" s="34" t="str">
        <x:v>PCIe 5.0 SSD performance and thermal trade-off</x:v>
      </x:c>
      <x:c r="E121" s="34" t="str">
        <x:v>storage</x:v>
      </x:c>
      <x:c r="F121" s="83" t="n">
        <x:v>66</x:v>
      </x:c>
      <x:c r="G121" s="83" t="n">
        <x:v>0.625</x:v>
      </x:c>
      <x:c r="H121" s="34" t="str">
        <x:v>vector</x:v>
      </x:c>
      <x:c r="I121" s="34" t="str">
        <x:v>ollama</x:v>
      </x:c>
      <x:c r="J121" s="34" t="str">
        <x:v>nomic-embed-text</x:v>
      </x:c>
      <x:c r="K121" s="34" t="str">
        <x:v>storage, nvme, pcie5, thermal, creator, development, value</x:v>
      </x:c>
      <x:c r="L121" s="34" t="str">
        <x:v>Samsung 9100 Pro official specifications</x:v>
      </x:c>
      <x:c r="M121" s="34" t="str">
        <x:v>https://www.samsung.com/us/memory-storage/nvme-ssd/9100-pro-nvme-ssd-sku-mz-vap4t0b-am/</x:v>
      </x:c>
      <x:c r="N121"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22">
      <x:c r="A122" s="33" t="str">
        <x:v>T07</x:v>
      </x:c>
      <x:c r="B122" s="34" t="n">
        <x:v>16</x:v>
      </x:c>
      <x:c r="C122" s="34" t="str">
        <x:v>cooling-tdp</x:v>
      </x:c>
      <x:c r="D122" s="34" t="str">
        <x:v>Cooling capacity rule</x:v>
      </x:c>
      <x:c r="E122" s="34" t="str">
        <x:v>compatibility</x:v>
      </x:c>
      <x:c r="F122" s="83" t="n">
        <x:v>64</x:v>
      </x:c>
      <x:c r="G122" s="83" t="n">
        <x:v>0.609</x:v>
      </x:c>
      <x:c r="H122" s="34" t="str">
        <x:v>vector</x:v>
      </x:c>
      <x:c r="I122" s="34" t="str">
        <x:v>ollama</x:v>
      </x:c>
      <x:c r="J122" s="34" t="str">
        <x:v>nomic-embed-text</x:v>
      </x:c>
      <x:c r="K122" s="34" t="str">
        <x:v>cooler, tdp, quiet, compatibility</x:v>
      </x:c>
      <x:c r="L122" s="34" t="str">
        <x:v>AIPC curated knowledge base</x:v>
      </x:c>
      <x:c r="M122" s="34" t="str"/>
      <x:c r="N122" s="35" t="str">
        <x:v>A cooler's thermal rating must meet or exceed the CPU power rating. Quiet builds benefit from additional capacity because the cooler can dissipate heat at lower fan speed.</x:v>
      </x:c>
    </x:row>
    <x:row r="123">
      <x:c r="A123" s="33" t="str">
        <x:v>T08</x:v>
      </x:c>
      <x:c r="B123" s="34" t="n">
        <x:v>1</x:v>
      </x:c>
      <x:c r="C123" s="34" t="str">
        <x:v>ram-capacity-dev</x:v>
      </x:c>
      <x:c r="D123" s="34" t="str">
        <x:v>Memory capacity for development</x:v>
      </x:c>
      <x:c r="E123" s="34" t="str">
        <x:v>workload</x:v>
      </x:c>
      <x:c r="F123" s="83" t="n">
        <x:v>75</x:v>
      </x:c>
      <x:c r="G123" s="83" t="n">
        <x:v>0.692</x:v>
      </x:c>
      <x:c r="H123" s="34" t="str">
        <x:v>vector</x:v>
      </x:c>
      <x:c r="I123" s="34" t="str">
        <x:v>ollama</x:v>
      </x:c>
      <x:c r="J123" s="34" t="str">
        <x:v>nomic-embed-text</x:v>
      </x:c>
      <x:c r="K123" s="34" t="str">
        <x:v>ram, development, docker, containers, 64gb</x:v>
      </x:c>
      <x:c r="L123" s="34" t="str">
        <x:v>AIPC curated knowledge base</x:v>
      </x:c>
      <x:c r="M123" s="34" t="str"/>
      <x:c r="N123" s="35" t="str">
        <x:v>Docker, local databases, IDEs, browsers, and emulators compete for memory. 32GB is a practical baseline; 64GB provides meaningful headroom for heavier container and mobile build workflows.</x:v>
      </x:c>
    </x:row>
    <x:row r="124">
      <x:c r="A124" s="33" t="str">
        <x:v>T08</x:v>
      </x:c>
      <x:c r="B124" s="34" t="n">
        <x:v>2</x:v>
      </x:c>
      <x:c r="C124" s="34" t="str">
        <x:v>cpu-9950x3d2-workstation</x:v>
      </x:c>
      <x:c r="D124" s="34" t="str">
        <x:v>Ryzen 9 9950X3D2 developer workstation profile</x:v>
      </x:c>
      <x:c r="E124" s="34" t="str">
        <x:v>cpu</x:v>
      </x:c>
      <x:c r="F124" s="83" t="n">
        <x:v>71</x:v>
      </x:c>
      <x:c r="G124" s="83" t="n">
        <x:v>0.662</x:v>
      </x:c>
      <x:c r="H124" s="34" t="str">
        <x:v>vector</x:v>
      </x:c>
      <x:c r="I124" s="34" t="str">
        <x:v>ollama</x:v>
      </x:c>
      <x:c r="J124" s="34" t="str">
        <x:v>nomic-embed-text</x:v>
      </x:c>
      <x:c r="K124" s="34" t="str">
        <x:v>cpu, amd, am5, zen5, 16-core, development, creator, enthusiast, high-power</x:v>
      </x:c>
      <x:c r="L124" s="34" t="str">
        <x:v>AMD Ryzen 9 9950X3D2 launch specifications</x:v>
      </x:c>
      <x:c r="M124" s="34" t="str">
        <x:v>https://www.amd.com/en/newsroom/press-releases/2026-4-22-amd-launches-ryzen-9-9950x3d2-dual-edition-processor.html</x:v>
      </x:c>
      <x:c r="N124" s="35" t="str">
        <x:v>Ryzen 9 9950X3D2 combines 16 cores, 32 threads, 208MB total cache, a 200W TDP, and an $899 SEP. It targets high-budget development, compilation, simulation, creation, and gaming systems where both cache capacity and core throughput matter.</x:v>
      </x:c>
    </x:row>
    <x:row r="125">
      <x:c r="A125" s="33" t="str">
        <x:v>T08</x:v>
      </x:c>
      <x:c r="B125" s="34" t="n">
        <x:v>3</x:v>
      </x:c>
      <x:c r="C125" s="34" t="str">
        <x:v>gpu-5060ti16-ai-value</x:v>
      </x:c>
      <x:c r="D125" s="34" t="str">
        <x:v>RTX 5060 Ti 16GB capacity-value trade-off</x:v>
      </x:c>
      <x:c r="E125" s="34" t="str">
        <x:v>gpu</x:v>
      </x:c>
      <x:c r="F125" s="83" t="n">
        <x:v>71</x:v>
      </x:c>
      <x:c r="G125" s="83" t="n">
        <x:v>0.635</x:v>
      </x:c>
      <x:c r="H125" s="34" t="str">
        <x:v>vector</x:v>
      </x:c>
      <x:c r="I125" s="34" t="str">
        <x:v>ollama</x:v>
      </x:c>
      <x:c r="J125" s="34" t="str">
        <x:v>nomic-embed-text</x:v>
      </x:c>
      <x:c r="K125" s="34" t="str">
        <x:v>gpu, nvidia, cuda, blackwell, 16gb, ai, value, efficient</x:v>
      </x:c>
      <x:c r="L125" s="34" t="str">
        <x:v>NVIDIA GeForce RTX 5060 family specifications</x:v>
      </x:c>
      <x:c r="M125" s="34" t="str">
        <x:v>https://www.nvidia.com/en-us/geforce/graphics-cards/50-series/rtx-5060-family/</x:v>
      </x:c>
      <x:c r="N125" s="35" t="str">
        <x:v>The 16GB RTX 5060 Ti offers more model and texture capacity than 8GB cards while retaining CUDA support and a 180W reference power target. Its compute throughput is midrange, so capacity-sensitive hobby AI can fit even when raw generation or training speed is below higher-tier GPUs.</x:v>
      </x:c>
    </x:row>
    <x:row r="126">
      <x:c r="A126" s="33" t="str">
        <x:v>T08</x:v>
      </x:c>
      <x:c r="B126" s="34" t="n">
        <x:v>4</x:v>
      </x:c>
      <x:c r="C126" s="34" t="str">
        <x:v>storage-pcie5-thermal</x:v>
      </x:c>
      <x:c r="D126" s="34" t="str">
        <x:v>PCIe 5.0 SSD performance and thermal trade-off</x:v>
      </x:c>
      <x:c r="E126" s="34" t="str">
        <x:v>storage</x:v>
      </x:c>
      <x:c r="F126" s="83" t="n">
        <x:v>68</x:v>
      </x:c>
      <x:c r="G126" s="83" t="n">
        <x:v>0.636</x:v>
      </x:c>
      <x:c r="H126" s="34" t="str">
        <x:v>vector</x:v>
      </x:c>
      <x:c r="I126" s="34" t="str">
        <x:v>ollama</x:v>
      </x:c>
      <x:c r="J126" s="34" t="str">
        <x:v>nomic-embed-text</x:v>
      </x:c>
      <x:c r="K126" s="34" t="str">
        <x:v>storage, nvme, pcie5, thermal, creator, development, value</x:v>
      </x:c>
      <x:c r="L126" s="34" t="str">
        <x:v>Samsung 9100 Pro official specifications</x:v>
      </x:c>
      <x:c r="M126" s="34" t="str">
        <x:v>https://www.samsung.com/us/memory-storage/nvme-ssd/9100-pro-nvme-ssd-sku-mz-vap4t0b-am/</x:v>
      </x:c>
      <x:c r="N126"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27">
      <x:c r="A127" s="33" t="str">
        <x:v>T08</x:v>
      </x:c>
      <x:c r="B127" s="34" t="n">
        <x:v>5</x:v>
      </x:c>
      <x:c r="C127" s="34" t="str">
        <x:v>cpu-7900x-workstation</x:v>
      </x:c>
      <x:c r="D127" s="34" t="str">
        <x:v>Ryzen 9 7900X workstation profile</x:v>
      </x:c>
      <x:c r="E127" s="34" t="str">
        <x:v>cpu</x:v>
      </x:c>
      <x:c r="F127" s="83" t="n">
        <x:v>67</x:v>
      </x:c>
      <x:c r="G127" s="83" t="n">
        <x:v>0.636</x:v>
      </x:c>
      <x:c r="H127" s="34" t="str">
        <x:v>vector</x:v>
      </x:c>
      <x:c r="I127" s="34" t="str">
        <x:v>ollama</x:v>
      </x:c>
      <x:c r="J127" s="34" t="str">
        <x:v>nomic-embed-text</x:v>
      </x:c>
      <x:c r="K127" s="34" t="str">
        <x:v>cpu, development, video, productivity, am5, 12-core</x:v>
      </x:c>
      <x:c r="L127" s="34" t="str">
        <x:v>AIPC curated knowledge base</x:v>
      </x:c>
      <x:c r="M127" s="34" t="str"/>
      <x:c r="N127" s="35" t="str">
        <x:v>Twelve cores and strong productivity performance make the Ryzen 9 7900X suitable for compilation, rendering, containers, and mixed workstation use. It requires stronger cooling than 65W parts.</x:v>
      </x:c>
    </x:row>
    <x:row r="128">
      <x:c r="A128" s="33" t="str">
        <x:v>T08</x:v>
      </x:c>
      <x:c r="B128" s="34" t="n">
        <x:v>6</x:v>
      </x:c>
      <x:c r="C128" s="34" t="str">
        <x:v>cpu-14700k-productivity</x:v>
      </x:c>
      <x:c r="D128" s="34" t="str">
        <x:v>Core i7-14700K productivity profile</x:v>
      </x:c>
      <x:c r="E128" s="34" t="str">
        <x:v>cpu</x:v>
      </x:c>
      <x:c r="F128" s="83" t="n">
        <x:v>67</x:v>
      </x:c>
      <x:c r="G128" s="83" t="n">
        <x:v>0.62</x:v>
      </x:c>
      <x:c r="H128" s="34" t="str">
        <x:v>vector</x:v>
      </x:c>
      <x:c r="I128" s="34" t="str">
        <x:v>ollama</x:v>
      </x:c>
      <x:c r="J128" s="34" t="str">
        <x:v>nomic-embed-text</x:v>
      </x:c>
      <x:c r="K128" s="34" t="str">
        <x:v>cpu, development, video, productivity, lga1700, high-power</x:v>
      </x:c>
      <x:c r="L128" s="34" t="str">
        <x:v>AIPC curated knowledge base</x:v>
      </x:c>
      <x:c r="M128" s="34" t="str"/>
      <x:c r="N128" s="35" t="str">
        <x:v>The Core i7-14700K offers high multithreaded throughput for editing and compilation, but its peak power and cooling requirements are substantial.</x:v>
      </x:c>
    </x:row>
    <x:row r="129">
      <x:c r="A129" s="33" t="str">
        <x:v>T08</x:v>
      </x:c>
      <x:c r="B129" s="34" t="n">
        <x:v>7</x:v>
      </x:c>
      <x:c r="C129" s="34" t="str">
        <x:v>gaming-1080p</x:v>
      </x:c>
      <x:c r="D129" s="34" t="str">
        <x:v>1080p gaming allocation</x:v>
      </x:c>
      <x:c r="E129" s="34" t="str">
        <x:v>workload</x:v>
      </x:c>
      <x:c r="F129" s="83" t="n">
        <x:v>67</x:v>
      </x:c>
      <x:c r="G129" s="83" t="n">
        <x:v>0.627</x:v>
      </x:c>
      <x:c r="H129" s="34" t="str">
        <x:v>vector</x:v>
      </x:c>
      <x:c r="I129" s="34" t="str">
        <x:v>ollama</x:v>
      </x:c>
      <x:c r="J129" s="34" t="str">
        <x:v>nomic-embed-text</x:v>
      </x:c>
      <x:c r="K129" s="34" t="str">
        <x:v>gaming, 1080p, high-fps, cpu</x:v>
      </x:c>
      <x:c r="L129" s="34" t="str">
        <x:v>AIPC curated knowledge base</x:v>
      </x:c>
      <x:c r="M129" s="34" t="str"/>
      <x:c r="N129" s="35" t="str">
        <x:v>At 1080p and high refresh rates, CPU frame delivery matters more than at higher resolutions. GPU budget remains important, but extreme GPU spending can produce diminishing returns.</x:v>
      </x:c>
    </x:row>
    <x:row r="130">
      <x:c r="A130" s="33" t="str">
        <x:v>T08</x:v>
      </x:c>
      <x:c r="B130" s="34" t="n">
        <x:v>8</x:v>
      </x:c>
      <x:c r="C130" s="34" t="str">
        <x:v>cpu-7800x3d-gaming</x:v>
      </x:c>
      <x:c r="D130" s="34" t="str">
        <x:v>Ryzen 7 7800X3D gaming profile</x:v>
      </x:c>
      <x:c r="E130" s="34" t="str">
        <x:v>cpu</x:v>
      </x:c>
      <x:c r="F130" s="83" t="n">
        <x:v>66</x:v>
      </x:c>
      <x:c r="G130" s="83" t="n">
        <x:v>0.605</x:v>
      </x:c>
      <x:c r="H130" s="34" t="str">
        <x:v>vector</x:v>
      </x:c>
      <x:c r="I130" s="34" t="str">
        <x:v>ollama</x:v>
      </x:c>
      <x:c r="J130" s="34" t="str">
        <x:v>nomic-embed-text</x:v>
      </x:c>
      <x:c r="K130" s="34" t="str">
        <x:v>cpu, gaming, am5, efficient</x:v>
      </x:c>
      <x:c r="L130" s="34" t="str">
        <x:v>AIPC curated knowledge base</x:v>
      </x:c>
      <x:c r="M130" s="34" t="str"/>
      <x:c r="N130" s="35" t="str">
        <x:v>The Ryzen 7 7800X3D remains a focused gaming option with lower platform power than many high-core-count alternatives. It is less compelling for heavily threaded workstation tasks.</x:v>
      </x:c>
    </x:row>
    <x:row r="131">
      <x:c r="A131" s="33" t="str">
        <x:v>T08</x:v>
      </x:c>
      <x:c r="B131" s="34" t="n">
        <x:v>9</x:v>
      </x:c>
      <x:c r="C131" s="34" t="str">
        <x:v>cpu-7700-balanced</x:v>
      </x:c>
      <x:c r="D131" s="34" t="str">
        <x:v>Ryzen 7 7700 balanced profile</x:v>
      </x:c>
      <x:c r="E131" s="34" t="str">
        <x:v>cpu</x:v>
      </x:c>
      <x:c r="F131" s="83" t="n">
        <x:v>66</x:v>
      </x:c>
      <x:c r="G131" s="83" t="n">
        <x:v>0.598</x:v>
      </x:c>
      <x:c r="H131" s="34" t="str">
        <x:v>vector</x:v>
      </x:c>
      <x:c r="I131" s="34" t="str">
        <x:v>ollama</x:v>
      </x:c>
      <x:c r="J131" s="34" t="str">
        <x:v>nomic-embed-text</x:v>
      </x:c>
      <x:c r="K131" s="34" t="str">
        <x:v>cpu, development, balanced, quiet, efficient, am5</x:v>
      </x:c>
      <x:c r="L131" s="34" t="str">
        <x:v>AIPC curated knowledge base</x:v>
      </x:c>
      <x:c r="M131" s="34" t="str"/>
      <x:c r="N131" s="35" t="str">
        <x:v>The Ryzen 7 7700 combines eight cores with a 65W rating. It is a quiet, efficient foundation for development and balanced builds with a useful AM5 upgrade path.</x:v>
      </x:c>
    </x:row>
    <x:row r="132">
      <x:c r="A132" s="33" t="str">
        <x:v>T08</x:v>
      </x:c>
      <x:c r="B132" s="34" t="n">
        <x:v>10</x:v>
      </x:c>
      <x:c r="C132" s="34" t="str">
        <x:v>gpu-arc-b580-value</x:v>
      </x:c>
      <x:c r="D132" s="34" t="str">
        <x:v>Intel Arc B580 value profile</x:v>
      </x:c>
      <x:c r="E132" s="34" t="str">
        <x:v>gpu</x:v>
      </x:c>
      <x:c r="F132" s="83" t="n">
        <x:v>66</x:v>
      </x:c>
      <x:c r="G132" s="83" t="n">
        <x:v>0.615</x:v>
      </x:c>
      <x:c r="H132" s="34" t="str">
        <x:v>vector</x:v>
      </x:c>
      <x:c r="I132" s="34" t="str">
        <x:v>ollama</x:v>
      </x:c>
      <x:c r="J132" s="34" t="str">
        <x:v>nomic-embed-text</x:v>
      </x:c>
      <x:c r="K132" s="34" t="str">
        <x:v>gpu, intel, xe2, 12gb, value, 1440p, av1</x:v>
      </x:c>
      <x:c r="L132" s="34" t="str">
        <x:v>Intel Arc B580 product specifications and ordering</x:v>
      </x:c>
      <x:c r="M132" s="34" t="str">
        <x:v>https://www.intel.com/content/www/us/en/products/sku/241598/intel-arc-b580-graphics/ordering.html</x:v>
      </x:c>
      <x:c r="N132" s="35" t="str">
        <x:v>Intel Arc B580 Limited Edition provides 12GB VRAM, 190W total board power, AV1 media support, and a $249 recommended customer price. It is relevant to value 1080p/1440p builds, while application and game-specific driver behavior should be verified for specialized workloads.</x:v>
      </x:c>
    </x:row>
    <x:row r="133">
      <x:c r="A133" s="33" t="str">
        <x:v>T08</x:v>
      </x:c>
      <x:c r="B133" s="34" t="n">
        <x:v>11</x:v>
      </x:c>
      <x:c r="C133" s="34" t="str">
        <x:v>gpu-rdna4-9070xt</x:v>
      </x:c>
      <x:c r="D133" s="34" t="str">
        <x:v>Radeon RX 9070 XT RDNA 4 profile</x:v>
      </x:c>
      <x:c r="E133" s="34" t="str">
        <x:v>gpu</x:v>
      </x:c>
      <x:c r="F133" s="83" t="n">
        <x:v>65</x:v>
      </x:c>
      <x:c r="G133" s="83" t="n">
        <x:v>0.622</x:v>
      </x:c>
      <x:c r="H133" s="34" t="str">
        <x:v>vector</x:v>
      </x:c>
      <x:c r="I133" s="34" t="str">
        <x:v>ollama</x:v>
      </x:c>
      <x:c r="J133" s="34" t="str">
        <x:v>nomic-embed-text</x:v>
      </x:c>
      <x:c r="K133" s="34" t="str">
        <x:v>gpu, amd, rdna4, 16gb, 4k, raster, fsr4</x:v>
      </x:c>
      <x:c r="L133" s="34" t="str">
        <x:v>AMD Radeon RX 9070 XT specifications</x:v>
      </x:c>
      <x:c r="M133" s="34" t="str">
        <x:v>https://www.amd.com/en/products/graphics/desktops/radeon/9000-series/amd-radeon-rx-9070xt.html</x:v>
      </x:c>
      <x:c r="N133" s="35" t="str">
        <x:v>The Radeon RX 9070 XT has 16GB GDDR6, a 304W typical board power rating, and a 750W minimum PSU recommendation from AMD. It is a strong raster and FSR-oriented 4K gaming option, but users requiring CUDA-first software should still prefer NVIDIA.</x:v>
      </x:c>
    </x:row>
    <x:row r="134">
      <x:c r="A134" s="33" t="str">
        <x:v>T08</x:v>
      </x:c>
      <x:c r="B134" s="34" t="n">
        <x:v>12</x:v>
      </x:c>
      <x:c r="C134" s="34" t="str">
        <x:v>gpu-4070s-gaming</x:v>
      </x:c>
      <x:c r="D134" s="34" t="str">
        <x:v>RTX 4070 Super gaming profile</x:v>
      </x:c>
      <x:c r="E134" s="34" t="str">
        <x:v>gpu</x:v>
      </x:c>
      <x:c r="F134" s="83" t="n">
        <x:v>65</x:v>
      </x:c>
      <x:c r="G134" s="83" t="n">
        <x:v>0.622</x:v>
      </x:c>
      <x:c r="H134" s="34" t="str">
        <x:v>vector</x:v>
      </x:c>
      <x:c r="I134" s="34" t="str">
        <x:v>ollama</x:v>
      </x:c>
      <x:c r="J134" s="34" t="str">
        <x:v>nomic-embed-text</x:v>
      </x:c>
      <x:c r="K134" s="34" t="str">
        <x:v>gpu, gaming, 1440p, cuda, 12gb, efficient</x:v>
      </x:c>
      <x:c r="L134" s="34" t="str">
        <x:v>AIPC curated knowledge base</x:v>
      </x:c>
      <x:c r="M134" s="34" t="str"/>
      <x:c r="N134" s="35" t="str">
        <x:v>The RTX 4070 Super is efficient for high-quality 1440p gaming and supports CUDA, but its 12GB VRAM is less flexible for larger local AI workloads.</x:v>
      </x:c>
    </x:row>
    <x:row r="135">
      <x:c r="A135" s="33" t="str">
        <x:v>T08</x:v>
      </x:c>
      <x:c r="B135" s="34" t="n">
        <x:v>13</x:v>
      </x:c>
      <x:c r="C135" s="34" t="str">
        <x:v>case-north-airflow</x:v>
      </x:c>
      <x:c r="D135" s="34" t="str">
        <x:v>Fractal North balanced airflow</x:v>
      </x:c>
      <x:c r="E135" s="34" t="str">
        <x:v>case</x:v>
      </x:c>
      <x:c r="F135" s="83" t="n">
        <x:v>65</x:v>
      </x:c>
      <x:c r="G135" s="83" t="n">
        <x:v>0.609</x:v>
      </x:c>
      <x:c r="H135" s="34" t="str">
        <x:v>vector</x:v>
      </x:c>
      <x:c r="I135" s="34" t="str">
        <x:v>ollama</x:v>
      </x:c>
      <x:c r="J135" s="34" t="str">
        <x:v>nomic-embed-text</x:v>
      </x:c>
      <x:c r="K135" s="34" t="str">
        <x:v>case, atx, airflow, quiet, upgradeability</x:v>
      </x:c>
      <x:c r="L135" s="34" t="str">
        <x:v>AIPC curated knowledge base</x:v>
      </x:c>
      <x:c r="M135" s="34" t="str"/>
      <x:c r="N135" s="35" t="str">
        <x:v>The Fractal North supports full-size ATX components with 355mm GPU clearance and 170mm air-cooler clearance. It balances airflow, acoustics, and upgrade room.</x:v>
      </x:c>
    </x:row>
    <x:row r="136">
      <x:c r="A136" s="33" t="str">
        <x:v>T08</x:v>
      </x:c>
      <x:c r="B136" s="34" t="n">
        <x:v>14</x:v>
      </x:c>
      <x:c r="C136" s="34" t="str">
        <x:v>cpu-ultra265k-platform</x:v>
      </x:c>
      <x:c r="D136" s="34" t="str">
        <x:v>Core Ultra 7 265K LGA1851 profile</x:v>
      </x:c>
      <x:c r="E136" s="34" t="str">
        <x:v>cpu</x:v>
      </x:c>
      <x:c r="F136" s="83" t="n">
        <x:v>63</x:v>
      </x:c>
      <x:c r="G136" s="83" t="n">
        <x:v>0.6</x:v>
      </x:c>
      <x:c r="H136" s="34" t="str">
        <x:v>vector</x:v>
      </x:c>
      <x:c r="I136" s="34" t="str">
        <x:v>ollama</x:v>
      </x:c>
      <x:c r="J136" s="34" t="str">
        <x:v>nomic-embed-text</x:v>
      </x:c>
      <x:c r="K136" s="34" t="str">
        <x:v>cpu, intel, lga1851, arrow-lake, productivity, high-power</x:v>
      </x:c>
      <x:c r="L136" s="34" t="str">
        <x:v>Intel Core Ultra 7 265K specifications</x:v>
      </x:c>
      <x:c r="M136" s="34" t="str">
        <x:v>https://www.intel.com/content/www/us/en/products/sku/241063/intel-core-ultra-7-processor-265k-30m-cache-up-to-5-50-ghz/specifications.html</x:v>
      </x:c>
      <x:c r="N136" s="35" t="str">
        <x:v>Core Ultra 7 265K has 20 cores and 20 threads, up to 5.5GHz turbo, 125W base power, and 250W maximum turbo power on LGA1851. It is suited to Intel-preference mixed productivity builds but requires a Z890-class motherboard and strong cooling at unrestricted power.</x:v>
      </x:c>
    </x:row>
    <x:row r="137">
      <x:c r="A137" s="33" t="str">
        <x:v>T08</x:v>
      </x:c>
      <x:c r="B137" s="34" t="n">
        <x:v>15</x:v>
      </x:c>
      <x:c r="C137" s="34" t="str">
        <x:v>storage-workstation</x:v>
      </x:c>
      <x:c r="D137" s="34" t="str">
        <x:v>NVMe capacity for workstation use</x:v>
      </x:c>
      <x:c r="E137" s="34" t="str">
        <x:v>workload</x:v>
      </x:c>
      <x:c r="F137" s="83" t="n">
        <x:v>63</x:v>
      </x:c>
      <x:c r="G137" s="83" t="n">
        <x:v>0.598</x:v>
      </x:c>
      <x:c r="H137" s="34" t="str">
        <x:v>vector</x:v>
      </x:c>
      <x:c r="I137" s="34" t="str">
        <x:v>ollama</x:v>
      </x:c>
      <x:c r="J137" s="34" t="str">
        <x:v>nomic-embed-text</x:v>
      </x:c>
      <x:c r="K137" s="34" t="str">
        <x:v>storage, nvme, development, video, 2tb</x:v>
      </x:c>
      <x:c r="L137" s="34" t="str">
        <x:v>AIPC curated knowledge base</x:v>
      </x:c>
      <x:c r="M137" s="34" t="str"/>
      <x:c r="N137" s="35" t="str">
        <x:v>Development and editing systems benefit from 2TB or more of fast NVMe storage for repositories, containers, caches, footage, and active projects.</x:v>
      </x:c>
    </x:row>
    <x:row r="138">
      <x:c r="A138" s="33" t="str">
        <x:v>T08</x:v>
      </x:c>
      <x:c r="B138" s="34" t="n">
        <x:v>16</x:v>
      </x:c>
      <x:c r="C138" s="34" t="str">
        <x:v>cooler-pa120</x:v>
      </x:c>
      <x:c r="D138" s="34" t="str">
        <x:v>Peerless Assassin value cooling</x:v>
      </x:c>
      <x:c r="E138" s="34" t="str">
        <x:v>cooler</x:v>
      </x:c>
      <x:c r="F138" s="83" t="n">
        <x:v>62</x:v>
      </x:c>
      <x:c r="G138" s="83" t="n">
        <x:v>0.589</x:v>
      </x:c>
      <x:c r="H138" s="34" t="str">
        <x:v>vector</x:v>
      </x:c>
      <x:c r="I138" s="34" t="str">
        <x:v>ollama</x:v>
      </x:c>
      <x:c r="J138" s="34" t="str">
        <x:v>nomic-embed-text</x:v>
      </x:c>
      <x:c r="K138" s="34" t="str">
        <x:v>cooler, air, value, quiet</x:v>
      </x:c>
      <x:c r="L138" s="34" t="str">
        <x:v>AIPC curated knowledge base</x:v>
      </x:c>
      <x:c r="M138" s="34" t="str"/>
      <x:c r="N138" s="35" t="str">
        <x:v>The Peerless Assassin 120 SE offers high air-cooling capacity at low cost. It is well suited to mainstream and many high-tier CPUs when case height allows it.</x:v>
      </x:c>
    </x:row>
    <x:row r="139">
      <x:c r="A139" s="33" t="str">
        <x:v>T08</x:v>
      </x:c>
      <x:c r="B139" s="34" t="n">
        <x:v>17</x:v>
      </x:c>
      <x:c r="C139" s="34" t="str">
        <x:v>case-clearance</x:v>
      </x:c>
      <x:c r="D139" s="34" t="str">
        <x:v>Case clearance constraints</x:v>
      </x:c>
      <x:c r="E139" s="34" t="str">
        <x:v>compatibility</x:v>
      </x:c>
      <x:c r="F139" s="83" t="n">
        <x:v>62</x:v>
      </x:c>
      <x:c r="G139" s="83" t="n">
        <x:v>0.606</x:v>
      </x:c>
      <x:c r="H139" s="34" t="str">
        <x:v>vector</x:v>
      </x:c>
      <x:c r="I139" s="34" t="str">
        <x:v>ollama</x:v>
      </x:c>
      <x:c r="J139" s="34" t="str">
        <x:v>nomic-embed-text</x:v>
      </x:c>
      <x:c r="K139" s="34" t="str">
        <x:v>case, clearance, gpu-length, cooler-height, form-factor</x:v>
      </x:c>
      <x:c r="L139" s="34" t="str">
        <x:v>AIPC curated knowledge base</x:v>
      </x:c>
      <x:c r="M139" s="34" t="str"/>
      <x:c r="N139" s="35" t="str">
        <x:v>GPU length, air-cooler height, motherboard form factor, and PSU form factor are hard physical constraints. These values must be checked deterministically before a case is accepted.</x:v>
      </x:c>
    </x:row>
    <x:row r="140">
      <x:c r="A140" s="33" t="str">
        <x:v>T08</x:v>
      </x:c>
      <x:c r="B140" s="34" t="n">
        <x:v>18</x:v>
      </x:c>
      <x:c r="C140" s="34" t="str">
        <x:v>cooling-tdp</x:v>
      </x:c>
      <x:c r="D140" s="34" t="str">
        <x:v>Cooling capacity rule</x:v>
      </x:c>
      <x:c r="E140" s="34" t="str">
        <x:v>compatibility</x:v>
      </x:c>
      <x:c r="F140" s="83" t="n">
        <x:v>61</x:v>
      </x:c>
      <x:c r="G140" s="83" t="n">
        <x:v>0.578</x:v>
      </x:c>
      <x:c r="H140" s="34" t="str">
        <x:v>vector</x:v>
      </x:c>
      <x:c r="I140" s="34" t="str">
        <x:v>ollama</x:v>
      </x:c>
      <x:c r="J140" s="34" t="str">
        <x:v>nomic-embed-text</x:v>
      </x:c>
      <x:c r="K140" s="34" t="str">
        <x:v>cooler, tdp, quiet, compatibility</x:v>
      </x:c>
      <x:c r="L140" s="34" t="str">
        <x:v>AIPC curated knowledge base</x:v>
      </x:c>
      <x:c r="M140" s="34" t="str"/>
      <x:c r="N140" s="35" t="str">
        <x:v>A cooler's thermal rating must meet or exceed the CPU power rating. Quiet builds benefit from additional capacity because the cooler can dissipate heat at lower fan speed.</x:v>
      </x:c>
    </x:row>
    <x:row r="141">
      <x:c r="A141" s="33" t="str">
        <x:v>T09</x:v>
      </x:c>
      <x:c r="B141" s="34" t="n">
        <x:v>1</x:v>
      </x:c>
      <x:c r="C141" s="34" t="str">
        <x:v>gaming-1440p</x:v>
      </x:c>
      <x:c r="D141" s="34" t="str">
        <x:v>1440p gaming allocation</x:v>
      </x:c>
      <x:c r="E141" s="34" t="str">
        <x:v>workload</x:v>
      </x:c>
      <x:c r="F141" s="83" t="n">
        <x:v>80</x:v>
      </x:c>
      <x:c r="G141" s="83" t="n">
        <x:v>0.742</x:v>
      </x:c>
      <x:c r="H141" s="34" t="str">
        <x:v>vector</x:v>
      </x:c>
      <x:c r="I141" s="34" t="str">
        <x:v>ollama</x:v>
      </x:c>
      <x:c r="J141" s="34" t="str">
        <x:v>nomic-embed-text</x:v>
      </x:c>
      <x:c r="K141" s="34" t="str">
        <x:v>gaming, 1440p, gpu, value</x:v>
      </x:c>
      <x:c r="L141" s="34" t="str">
        <x:v>AIPC curated knowledge base</x:v>
      </x:c>
      <x:c r="M141" s="34" t="str"/>
      <x:c r="N141" s="35" t="str">
        <x:v>1440p gaming usually benefits from a GPU-first budget with a balanced modern CPU. It is the broadest value target for high-refresh PC gaming.</x:v>
      </x:c>
    </x:row>
    <x:row r="142">
      <x:c r="A142" s="33" t="str">
        <x:v>T09</x:v>
      </x:c>
      <x:c r="B142" s="34" t="n">
        <x:v>2</x:v>
      </x:c>
      <x:c r="C142" s="34" t="str">
        <x:v>gpu-7800xt-1440p</x:v>
      </x:c>
      <x:c r="D142" s="34" t="str">
        <x:v>RX 7800 XT 1440p value</x:v>
      </x:c>
      <x:c r="E142" s="34" t="str">
        <x:v>gpu</x:v>
      </x:c>
      <x:c r="F142" s="83" t="n">
        <x:v>80</x:v>
      </x:c>
      <x:c r="G142" s="83" t="n">
        <x:v>0.728</x:v>
      </x:c>
      <x:c r="H142" s="34" t="str">
        <x:v>vector</x:v>
      </x:c>
      <x:c r="I142" s="34" t="str">
        <x:v>ollama</x:v>
      </x:c>
      <x:c r="J142" s="34" t="str">
        <x:v>nomic-embed-text</x:v>
      </x:c>
      <x:c r="K142" s="34" t="str">
        <x:v>gpu, gaming, 1440p, amd, 16gb, value</x:v>
      </x:c>
      <x:c r="L142" s="34" t="str">
        <x:v>AIPC curated knowledge base</x:v>
      </x:c>
      <x:c r="M142" s="34" t="str"/>
      <x:c r="N142" s="35" t="str">
        <x:v>The RX 7800 XT is a strong value target for 1440p gaming with 16GB VRAM. It favors raster performance per dollar over CUDA ecosystem support.</x:v>
      </x:c>
    </x:row>
    <x:row r="143">
      <x:c r="A143" s="33" t="str">
        <x:v>T09</x:v>
      </x:c>
      <x:c r="B143" s="34" t="n">
        <x:v>3</x:v>
      </x:c>
      <x:c r="C143" s="34" t="str">
        <x:v>gaming-1080p</x:v>
      </x:c>
      <x:c r="D143" s="34" t="str">
        <x:v>1080p gaming allocation</x:v>
      </x:c>
      <x:c r="E143" s="34" t="str">
        <x:v>workload</x:v>
      </x:c>
      <x:c r="F143" s="83" t="n">
        <x:v>73</x:v>
      </x:c>
      <x:c r="G143" s="83" t="n">
        <x:v>0.687</x:v>
      </x:c>
      <x:c r="H143" s="34" t="str">
        <x:v>vector</x:v>
      </x:c>
      <x:c r="I143" s="34" t="str">
        <x:v>ollama</x:v>
      </x:c>
      <x:c r="J143" s="34" t="str">
        <x:v>nomic-embed-text</x:v>
      </x:c>
      <x:c r="K143" s="34" t="str">
        <x:v>gaming, 1080p, high-fps, cpu</x:v>
      </x:c>
      <x:c r="L143" s="34" t="str">
        <x:v>AIPC curated knowledge base</x:v>
      </x:c>
      <x:c r="M143" s="34" t="str"/>
      <x:c r="N143" s="35" t="str">
        <x:v>At 1080p and high refresh rates, CPU frame delivery matters more than at higher resolutions. GPU budget remains important, but extreme GPU spending can produce diminishing returns.</x:v>
      </x:c>
    </x:row>
    <x:row r="144">
      <x:c r="A144" s="33" t="str">
        <x:v>T09</x:v>
      </x:c>
      <x:c r="B144" s="34" t="n">
        <x:v>4</x:v>
      </x:c>
      <x:c r="C144" s="34" t="str">
        <x:v>gpu-rdna4-9070xt</x:v>
      </x:c>
      <x:c r="D144" s="34" t="str">
        <x:v>Radeon RX 9070 XT RDNA 4 profile</x:v>
      </x:c>
      <x:c r="E144" s="34" t="str">
        <x:v>gpu</x:v>
      </x:c>
      <x:c r="F144" s="83" t="n">
        <x:v>73</x:v>
      </x:c>
      <x:c r="G144" s="83" t="n">
        <x:v>0.682</x:v>
      </x:c>
      <x:c r="H144" s="34" t="str">
        <x:v>vector</x:v>
      </x:c>
      <x:c r="I144" s="34" t="str">
        <x:v>ollama</x:v>
      </x:c>
      <x:c r="J144" s="34" t="str">
        <x:v>nomic-embed-text</x:v>
      </x:c>
      <x:c r="K144" s="34" t="str">
        <x:v>gpu, amd, rdna4, 16gb, 4k, raster, fsr4</x:v>
      </x:c>
      <x:c r="L144" s="34" t="str">
        <x:v>AMD Radeon RX 9070 XT specifications</x:v>
      </x:c>
      <x:c r="M144" s="34" t="str">
        <x:v>https://www.amd.com/en/products/graphics/desktops/radeon/9000-series/amd-radeon-rx-9070xt.html</x:v>
      </x:c>
      <x:c r="N144" s="35" t="str">
        <x:v>The Radeon RX 9070 XT has 16GB GDDR6, a 304W typical board power rating, and a 750W minimum PSU recommendation from AMD. It is a strong raster and FSR-oriented 4K gaming option, but users requiring CUDA-first software should still prefer NVIDIA.</x:v>
      </x:c>
    </x:row>
    <x:row r="145">
      <x:c r="A145" s="33" t="str">
        <x:v>T09</x:v>
      </x:c>
      <x:c r="B145" s="34" t="n">
        <x:v>5</x:v>
      </x:c>
      <x:c r="C145" s="34" t="str">
        <x:v>gpu-7900xtx-raster</x:v>
      </x:c>
      <x:c r="D145" s="34" t="str">
        <x:v>RX 7900 XTX raster value</x:v>
      </x:c>
      <x:c r="E145" s="34" t="str">
        <x:v>gpu</x:v>
      </x:c>
      <x:c r="F145" s="83" t="n">
        <x:v>72</x:v>
      </x:c>
      <x:c r="G145" s="83" t="n">
        <x:v>0.675</x:v>
      </x:c>
      <x:c r="H145" s="34" t="str">
        <x:v>vector</x:v>
      </x:c>
      <x:c r="I145" s="34" t="str">
        <x:v>ollama</x:v>
      </x:c>
      <x:c r="J145" s="34" t="str">
        <x:v>nomic-embed-text</x:v>
      </x:c>
      <x:c r="K145" s="34" t="str">
        <x:v>gpu, gaming, 4k, amd, 24gb, value</x:v>
      </x:c>
      <x:c r="L145" s="34" t="str">
        <x:v>AIPC curated knowledge base</x:v>
      </x:c>
      <x:c r="M145" s="34" t="str"/>
      <x:c r="N145" s="35" t="str">
        <x:v>The RX 7900 XTX offers 24GB VRAM and excellent high-resolution raster performance. It is compelling for 4K gaming when CUDA compatibility is not required.</x:v>
      </x:c>
    </x:row>
    <x:row r="146">
      <x:c r="A146" s="33" t="str">
        <x:v>T09</x:v>
      </x:c>
      <x:c r="B146" s="34" t="n">
        <x:v>6</x:v>
      </x:c>
      <x:c r="C146" s="34" t="str">
        <x:v>cpu-9950x3d-mixed</x:v>
      </x:c>
      <x:c r="D146" s="34" t="str">
        <x:v>Ryzen 9 9950X3D mixed gaming and creation profile</x:v>
      </x:c>
      <x:c r="E146" s="34" t="str">
        <x:v>cpu</x:v>
      </x:c>
      <x:c r="F146" s="83" t="n">
        <x:v>70</x:v>
      </x:c>
      <x:c r="G146" s="83" t="n">
        <x:v>0.654</x:v>
      </x:c>
      <x:c r="H146" s="34" t="str">
        <x:v>vector</x:v>
      </x:c>
      <x:c r="I146" s="34" t="str">
        <x:v>ollama</x:v>
      </x:c>
      <x:c r="J146" s="34" t="str">
        <x:v>nomic-embed-text</x:v>
      </x:c>
      <x:c r="K146" s="34" t="str">
        <x:v>cpu, amd, am5, zen5, 16-core, gaming, creator, enthusiast</x:v>
      </x:c>
      <x:c r="L146" s="34" t="str">
        <x:v>AMD Ryzen desktop processor specifications</x:v>
      </x:c>
      <x:c r="M146" s="34" t="str">
        <x:v>https://www.amd.com/en/products/processors/desktops/ryzen.html</x:v>
      </x:c>
      <x:c r="N146" s="35" t="str">
        <x:v>Ryzen 9 9950X3D combines 16 Zen 5 cores with second-generation 3D V-Cache on AM5. It fits premium systems that need strong gaming latency and high multicore throughput, but it should not displace cheaper eight-core X3D options in gaming-only budgets.</x:v>
      </x:c>
    </x:row>
    <x:row r="147">
      <x:c r="A147" s="33" t="str">
        <x:v>T09</x:v>
      </x:c>
      <x:c r="B147" s="34" t="n">
        <x:v>7</x:v>
      </x:c>
      <x:c r="C147" s="34" t="str">
        <x:v>motherboard-z790-white</x:v>
      </x:c>
      <x:c r="D147" s="34" t="str">
        <x:v>White Z790 platform pairing</x:v>
      </x:c>
      <x:c r="E147" s="34" t="str">
        <x:v>motherboard</x:v>
      </x:c>
      <x:c r="F147" s="83" t="n">
        <x:v>70</x:v>
      </x:c>
      <x:c r="G147" s="83" t="n">
        <x:v>0.669</x:v>
      </x:c>
      <x:c r="H147" s="34" t="str">
        <x:v>vector</x:v>
      </x:c>
      <x:c r="I147" s="34" t="str">
        <x:v>ollama</x:v>
      </x:c>
      <x:c r="J147" s="34" t="str">
        <x:v>nomic-embed-text</x:v>
      </x:c>
      <x:c r="K147" s="34" t="str">
        <x:v>motherboard, intel, lga1700, z790, white, rgb</x:v>
      </x:c>
      <x:c r="L147" s="34" t="str">
        <x:v>AIPC curated knowledge base</x:v>
      </x:c>
      <x:c r="M147" s="34" t="str"/>
      <x:c r="N147" s="35" t="str">
        <x:v>A Z790 DDR5 motherboard is the appropriate enthusiast chipset pairing for an unlocked Intel LGA1700 CPU. White or silver heatsink variants can satisfy a light-color build without changing socket or memory compatibility.</x:v>
      </x:c>
    </x:row>
    <x:row r="148">
      <x:c r="A148" s="33" t="str">
        <x:v>T09</x:v>
      </x:c>
      <x:c r="B148" s="34" t="n">
        <x:v>8</x:v>
      </x:c>
      <x:c r="C148" s="34" t="str">
        <x:v>cpu-7800x3d-gaming</x:v>
      </x:c>
      <x:c r="D148" s="34" t="str">
        <x:v>Ryzen 7 7800X3D gaming profile</x:v>
      </x:c>
      <x:c r="E148" s="34" t="str">
        <x:v>cpu</x:v>
      </x:c>
      <x:c r="F148" s="83" t="n">
        <x:v>69</x:v>
      </x:c>
      <x:c r="G148" s="83" t="n">
        <x:v>0.655</x:v>
      </x:c>
      <x:c r="H148" s="34" t="str">
        <x:v>vector</x:v>
      </x:c>
      <x:c r="I148" s="34" t="str">
        <x:v>ollama</x:v>
      </x:c>
      <x:c r="J148" s="34" t="str">
        <x:v>nomic-embed-text</x:v>
      </x:c>
      <x:c r="K148" s="34" t="str">
        <x:v>cpu, gaming, am5, efficient</x:v>
      </x:c>
      <x:c r="L148" s="34" t="str">
        <x:v>AIPC curated knowledge base</x:v>
      </x:c>
      <x:c r="M148" s="34" t="str"/>
      <x:c r="N148" s="35" t="str">
        <x:v>The Ryzen 7 7800X3D remains a focused gaming option with lower platform power than many high-core-count alternatives. It is less compelling for heavily threaded workstation tasks.</x:v>
      </x:c>
    </x:row>
    <x:row r="149">
      <x:c r="A149" s="33" t="str">
        <x:v>T09</x:v>
      </x:c>
      <x:c r="B149" s="34" t="n">
        <x:v>9</x:v>
      </x:c>
      <x:c r="C149" s="34" t="str">
        <x:v>cpu-9800x3d-gaming</x:v>
      </x:c>
      <x:c r="D149" s="34" t="str">
        <x:v>Ryzen 7 9800X3D gaming focus</x:v>
      </x:c>
      <x:c r="E149" s="34" t="str">
        <x:v>cpu</x:v>
      </x:c>
      <x:c r="F149" s="83" t="n">
        <x:v>69</x:v>
      </x:c>
      <x:c r="G149" s="83" t="n">
        <x:v>0.642</x:v>
      </x:c>
      <x:c r="H149" s="34" t="str">
        <x:v>vector</x:v>
      </x:c>
      <x:c r="I149" s="34" t="str">
        <x:v>ollama</x:v>
      </x:c>
      <x:c r="J149" s="34" t="str">
        <x:v>nomic-embed-text</x:v>
      </x:c>
      <x:c r="K149" s="34" t="str">
        <x:v>cpu, gaming, high-fps, am5, enthusiast</x:v>
      </x:c>
      <x:c r="L149" s="34" t="str">
        <x:v>AIPC curated knowledge base</x:v>
      </x:c>
      <x:c r="M149" s="34" t="str"/>
      <x:c r="N149" s="35" t="str">
        <x:v>The Ryzen 7 9800X3D is an enthusiast gaming CPU. Its value is strongest in high-refresh gaming systems where the GPU is already well funded.</x:v>
      </x:c>
    </x:row>
    <x:row r="150">
      <x:c r="A150" s="33" t="str">
        <x:v>T09</x:v>
      </x:c>
      <x:c r="B150" s="34" t="n">
        <x:v>10</x:v>
      </x:c>
      <x:c r="C150" s="34" t="str">
        <x:v>cpu-9950x3d2-workstation</x:v>
      </x:c>
      <x:c r="D150" s="34" t="str">
        <x:v>Ryzen 9 9950X3D2 developer workstation profile</x:v>
      </x:c>
      <x:c r="E150" s="34" t="str">
        <x:v>cpu</x:v>
      </x:c>
      <x:c r="F150" s="83" t="n">
        <x:v>69</x:v>
      </x:c>
      <x:c r="G150" s="83" t="n">
        <x:v>0.641</x:v>
      </x:c>
      <x:c r="H150" s="34" t="str">
        <x:v>vector</x:v>
      </x:c>
      <x:c r="I150" s="34" t="str">
        <x:v>ollama</x:v>
      </x:c>
      <x:c r="J150" s="34" t="str">
        <x:v>nomic-embed-text</x:v>
      </x:c>
      <x:c r="K150" s="34" t="str">
        <x:v>cpu, amd, am5, zen5, 16-core, development, creator, enthusiast, high-power</x:v>
      </x:c>
      <x:c r="L150" s="34" t="str">
        <x:v>AMD Ryzen 9 9950X3D2 launch specifications</x:v>
      </x:c>
      <x:c r="M150" s="34" t="str">
        <x:v>https://www.amd.com/en/newsroom/press-releases/2026-4-22-amd-launches-ryzen-9-9950x3d2-dual-edition-processor.html</x:v>
      </x:c>
      <x:c r="N150" s="35" t="str">
        <x:v>Ryzen 9 9950X3D2 combines 16 cores, 32 threads, 208MB total cache, a 200W TDP, and an $899 SEP. It targets high-budget development, compilation, simulation, creation, and gaming systems where both cache capacity and core throughput matter.</x:v>
      </x:c>
    </x:row>
    <x:row r="151">
      <x:c r="A151" s="33" t="str">
        <x:v>T09</x:v>
      </x:c>
      <x:c r="B151" s="34" t="n">
        <x:v>11</x:v>
      </x:c>
      <x:c r="C151" s="34" t="str">
        <x:v>cooler-pa120</x:v>
      </x:c>
      <x:c r="D151" s="34" t="str">
        <x:v>Peerless Assassin value cooling</x:v>
      </x:c>
      <x:c r="E151" s="34" t="str">
        <x:v>cooler</x:v>
      </x:c>
      <x:c r="F151" s="83" t="n">
        <x:v>69</x:v>
      </x:c>
      <x:c r="G151" s="83" t="n">
        <x:v>0.663</x:v>
      </x:c>
      <x:c r="H151" s="34" t="str">
        <x:v>vector</x:v>
      </x:c>
      <x:c r="I151" s="34" t="str">
        <x:v>ollama</x:v>
      </x:c>
      <x:c r="J151" s="34" t="str">
        <x:v>nomic-embed-text</x:v>
      </x:c>
      <x:c r="K151" s="34" t="str">
        <x:v>cooler, air, value, quiet</x:v>
      </x:c>
      <x:c r="L151" s="34" t="str">
        <x:v>AIPC curated knowledge base</x:v>
      </x:c>
      <x:c r="M151" s="34" t="str"/>
      <x:c r="N151" s="35" t="str">
        <x:v>The Peerless Assassin 120 SE offers high air-cooling capacity at low cost. It is well suited to mainstream and many high-tier CPUs when case height allows it.</x:v>
      </x:c>
    </x:row>
    <x:row r="152">
      <x:c r="A152" s="33" t="str">
        <x:v>T09</x:v>
      </x:c>
      <x:c r="B152" s="34" t="n">
        <x:v>12</x:v>
      </x:c>
      <x:c r="C152" s="34" t="str">
        <x:v>case-north-airflow</x:v>
      </x:c>
      <x:c r="D152" s="34" t="str">
        <x:v>Fractal North balanced airflow</x:v>
      </x:c>
      <x:c r="E152" s="34" t="str">
        <x:v>case</x:v>
      </x:c>
      <x:c r="F152" s="83" t="n">
        <x:v>68</x:v>
      </x:c>
      <x:c r="G152" s="83" t="n">
        <x:v>0.637</x:v>
      </x:c>
      <x:c r="H152" s="34" t="str">
        <x:v>vector</x:v>
      </x:c>
      <x:c r="I152" s="34" t="str">
        <x:v>ollama</x:v>
      </x:c>
      <x:c r="J152" s="34" t="str">
        <x:v>nomic-embed-text</x:v>
      </x:c>
      <x:c r="K152" s="34" t="str">
        <x:v>case, atx, airflow, quiet, upgradeability</x:v>
      </x:c>
      <x:c r="L152" s="34" t="str">
        <x:v>AIPC curated knowledge base</x:v>
      </x:c>
      <x:c r="M152" s="34" t="str"/>
      <x:c r="N152" s="35" t="str">
        <x:v>The Fractal North supports full-size ATX components with 355mm GPU clearance and 170mm air-cooler clearance. It balances airflow, acoustics, and upgrade room.</x:v>
      </x:c>
    </x:row>
    <x:row r="153">
      <x:c r="A153" s="33" t="str">
        <x:v>T09</x:v>
      </x:c>
      <x:c r="B153" s="34" t="n">
        <x:v>13</x:v>
      </x:c>
      <x:c r="C153" s="34" t="str">
        <x:v>appearance-white-rgb</x:v>
      </x:c>
      <x:c r="D153" s="34" t="str">
        <x:v>Planning a white RGB build</x:v>
      </x:c>
      <x:c r="E153" s="34" t="str">
        <x:v>planning</x:v>
      </x:c>
      <x:c r="F153" s="83" t="n">
        <x:v>66</x:v>
      </x:c>
      <x:c r="G153" s="83" t="n">
        <x:v>0.616</x:v>
      </x:c>
      <x:c r="H153" s="34" t="str">
        <x:v>vector</x:v>
      </x:c>
      <x:c r="I153" s="34" t="str">
        <x:v>ollama</x:v>
      </x:c>
      <x:c r="J153" s="34" t="str">
        <x:v>nomic-embed-text</x:v>
      </x:c>
      <x:c r="K153" s="34" t="str">
        <x:v>planning, white, rgb, case, gpu, motherboard, ram, cooler</x:v>
      </x:c>
      <x:c r="L153" s="34" t="str">
        <x:v>AIPC curated knowledge base</x:v>
      </x:c>
      <x:c r="M153" s="34" t="str"/>
      <x:c r="N153" s="35" t="str">
        <x:v>A coherent white build should prioritize visible components such as the case, graphics card, motherboard heatsinks, memory, and cooler. RGB is an appearance preference and must never override socket, clearance, cooling, or PSU safety rules.</x:v>
      </x:c>
    </x:row>
    <x:row r="154">
      <x:c r="A154" s="33" t="str">
        <x:v>T09</x:v>
      </x:c>
      <x:c r="B154" s="34" t="n">
        <x:v>14</x:v>
      </x:c>
      <x:c r="C154" s="34" t="str">
        <x:v>case-dual-chamber-white</x:v>
      </x:c>
      <x:c r="D154" s="34" t="str">
        <x:v>White dual-chamber showcase case planning</x:v>
      </x:c>
      <x:c r="E154" s="34" t="str">
        <x:v>case</x:v>
      </x:c>
      <x:c r="F154" s="83" t="n">
        <x:v>66</x:v>
      </x:c>
      <x:c r="G154" s="83" t="n">
        <x:v>0.613</x:v>
      </x:c>
      <x:c r="H154" s="34" t="str">
        <x:v>vector</x:v>
      </x:c>
      <x:c r="I154" s="34" t="str">
        <x:v>ollama</x:v>
      </x:c>
      <x:c r="J154" s="34" t="str">
        <x:v>nomic-embed-text</x:v>
      </x:c>
      <x:c r="K154" s="34" t="str">
        <x:v>case, white, rgb, panoramic, dual-chamber, clearance, planning</x:v>
      </x:c>
      <x:c r="L154" s="34" t="str">
        <x:v>NZXT H9 Flow RGB official product specifications</x:v>
      </x:c>
      <x:c r="M154" s="34" t="str">
        <x:v>https://nzxt.com/products/h9-flow-rgb?variant=40595201032264</x:v>
      </x:c>
      <x:c r="N154" s="35" t="str">
        <x:v>A white dual-chamber case can provide panoramic presentation, cable separation, and extensive radiator support, but it is physically larger than a conventional mid-tower. Visible-component color matching should remain a preference layer after GPU length, cooler/radiator, motherboard, and PSU compatibility checks.</x:v>
      </x:c>
    </x:row>
    <x:row r="155">
      <x:c r="A155" s="33" t="str">
        <x:v>T09</x:v>
      </x:c>
      <x:c r="B155" s="34" t="n">
        <x:v>15</x:v>
      </x:c>
      <x:c r="C155" s="34" t="str">
        <x:v>gaming-4k</x:v>
      </x:c>
      <x:c r="D155" s="34" t="str">
        <x:v>4K gaming allocation</x:v>
      </x:c>
      <x:c r="E155" s="34" t="str">
        <x:v>workload</x:v>
      </x:c>
      <x:c r="F155" s="83" t="n">
        <x:v>65</x:v>
      </x:c>
      <x:c r="G155" s="83" t="n">
        <x:v>0.632</x:v>
      </x:c>
      <x:c r="H155" s="34" t="str">
        <x:v>vector</x:v>
      </x:c>
      <x:c r="I155" s="34" t="str">
        <x:v>ollama</x:v>
      </x:c>
      <x:c r="J155" s="34" t="str">
        <x:v>nomic-embed-text</x:v>
      </x:c>
      <x:c r="K155" s="34" t="str">
        <x:v>gaming, 4k, gpu, high-end</x:v>
      </x:c>
      <x:c r="L155" s="34" t="str">
        <x:v>AIPC curated knowledge base</x:v>
      </x:c>
      <x:c r="M155" s="34" t="str"/>
      <x:c r="N155" s="35" t="str">
        <x:v>At 4K the GPU is normally the primary performance constraint. Budget should favor the graphics card while retaining enough CPU, cooling, and PSU quality to avoid platform imbalance.</x:v>
      </x:c>
    </x:row>
    <x:row r="156">
      <x:c r="A156" s="33" t="str">
        <x:v>T09</x:v>
      </x:c>
      <x:c r="B156" s="34" t="n">
        <x:v>16</x:v>
      </x:c>
      <x:c r="C156" s="34" t="str">
        <x:v>storage-pcie5-thermal</x:v>
      </x:c>
      <x:c r="D156" s="34" t="str">
        <x:v>PCIe 5.0 SSD performance and thermal trade-off</x:v>
      </x:c>
      <x:c r="E156" s="34" t="str">
        <x:v>storage</x:v>
      </x:c>
      <x:c r="F156" s="83" t="n">
        <x:v>65</x:v>
      </x:c>
      <x:c r="G156" s="83" t="n">
        <x:v>0.622</x:v>
      </x:c>
      <x:c r="H156" s="34" t="str">
        <x:v>vector</x:v>
      </x:c>
      <x:c r="I156" s="34" t="str">
        <x:v>ollama</x:v>
      </x:c>
      <x:c r="J156" s="34" t="str">
        <x:v>nomic-embed-text</x:v>
      </x:c>
      <x:c r="K156" s="34" t="str">
        <x:v>storage, nvme, pcie5, thermal, creator, development, value</x:v>
      </x:c>
      <x:c r="L156" s="34" t="str">
        <x:v>Samsung 9100 Pro official specifications</x:v>
      </x:c>
      <x:c r="M156" s="34" t="str">
        <x:v>https://www.samsung.com/us/memory-storage/nvme-ssd/9100-pro-nvme-ssd-sku-mz-vap4t0b-am/</x:v>
      </x:c>
      <x:c r="N156"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57">
      <x:c r="A157" s="33" t="str">
        <x:v>T09</x:v>
      </x:c>
      <x:c r="B157" s="34" t="n">
        <x:v>17</x:v>
      </x:c>
      <x:c r="C157" s="34" t="str">
        <x:v>case-clearance</x:v>
      </x:c>
      <x:c r="D157" s="34" t="str">
        <x:v>Case clearance constraints</x:v>
      </x:c>
      <x:c r="E157" s="34" t="str">
        <x:v>compatibility</x:v>
      </x:c>
      <x:c r="F157" s="83" t="n">
        <x:v>63</x:v>
      </x:c>
      <x:c r="G157" s="83" t="n">
        <x:v>0.61</x:v>
      </x:c>
      <x:c r="H157" s="34" t="str">
        <x:v>vector</x:v>
      </x:c>
      <x:c r="I157" s="34" t="str">
        <x:v>ollama</x:v>
      </x:c>
      <x:c r="J157" s="34" t="str">
        <x:v>nomic-embed-text</x:v>
      </x:c>
      <x:c r="K157" s="34" t="str">
        <x:v>case, clearance, gpu-length, cooler-height, form-factor</x:v>
      </x:c>
      <x:c r="L157" s="34" t="str">
        <x:v>AIPC curated knowledge base</x:v>
      </x:c>
      <x:c r="M157" s="34" t="str"/>
      <x:c r="N157" s="35" t="str">
        <x:v>GPU length, air-cooler height, motherboard form factor, and PSU form factor are hard physical constraints. These values must be checked deterministically before a case is accepted.</x:v>
      </x:c>
    </x:row>
    <x:row r="158">
      <x:c r="A158" s="33" t="str">
        <x:v>T09</x:v>
      </x:c>
      <x:c r="B158" s="34" t="n">
        <x:v>18</x:v>
      </x:c>
      <x:c r="C158" s="34" t="str">
        <x:v>psu-850</x:v>
      </x:c>
      <x:c r="D158" s="34" t="str">
        <x:v>850W Gold mainstream high-end fit</x:v>
      </x:c>
      <x:c r="E158" s="34" t="str">
        <x:v>psu</x:v>
      </x:c>
      <x:c r="F158" s="83" t="n">
        <x:v>62</x:v>
      </x:c>
      <x:c r="G158" s="83" t="n">
        <x:v>0.602</x:v>
      </x:c>
      <x:c r="H158" s="34" t="str">
        <x:v>vector</x:v>
      </x:c>
      <x:c r="I158" s="34" t="str">
        <x:v>ollama</x:v>
      </x:c>
      <x:c r="J158" s="34" t="str">
        <x:v>nomic-embed-text</x:v>
      </x:c>
      <x:c r="K158" s="34" t="str">
        <x:v>psu, 850w, gold, upgradeability</x:v>
      </x:c>
      <x:c r="L158" s="34" t="str">
        <x:v>AIPC curated knowledge base</x:v>
      </x:c>
      <x:c r="M158" s="34" t="str"/>
      <x:c r="N158" s="35" t="str">
        <x:v>An 850W Gold PSU is a common fit for high-end single-GPU systems when it satisfies the 1.35x power rule. It offers more upgrade margin than 750W without flagship PSU cost.</x:v>
      </x:c>
    </x:row>
    <x:row r="159">
      <x:c r="A159" s="33" t="str">
        <x:v>T10</x:v>
      </x:c>
      <x:c r="B159" s="34" t="n">
        <x:v>1</x:v>
      </x:c>
      <x:c r="C159" s="34" t="str">
        <x:v>gpu-5080-blackwell</x:v>
      </x:c>
      <x:c r="D159" s="34" t="str">
        <x:v>RTX 5080 4K and creator profile</x:v>
      </x:c>
      <x:c r="E159" s="34" t="str">
        <x:v>gpu</x:v>
      </x:c>
      <x:c r="F159" s="83" t="n">
        <x:v>75</x:v>
      </x:c>
      <x:c r="G159" s="83" t="n">
        <x:v>0.677</x:v>
      </x:c>
      <x:c r="H159" s="34" t="str">
        <x:v>vector</x:v>
      </x:c>
      <x:c r="I159" s="34" t="str">
        <x:v>ollama</x:v>
      </x:c>
      <x:c r="J159" s="34" t="str">
        <x:v>nomic-embed-text</x:v>
      </x:c>
      <x:c r="K159" s="34" t="str">
        <x:v>gpu, nvidia, cuda, blackwell, 16gb, 4k, creator</x:v>
      </x:c>
      <x:c r="L159" s="34" t="str">
        <x:v>NVIDIA GeForce RTX 5080 specifications</x:v>
      </x:c>
      <x:c r="M159" s="34" t="str">
        <x:v>https://www.nvidia.com/en-us/geforce/graphics-cards/50-series/rtx-5080/</x:v>
      </x:c>
      <x:c r="N159" s="35" t="str">
        <x:v>The GeForce RTX 5080 reference design combines 16GB GDDR7, CUDA support, a 360W total graphics power rating, and Blackwell media/AI features. It is a high-end 4K and creator option below the RTX 5090, but 16GB VRAM is a meaningful limit for larger local AI models.</x:v>
      </x:c>
    </x:row>
    <x:row r="160">
      <x:c r="A160" s="33" t="str">
        <x:v>T10</x:v>
      </x:c>
      <x:c r="B160" s="34" t="n">
        <x:v>2</x:v>
      </x:c>
      <x:c r="C160" s="34" t="str">
        <x:v>cpu-9950x3d2-workstation</x:v>
      </x:c>
      <x:c r="D160" s="34" t="str">
        <x:v>Ryzen 9 9950X3D2 developer workstation profile</x:v>
      </x:c>
      <x:c r="E160" s="34" t="str">
        <x:v>cpu</x:v>
      </x:c>
      <x:c r="F160" s="83" t="n">
        <x:v>70</x:v>
      </x:c>
      <x:c r="G160" s="83" t="n">
        <x:v>0.642</x:v>
      </x:c>
      <x:c r="H160" s="34" t="str">
        <x:v>vector</x:v>
      </x:c>
      <x:c r="I160" s="34" t="str">
        <x:v>ollama</x:v>
      </x:c>
      <x:c r="J160" s="34" t="str">
        <x:v>nomic-embed-text</x:v>
      </x:c>
      <x:c r="K160" s="34" t="str">
        <x:v>cpu, amd, am5, zen5, 16-core, development, creator, enthusiast, high-power</x:v>
      </x:c>
      <x:c r="L160" s="34" t="str">
        <x:v>AMD Ryzen 9 9950X3D2 launch specifications</x:v>
      </x:c>
      <x:c r="M160" s="34" t="str">
        <x:v>https://www.amd.com/en/newsroom/press-releases/2026-4-22-amd-launches-ryzen-9-9950x3d2-dual-edition-processor.html</x:v>
      </x:c>
      <x:c r="N160" s="35" t="str">
        <x:v>Ryzen 9 9950X3D2 combines 16 cores, 32 threads, 208MB total cache, a 200W TDP, and an $899 SEP. It targets high-budget development, compilation, simulation, creation, and gaming systems where both cache capacity and core throughput matter.</x:v>
      </x:c>
    </x:row>
    <x:row r="161">
      <x:c r="A161" s="33" t="str">
        <x:v>T10</x:v>
      </x:c>
      <x:c r="B161" s="34" t="n">
        <x:v>3</x:v>
      </x:c>
      <x:c r="C161" s="34" t="str">
        <x:v>cpu-7900x-workstation</x:v>
      </x:c>
      <x:c r="D161" s="34" t="str">
        <x:v>Ryzen 9 7900X workstation profile</x:v>
      </x:c>
      <x:c r="E161" s="34" t="str">
        <x:v>cpu</x:v>
      </x:c>
      <x:c r="F161" s="83" t="n">
        <x:v>69</x:v>
      </x:c>
      <x:c r="G161" s="83" t="n">
        <x:v>0.647</x:v>
      </x:c>
      <x:c r="H161" s="34" t="str">
        <x:v>vector</x:v>
      </x:c>
      <x:c r="I161" s="34" t="str">
        <x:v>ollama</x:v>
      </x:c>
      <x:c r="J161" s="34" t="str">
        <x:v>nomic-embed-text</x:v>
      </x:c>
      <x:c r="K161" s="34" t="str">
        <x:v>cpu, development, video, productivity, am5, 12-core</x:v>
      </x:c>
      <x:c r="L161" s="34" t="str">
        <x:v>AIPC curated knowledge base</x:v>
      </x:c>
      <x:c r="M161" s="34" t="str"/>
      <x:c r="N161" s="35" t="str">
        <x:v>Twelve cores and strong productivity performance make the Ryzen 9 7900X suitable for compilation, rendering, containers, and mixed workstation use. It requires stronger cooling than 65W parts.</x:v>
      </x:c>
    </x:row>
    <x:row r="162">
      <x:c r="A162" s="33" t="str">
        <x:v>T10</x:v>
      </x:c>
      <x:c r="B162" s="34" t="n">
        <x:v>4</x:v>
      </x:c>
      <x:c r="C162" s="34" t="str">
        <x:v>gaming-4k</x:v>
      </x:c>
      <x:c r="D162" s="34" t="str">
        <x:v>4K gaming allocation</x:v>
      </x:c>
      <x:c r="E162" s="34" t="str">
        <x:v>workload</x:v>
      </x:c>
      <x:c r="F162" s="83" t="n">
        <x:v>69</x:v>
      </x:c>
      <x:c r="G162" s="83" t="n">
        <x:v>0.663</x:v>
      </x:c>
      <x:c r="H162" s="34" t="str">
        <x:v>vector</x:v>
      </x:c>
      <x:c r="I162" s="34" t="str">
        <x:v>ollama</x:v>
      </x:c>
      <x:c r="J162" s="34" t="str">
        <x:v>nomic-embed-text</x:v>
      </x:c>
      <x:c r="K162" s="34" t="str">
        <x:v>gaming, 4k, gpu, high-end</x:v>
      </x:c>
      <x:c r="L162" s="34" t="str">
        <x:v>AIPC curated knowledge base</x:v>
      </x:c>
      <x:c r="M162" s="34" t="str"/>
      <x:c r="N162" s="35" t="str">
        <x:v>At 4K the GPU is normally the primary performance constraint. Budget should favor the graphics card while retaining enough CPU, cooling, and PSU quality to avoid platform imbalance.</x:v>
      </x:c>
    </x:row>
    <x:row r="163">
      <x:c r="A163" s="33" t="str">
        <x:v>T10</x:v>
      </x:c>
      <x:c r="B163" s="34" t="n">
        <x:v>5</x:v>
      </x:c>
      <x:c r="C163" s="34" t="str">
        <x:v>gpu-5070ti-blackwell</x:v>
      </x:c>
      <x:c r="D163" s="34" t="str">
        <x:v>RTX 5070 Ti balanced high-end profile</x:v>
      </x:c>
      <x:c r="E163" s="34" t="str">
        <x:v>gpu</x:v>
      </x:c>
      <x:c r="F163" s="83" t="n">
        <x:v>69</x:v>
      </x:c>
      <x:c r="G163" s="83" t="n">
        <x:v>0.642</x:v>
      </x:c>
      <x:c r="H163" s="34" t="str">
        <x:v>vector</x:v>
      </x:c>
      <x:c r="I163" s="34" t="str">
        <x:v>ollama</x:v>
      </x:c>
      <x:c r="J163" s="34" t="str">
        <x:v>nomic-embed-text</x:v>
      </x:c>
      <x:c r="K163" s="34" t="str">
        <x:v>gpu, nvidia, cuda, blackwell, 16gb, 1440p, 4k, balanced</x:v>
      </x:c>
      <x:c r="L163" s="34" t="str">
        <x:v>NVIDIA GeForce RTX 5070 family specifications</x:v>
      </x:c>
      <x:c r="M163" s="34" t="str">
        <x:v>https://www.nvidia.com/en-us/geforce/graphics-cards/50-series/rtx-5070-family/</x:v>
      </x:c>
      <x:c r="N163" s="35" t="str">
        <x:v>The GeForce RTX 5070 Ti provides 16GB GDDR7 and CUDA at a 300W reference power target. It is positioned for high-refresh 1440p, entry 4K, creator acceleration, and moderate local AI workloads without flagship cost.</x:v>
      </x:c>
    </x:row>
    <x:row r="164">
      <x:c r="A164" s="33" t="str">
        <x:v>T10</x:v>
      </x:c>
      <x:c r="B164" s="34" t="n">
        <x:v>6</x:v>
      </x:c>
      <x:c r="C164" s="34" t="str">
        <x:v>gaming-4k-240</x:v>
      </x:c>
      <x:c r="D164" s="34" t="str">
        <x:v>4K 240Hz target trade-off</x:v>
      </x:c>
      <x:c r="E164" s="34" t="str">
        <x:v>workload</x:v>
      </x:c>
      <x:c r="F164" s="83" t="n">
        <x:v>68</x:v>
      </x:c>
      <x:c r="G164" s="83" t="n">
        <x:v>0.634</x:v>
      </x:c>
      <x:c r="H164" s="34" t="str">
        <x:v>vector</x:v>
      </x:c>
      <x:c r="I164" s="34" t="str">
        <x:v>ollama</x:v>
      </x:c>
      <x:c r="J164" s="34" t="str">
        <x:v>nomic-embed-text</x:v>
      </x:c>
      <x:c r="K164" s="34" t="str">
        <x:v>gaming, 4k, 240fps, high-fps, gpu, trade-off</x:v>
      </x:c>
      <x:c r="L164" s="34" t="str">
        <x:v>AIPC curated knowledge base</x:v>
      </x:c>
      <x:c r="M164" s="34" t="str"/>
      <x:c r="N164" s="35" t="str">
        <x:v>A 4K 240Hz target is exceptionally demanding and depends heavily on the game, settings, and upscaling. The recommendation should maximize GPU headroom without claiming that every title will sustain 240 FPS.</x:v>
      </x:c>
    </x:row>
    <x:row r="165">
      <x:c r="A165" s="33" t="str">
        <x:v>T10</x:v>
      </x:c>
      <x:c r="B165" s="34" t="n">
        <x:v>7</x:v>
      </x:c>
      <x:c r="C165" s="34" t="str">
        <x:v>gpu-4070tis-balanced</x:v>
      </x:c>
      <x:c r="D165" s="34" t="str">
        <x:v>RTX 4070 Ti Super balanced profile</x:v>
      </x:c>
      <x:c r="E165" s="34" t="str">
        <x:v>gpu</x:v>
      </x:c>
      <x:c r="F165" s="83" t="n">
        <x:v>68</x:v>
      </x:c>
      <x:c r="G165" s="83" t="n">
        <x:v>0.647</x:v>
      </x:c>
      <x:c r="H165" s="34" t="str">
        <x:v>vector</x:v>
      </x:c>
      <x:c r="I165" s="34" t="str">
        <x:v>ollama</x:v>
      </x:c>
      <x:c r="J165" s="34" t="str">
        <x:v>nomic-embed-text</x:v>
      </x:c>
      <x:c r="K165" s="34" t="str">
        <x:v>gpu, gaming, ai, cuda, 16gb, balanced</x:v>
      </x:c>
      <x:c r="L165" s="34" t="str">
        <x:v>AIPC curated knowledge base</x:v>
      </x:c>
      <x:c r="M165" s="34" t="str"/>
      <x:c r="N165" s="35" t="str">
        <x:v>The RTX 4070 Ti Super provides 16GB VRAM and strong 1440p to 4K capability at lower power and cost than flagship GPUs. It is a balanced choice for mixed gaming, creative, and CUDA work.</x:v>
      </x:c>
    </x:row>
    <x:row r="166">
      <x:c r="A166" s="33" t="str">
        <x:v>T10</x:v>
      </x:c>
      <x:c r="B166" s="34" t="n">
        <x:v>8</x:v>
      </x:c>
      <x:c r="C166" s="34" t="str">
        <x:v>gpu-4070s-gaming</x:v>
      </x:c>
      <x:c r="D166" s="34" t="str">
        <x:v>RTX 4070 Super gaming profile</x:v>
      </x:c>
      <x:c r="E166" s="34" t="str">
        <x:v>gpu</x:v>
      </x:c>
      <x:c r="F166" s="83" t="n">
        <x:v>67</x:v>
      </x:c>
      <x:c r="G166" s="83" t="n">
        <x:v>0.64</x:v>
      </x:c>
      <x:c r="H166" s="34" t="str">
        <x:v>vector</x:v>
      </x:c>
      <x:c r="I166" s="34" t="str">
        <x:v>ollama</x:v>
      </x:c>
      <x:c r="J166" s="34" t="str">
        <x:v>nomic-embed-text</x:v>
      </x:c>
      <x:c r="K166" s="34" t="str">
        <x:v>gpu, gaming, 1440p, cuda, 12gb, efficient</x:v>
      </x:c>
      <x:c r="L166" s="34" t="str">
        <x:v>AIPC curated knowledge base</x:v>
      </x:c>
      <x:c r="M166" s="34" t="str"/>
      <x:c r="N166" s="35" t="str">
        <x:v>The RTX 4070 Super is efficient for high-quality 1440p gaming and supports CUDA, but its 12GB VRAM is less flexible for larger local AI workloads.</x:v>
      </x:c>
    </x:row>
    <x:row r="167">
      <x:c r="A167" s="33" t="str">
        <x:v>T10</x:v>
      </x:c>
      <x:c r="B167" s="34" t="n">
        <x:v>9</x:v>
      </x:c>
      <x:c r="C167" s="34" t="str">
        <x:v>psu-headroom</x:v>
      </x:c>
      <x:c r="D167" s="34" t="str">
        <x:v>Power supply headroom rule</x:v>
      </x:c>
      <x:c r="E167" s="34" t="str">
        <x:v>compatibility</x:v>
      </x:c>
      <x:c r="F167" s="83" t="n">
        <x:v>67</x:v>
      </x:c>
      <x:c r="G167" s="83" t="n">
        <x:v>0.628</x:v>
      </x:c>
      <x:c r="H167" s="34" t="str">
        <x:v>vector</x:v>
      </x:c>
      <x:c r="I167" s="34" t="str">
        <x:v>ollama</x:v>
      </x:c>
      <x:c r="J167" s="34" t="str">
        <x:v>nomic-embed-text</x:v>
      </x:c>
      <x:c r="K167" s="34" t="str">
        <x:v>psu, power, headroom, quiet, upgradeability</x:v>
      </x:c>
      <x:c r="L167" s="34" t="str">
        <x:v>AIPC curated knowledge base</x:v>
      </x:c>
      <x:c r="M167" s="34" t="str"/>
      <x:c r="N167" s="35" t="str">
        <x:v>A power supply should exceed estimated sustained system draw by at least 35 percent. Additional headroom can reduce fan noise and preserve room for future GPU upgrades.</x:v>
      </x:c>
    </x:row>
    <x:row r="168">
      <x:c r="A168" s="33" t="str">
        <x:v>T10</x:v>
      </x:c>
      <x:c r="B168" s="34" t="n">
        <x:v>10</x:v>
      </x:c>
      <x:c r="C168" s="34" t="str">
        <x:v>cpu-9950x3d-mixed</x:v>
      </x:c>
      <x:c r="D168" s="34" t="str">
        <x:v>Ryzen 9 9950X3D mixed gaming and creation profile</x:v>
      </x:c>
      <x:c r="E168" s="34" t="str">
        <x:v>cpu</x:v>
      </x:c>
      <x:c r="F168" s="83" t="n">
        <x:v>66</x:v>
      </x:c>
      <x:c r="G168" s="83" t="n">
        <x:v>0.628</x:v>
      </x:c>
      <x:c r="H168" s="34" t="str">
        <x:v>vector</x:v>
      </x:c>
      <x:c r="I168" s="34" t="str">
        <x:v>ollama</x:v>
      </x:c>
      <x:c r="J168" s="34" t="str">
        <x:v>nomic-embed-text</x:v>
      </x:c>
      <x:c r="K168" s="34" t="str">
        <x:v>cpu, amd, am5, zen5, 16-core, gaming, creator, enthusiast</x:v>
      </x:c>
      <x:c r="L168" s="34" t="str">
        <x:v>AMD Ryzen desktop processor specifications</x:v>
      </x:c>
      <x:c r="M168" s="34" t="str">
        <x:v>https://www.amd.com/en/products/processors/desktops/ryzen.html</x:v>
      </x:c>
      <x:c r="N168" s="35" t="str">
        <x:v>Ryzen 9 9950X3D combines 16 Zen 5 cores with second-generation 3D V-Cache on AM5. It fits premium systems that need strong gaming latency and high multicore throughput, but it should not displace cheaper eight-core X3D options in gaming-only budgets.</x:v>
      </x:c>
    </x:row>
    <x:row r="169">
      <x:c r="A169" s="33" t="str">
        <x:v>T10</x:v>
      </x:c>
      <x:c r="B169" s="34" t="n">
        <x:v>11</x:v>
      </x:c>
      <x:c r="C169" s="34" t="str">
        <x:v>cpu-7600-value</x:v>
      </x:c>
      <x:c r="D169" s="34" t="str">
        <x:v>Ryzen 5 7600 value profile</x:v>
      </x:c>
      <x:c r="E169" s="34" t="str">
        <x:v>cpu</x:v>
      </x:c>
      <x:c r="F169" s="83" t="n">
        <x:v>66</x:v>
      </x:c>
      <x:c r="G169" s="83" t="n">
        <x:v>0.617</x:v>
      </x:c>
      <x:c r="H169" s="34" t="str">
        <x:v>vector</x:v>
      </x:c>
      <x:c r="I169" s="34" t="str">
        <x:v>ollama</x:v>
      </x:c>
      <x:c r="J169" s="34" t="str">
        <x:v>nomic-embed-text</x:v>
      </x:c>
      <x:c r="K169" s="34" t="str">
        <x:v>cpu, gaming, value, am5, upgradeability</x:v>
      </x:c>
      <x:c r="L169" s="34" t="str">
        <x:v>AIPC curated knowledge base</x:v>
      </x:c>
      <x:c r="M169" s="34" t="str"/>
      <x:c r="N169" s="35" t="str">
        <x:v>The Ryzen 5 7600 preserves AM5 upgradeability while leaving more of a constrained gaming budget for the GPU.</x:v>
      </x:c>
    </x:row>
    <x:row r="170">
      <x:c r="A170" s="33" t="str">
        <x:v>T10</x:v>
      </x:c>
      <x:c r="B170" s="34" t="n">
        <x:v>12</x:v>
      </x:c>
      <x:c r="C170" s="34" t="str">
        <x:v>storage-pcie5-thermal</x:v>
      </x:c>
      <x:c r="D170" s="34" t="str">
        <x:v>PCIe 5.0 SSD performance and thermal trade-off</x:v>
      </x:c>
      <x:c r="E170" s="34" t="str">
        <x:v>storage</x:v>
      </x:c>
      <x:c r="F170" s="83" t="n">
        <x:v>66</x:v>
      </x:c>
      <x:c r="G170" s="83" t="n">
        <x:v>0.612</x:v>
      </x:c>
      <x:c r="H170" s="34" t="str">
        <x:v>vector</x:v>
      </x:c>
      <x:c r="I170" s="34" t="str">
        <x:v>ollama</x:v>
      </x:c>
      <x:c r="J170" s="34" t="str">
        <x:v>nomic-embed-text</x:v>
      </x:c>
      <x:c r="K170" s="34" t="str">
        <x:v>storage, nvme, pcie5, thermal, creator, development, value</x:v>
      </x:c>
      <x:c r="L170" s="34" t="str">
        <x:v>Samsung 9100 Pro official specifications</x:v>
      </x:c>
      <x:c r="M170" s="34" t="str">
        <x:v>https://www.samsung.com/us/memory-storage/nvme-ssd/9100-pro-nvme-ssd-sku-mz-vap4t0b-am/</x:v>
      </x:c>
      <x:c r="N170" s="35" t="str">
        <x:v>High-end PCIe 5.0 SSDs such as Samsung 9100 Pro can exceed 14GB/s sequential reads, but cost and heat are materially higher than mature PCIe 4.0 drives. Gaming load times rarely justify allocating budget away from the GPU solely for peak sequential throughput; large creator and data workflows benefit more.</x:v>
      </x:c>
    </x:row>
    <x:row r="171">
      <x:c r="A171" s="33" t="str">
        <x:v>T10</x:v>
      </x:c>
      <x:c r="B171" s="34" t="n">
        <x:v>13</x:v>
      </x:c>
      <x:c r="C171" s="34" t="str">
        <x:v>psu-850</x:v>
      </x:c>
      <x:c r="D171" s="34" t="str">
        <x:v>850W Gold mainstream high-end fit</x:v>
      </x:c>
      <x:c r="E171" s="34" t="str">
        <x:v>psu</x:v>
      </x:c>
      <x:c r="F171" s="83" t="n">
        <x:v>66</x:v>
      </x:c>
      <x:c r="G171" s="83" t="n">
        <x:v>0.626</x:v>
      </x:c>
      <x:c r="H171" s="34" t="str">
        <x:v>vector</x:v>
      </x:c>
      <x:c r="I171" s="34" t="str">
        <x:v>ollama</x:v>
      </x:c>
      <x:c r="J171" s="34" t="str">
        <x:v>nomic-embed-text</x:v>
      </x:c>
      <x:c r="K171" s="34" t="str">
        <x:v>psu, 850w, gold, upgradeability</x:v>
      </x:c>
      <x:c r="L171" s="34" t="str">
        <x:v>AIPC curated knowledge base</x:v>
      </x:c>
      <x:c r="M171" s="34" t="str"/>
      <x:c r="N171" s="35" t="str">
        <x:v>An 850W Gold PSU is a common fit for high-end single-GPU systems when it satisfies the 1.35x power rule. It offers more upgrade margin than 750W without flagship PSU cost.</x:v>
      </x:c>
    </x:row>
    <x:row r="172">
      <x:c r="A172" s="33" t="str">
        <x:v>T10</x:v>
      </x:c>
      <x:c r="B172" s="34" t="n">
        <x:v>14</x:v>
      </x:c>
      <x:c r="C172" s="34" t="str">
        <x:v>motherboard-x670e</x:v>
      </x:c>
      <x:c r="D172" s="34" t="str">
        <x:v>X670E workstation expansion</x:v>
      </x:c>
      <x:c r="E172" s="34" t="str">
        <x:v>motherboard</x:v>
      </x:c>
      <x:c r="F172" s="83" t="n">
        <x:v>64</x:v>
      </x:c>
      <x:c r="G172" s="83" t="n">
        <x:v>0.611</x:v>
      </x:c>
      <x:c r="H172" s="34" t="str">
        <x:v>vector</x:v>
      </x:c>
      <x:c r="I172" s="34" t="str">
        <x:v>ollama</x:v>
      </x:c>
      <x:c r="J172" s="34" t="str">
        <x:v>nomic-embed-text</x:v>
      </x:c>
      <x:c r="K172" s="34" t="str">
        <x:v>motherboard, am5, x670e, workstation, upgradeability</x:v>
      </x:c>
      <x:c r="L172" s="34" t="str">
        <x:v>AIPC curated knowledge base</x:v>
      </x:c>
      <x:c r="M172" s="34" t="str"/>
      <x:c r="N172" s="35" t="str">
        <x:v>X670E boards add expansion and connectivity for high-tier AM5 workstations. They should be selected for actual I/O or upgrade needs rather than prestige alone.</x:v>
      </x:c>
    </x:row>
    <x:row r="173">
      <x:c r="A173" s="33" t="str">
        <x:v>T10</x:v>
      </x:c>
      <x:c r="B173" s="34" t="n">
        <x:v>15</x:v>
      </x:c>
      <x:c r="C173" s="34" t="str">
        <x:v>ram-64</x:v>
      </x:c>
      <x:c r="D173" s="34" t="str">
        <x:v>64GB DDR5 workload fit</x:v>
      </x:c>
      <x:c r="E173" s="34" t="str">
        <x:v>ram</x:v>
      </x:c>
      <x:c r="F173" s="83" t="n">
        <x:v>64</x:v>
      </x:c>
      <x:c r="G173" s="83" t="n">
        <x:v>0.606</x:v>
      </x:c>
      <x:c r="H173" s="34" t="str">
        <x:v>vector</x:v>
      </x:c>
      <x:c r="I173" s="34" t="str">
        <x:v>ollama</x:v>
      </x:c>
      <x:c r="J173" s="34" t="str">
        <x:v>nomic-embed-text</x:v>
      </x:c>
      <x:c r="K173" s="34" t="str">
        <x:v>ram, 64gb, ddr5, workstation</x:v>
      </x:c>
      <x:c r="L173" s="34" t="str">
        <x:v>AIPC curated knowledge base</x:v>
      </x:c>
      <x:c r="M173" s="34" t="str"/>
      <x:c r="N173" s="35" t="str">
        <x:v>A 64GB DDR5 kit is the default workstation capacity for local AI, development, and video editing when the budget allows.</x:v>
      </x:c>
    </x:row>
    <x:row r="174">
      <x:c r="A174" s="33" t="str">
        <x:v>T10</x:v>
      </x:c>
      <x:c r="B174" s="34" t="n">
        <x:v>16</x:v>
      </x:c>
      <x:c r="C174" s="34" t="str">
        <x:v>storage-workstation</x:v>
      </x:c>
      <x:c r="D174" s="34" t="str">
        <x:v>NVMe capacity for workstation use</x:v>
      </x:c>
      <x:c r="E174" s="34" t="str">
        <x:v>workload</x:v>
      </x:c>
      <x:c r="F174" s="83" t="n">
        <x:v>64</x:v>
      </x:c>
      <x:c r="G174" s="83" t="n">
        <x:v>0.607</x:v>
      </x:c>
      <x:c r="H174" s="34" t="str">
        <x:v>vector</x:v>
      </x:c>
      <x:c r="I174" s="34" t="str">
        <x:v>ollama</x:v>
      </x:c>
      <x:c r="J174" s="34" t="str">
        <x:v>nomic-embed-text</x:v>
      </x:c>
      <x:c r="K174" s="34" t="str">
        <x:v>storage, nvme, development, video, 2tb</x:v>
      </x:c>
      <x:c r="L174" s="34" t="str">
        <x:v>AIPC curated knowledge base</x:v>
      </x:c>
      <x:c r="M174" s="34" t="str"/>
      <x:c r="N174" s="35" t="str">
        <x:v>Development and editing systems benefit from 2TB or more of fast NVMe storage for repositories, containers, caches, footage, and active projects.</x:v>
      </x:c>
    </x:row>
    <x:row r="175">
      <x:c r="A175" s="33" t="str">
        <x:v>T10</x:v>
      </x:c>
      <x:c r="B175" s="34" t="n">
        <x:v>17</x:v>
      </x:c>
      <x:c r="C175" s="34" t="str">
        <x:v>psu-atx31-modern-gpu</x:v>
      </x:c>
      <x:c r="D175" s="34" t="str">
        <x:v>ATX 3.1 and modern GPU power planning</x:v>
      </x:c>
      <x:c r="E175" s="34" t="str">
        <x:v>compatibility</x:v>
      </x:c>
      <x:c r="F175" s="83" t="n">
        <x:v>64</x:v>
      </x:c>
      <x:c r="G175" s="83" t="n">
        <x:v>0.614</x:v>
      </x:c>
      <x:c r="H175" s="34" t="str">
        <x:v>vector</x:v>
      </x:c>
      <x:c r="I175" s="34" t="str">
        <x:v>ollama</x:v>
      </x:c>
      <x:c r="J175" s="34" t="str">
        <x:v>nomic-embed-text</x:v>
      </x:c>
      <x:c r="K175" s="34" t="str">
        <x:v>psu, atx3.1, 12v-2x6, power, headroom, compatibility</x:v>
      </x:c>
      <x:c r="L175" s="34" t="str">
        <x:v>Corsair RM1200x SHIFT ATX 3.1 specifications</x:v>
      </x:c>
      <x:c r="M175" s="34" t="str">
        <x:v>https://www.corsair.com/us/en/p/psu/cp-9020276-na/rm1200x-shift-80-plus-gold-fully-modular-atx-power-supply-white-na-cp-9020276-na</x:v>
      </x:c>
      <x:c r="N175" s="35" t="str">
        <x:v>For high-draw current GPUs, an ATX 3.1 supply with a native 12V-2x6 cable simplifies cabling and is designed around modern transient requirements. Wattage still must satisfy deterministic sustained-load headroom; the connector standard does not make an undersized PSU acceptable.</x:v>
      </x:c>
    </x:row>
    <x:row r="176">
      <x:c r="A176" s="38" t="str">
        <x:v>T10</x:v>
      </x:c>
      <x:c r="B176" s="39" t="n">
        <x:v>18</x:v>
      </x:c>
      <x:c r="C176" s="39" t="str">
        <x:v>ram-capacity-dev</x:v>
      </x:c>
      <x:c r="D176" s="39" t="str">
        <x:v>Memory capacity for development</x:v>
      </x:c>
      <x:c r="E176" s="39" t="str">
        <x:v>workload</x:v>
      </x:c>
      <x:c r="F176" s="84" t="n">
        <x:v>63</x:v>
      </x:c>
      <x:c r="G176" s="84" t="n">
        <x:v>0.604</x:v>
      </x:c>
      <x:c r="H176" s="39" t="str">
        <x:v>vector</x:v>
      </x:c>
      <x:c r="I176" s="39" t="str">
        <x:v>ollama</x:v>
      </x:c>
      <x:c r="J176" s="39" t="str">
        <x:v>nomic-embed-text</x:v>
      </x:c>
      <x:c r="K176" s="39" t="str">
        <x:v>ram, development, docker, containers, 64gb</x:v>
      </x:c>
      <x:c r="L176" s="39" t="str">
        <x:v>AIPC curated knowledge base</x:v>
      </x:c>
      <x:c r="M176" s="39" t="str"/>
      <x:c r="N176" s="40" t="str">
        <x:v>Docker, local databases, IDEs, browsers, and emulators compete for memory. 32GB is a practical baseline; 64GB provides meaningful headroom for heavier container and mobile build workflows.</x:v>
      </x:c>
    </x:row>
  </x:sheetData>
  <x:mergeCells>
    <x:mergeCell ref="A1:N1"/>
    <x:mergeCell ref="A2:N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17" hidden="0" customWidth="1"/>
    <x:col min="5" max="5" width="15" hidden="0" customWidth="1"/>
    <x:col min="6" max="6" width="15" hidden="0" customWidth="1"/>
    <x:col min="7" max="7" width="15" hidden="0" customWidth="1"/>
    <x:col min="8" max="8" width="15" hidden="0" customWidth="1"/>
    <x:col min="9" max="9" width="52" hidden="0" customWidth="1"/>
    <x:col min="10" max="10" width="52" hidden="0" customWidth="1"/>
    <x:col min="11" max="11" width="52" hidden="0" customWidth="1"/>
    <x:col min="12" max="12" width="62" hidden="0" customWidth="1"/>
    <x:col min="13" max="13" width="62" hidden="0" customWidth="1"/>
  </x:cols>
  <x:sheetData>
    <x:row r="1" ht="38" customHeight="1">
      <x:c r="A1" s="3" t="str">
        <x:v>Seeded Parts Catalog</x:v>
      </x:c>
      <x:c r="B1" s="3"/>
      <x:c r="C1" s="3"/>
      <x:c r="D1" s="3"/>
      <x:c r="E1" s="3"/>
      <x:c r="F1" s="3"/>
      <x:c r="G1" s="3"/>
      <x:c r="H1" s="3"/>
      <x:c r="I1" s="3"/>
      <x:c r="J1" s="3"/>
      <x:c r="K1" s="3"/>
      <x:c r="L1" s="3"/>
      <x:c r="M1" s="3"/>
    </x:row>
    <x:row r="2" ht="22" customHeight="1">
      <x:c r="A2" s="6" t="str">
        <x:v>Reference prices are not live inventory quotes; each newly researched part carries source metadata where available</x:v>
      </x:c>
      <x:c r="B2" s="6"/>
      <x:c r="C2" s="6"/>
      <x:c r="D2" s="6"/>
      <x:c r="E2" s="6"/>
      <x:c r="F2" s="6"/>
      <x:c r="G2" s="6"/>
      <x:c r="H2" s="6"/>
      <x:c r="I2" s="6"/>
      <x:c r="J2" s="6"/>
      <x:c r="K2" s="6"/>
      <x:c r="L2" s="6"/>
      <x:c r="M2" s="6"/>
    </x:row>
    <x:row r="5" ht="28" customHeight="1">
      <x:c r="A5" s="30" t="str">
        <x:v>Category</x:v>
      </x:c>
      <x:c r="B5" s="31" t="str">
        <x:v>Part ID</x:v>
      </x:c>
      <x:c r="C5" s="31" t="str">
        <x:v>Name</x:v>
      </x:c>
      <x:c r="D5" s="31" t="str">
        <x:v>Brand</x:v>
      </x:c>
      <x:c r="E5" s="31" t="str">
        <x:v>Reference price</x:v>
      </x:c>
      <x:c r="F5" s="31" t="str">
        <x:v>Currency</x:v>
      </x:c>
      <x:c r="G5" s="31" t="str">
        <x:v>Price kind</x:v>
      </x:c>
      <x:c r="H5" s="31" t="str">
        <x:v>Price as of</x:v>
      </x:c>
      <x:c r="I5" s="31" t="str">
        <x:v>Key specifications</x:v>
      </x:c>
      <x:c r="J5" s="31" t="str">
        <x:v>Tags</x:v>
      </x:c>
      <x:c r="K5" s="31" t="str">
        <x:v>Summary</x:v>
      </x:c>
      <x:c r="L5" s="31" t="str">
        <x:v>Specification source</x:v>
      </x:c>
      <x:c r="M5" s="32" t="str">
        <x:v>Price source</x:v>
      </x:c>
    </x:row>
    <x:row r="6">
      <x:c r="A6" s="33" t="str">
        <x:v>cpu</x:v>
      </x:c>
      <x:c r="B6" s="34" t="str">
        <x:v>cpu-r5-7600</x:v>
      </x:c>
      <x:c r="C6" s="34" t="str">
        <x:v>Ryzen 5 7600</x:v>
      </x:c>
      <x:c r="D6" s="34" t="str">
        <x:v>AMD</x:v>
      </x:c>
      <x:c r="E6" s="85" t="n">
        <x:v>229</x:v>
      </x:c>
      <x:c r="F6" s="34" t="str">
        <x:v>USD</x:v>
      </x:c>
      <x:c r="G6" s="34" t="str">
        <x:v>reference</x:v>
      </x:c>
      <x:c r="H6" s="34" t="str">
        <x:v>baseline seed</x:v>
      </x:c>
      <x:c r="I6" s="34" t="str">
        <x:v>socket=AM5; cores=6; threads=12; tdpWatts=65; gamingScore=78; productivityScore=68; tier=mid</x:v>
      </x:c>
      <x:c r="J6" s="34" t="str">
        <x:v>AM5, mid</x:v>
      </x:c>
      <x:c r="K6" s="34" t="str">
        <x:v>6-core AM5 desktop processor.</x:v>
      </x:c>
      <x:c r="L6" s="34" t="str"/>
      <x:c r="M6" s="35" t="str"/>
    </x:row>
    <x:row r="7">
      <x:c r="A7" s="33" t="str">
        <x:v>cpu</x:v>
      </x:c>
      <x:c r="B7" s="34" t="str">
        <x:v>cpu-r7-7700</x:v>
      </x:c>
      <x:c r="C7" s="34" t="str">
        <x:v>Ryzen 7 7700</x:v>
      </x:c>
      <x:c r="D7" s="34" t="str">
        <x:v>AMD</x:v>
      </x:c>
      <x:c r="E7" s="85" t="n">
        <x:v>319</x:v>
      </x:c>
      <x:c r="F7" s="34" t="str">
        <x:v>USD</x:v>
      </x:c>
      <x:c r="G7" s="34" t="str">
        <x:v>reference</x:v>
      </x:c>
      <x:c r="H7" s="34" t="str">
        <x:v>baseline seed</x:v>
      </x:c>
      <x:c r="I7" s="34" t="str">
        <x:v>socket=AM5; cores=8; threads=16; tdpWatts=65; gamingScore=84; productivityScore=79; tier=mid</x:v>
      </x:c>
      <x:c r="J7" s="34" t="str">
        <x:v>AM5, mid</x:v>
      </x:c>
      <x:c r="K7" s="34" t="str">
        <x:v>8-core AM5 desktop processor.</x:v>
      </x:c>
      <x:c r="L7" s="34" t="str"/>
      <x:c r="M7" s="35" t="str"/>
    </x:row>
    <x:row r="8">
      <x:c r="A8" s="33" t="str">
        <x:v>cpu</x:v>
      </x:c>
      <x:c r="B8" s="34" t="str">
        <x:v>cpu-r7-7800x3d</x:v>
      </x:c>
      <x:c r="C8" s="34" t="str">
        <x:v>Ryzen 7 7800X3D</x:v>
      </x:c>
      <x:c r="D8" s="34" t="str">
        <x:v>AMD</x:v>
      </x:c>
      <x:c r="E8" s="85" t="n">
        <x:v>419</x:v>
      </x:c>
      <x:c r="F8" s="34" t="str">
        <x:v>USD</x:v>
      </x:c>
      <x:c r="G8" s="34" t="str">
        <x:v>reference</x:v>
      </x:c>
      <x:c r="H8" s="34" t="str">
        <x:v>baseline seed</x:v>
      </x:c>
      <x:c r="I8" s="34" t="str">
        <x:v>socket=AM5; cores=8; threads=16; tdpWatts=120; gamingScore=96; productivityScore=82; tier=high</x:v>
      </x:c>
      <x:c r="J8" s="34" t="str">
        <x:v>AM5, high</x:v>
      </x:c>
      <x:c r="K8" s="34" t="str">
        <x:v>8-core AM5 desktop processor.</x:v>
      </x:c>
      <x:c r="L8" s="34" t="str"/>
      <x:c r="M8" s="35" t="str"/>
    </x:row>
    <x:row r="9">
      <x:c r="A9" s="33" t="str">
        <x:v>cpu</x:v>
      </x:c>
      <x:c r="B9" s="34" t="str">
        <x:v>cpu-r7-9800x3d</x:v>
      </x:c>
      <x:c r="C9" s="34" t="str">
        <x:v>Ryzen 7 9800X3D</x:v>
      </x:c>
      <x:c r="D9" s="34" t="str">
        <x:v>AMD</x:v>
      </x:c>
      <x:c r="E9" s="85" t="n">
        <x:v>479</x:v>
      </x:c>
      <x:c r="F9" s="34" t="str">
        <x:v>USD</x:v>
      </x:c>
      <x:c r="G9" s="34" t="str">
        <x:v>reference</x:v>
      </x:c>
      <x:c r="H9" s="34" t="str">
        <x:v>baseline seed</x:v>
      </x:c>
      <x:c r="I9" s="34" t="str">
        <x:v>socket=AM5; cores=8; threads=16; tdpWatts=120; gamingScore=100; productivityScore=91; tier=enthusiast</x:v>
      </x:c>
      <x:c r="J9" s="34" t="str">
        <x:v>AM5, enthusiast</x:v>
      </x:c>
      <x:c r="K9" s="34" t="str">
        <x:v>8-core AM5 desktop processor.</x:v>
      </x:c>
      <x:c r="L9" s="34" t="str"/>
      <x:c r="M9" s="35" t="str"/>
    </x:row>
    <x:row r="10">
      <x:c r="A10" s="33" t="str">
        <x:v>cpu</x:v>
      </x:c>
      <x:c r="B10" s="34" t="str">
        <x:v>cpu-r9-7900x</x:v>
      </x:c>
      <x:c r="C10" s="34" t="str">
        <x:v>Ryzen 9 7900X</x:v>
      </x:c>
      <x:c r="D10" s="34" t="str">
        <x:v>AMD</x:v>
      </x:c>
      <x:c r="E10" s="85" t="n">
        <x:v>409</x:v>
      </x:c>
      <x:c r="F10" s="34" t="str">
        <x:v>USD</x:v>
      </x:c>
      <x:c r="G10" s="34" t="str">
        <x:v>reference</x:v>
      </x:c>
      <x:c r="H10" s="34" t="str">
        <x:v>baseline seed</x:v>
      </x:c>
      <x:c r="I10" s="34" t="str">
        <x:v>socket=AM5; cores=12; threads=24; tdpWatts=170; gamingScore=89; productivityScore=96; tier=enthusiast</x:v>
      </x:c>
      <x:c r="J10" s="34" t="str">
        <x:v>AM5, enthusiast</x:v>
      </x:c>
      <x:c r="K10" s="34" t="str">
        <x:v>12-core AM5 desktop processor.</x:v>
      </x:c>
      <x:c r="L10" s="34" t="str"/>
      <x:c r="M10" s="35" t="str"/>
    </x:row>
    <x:row r="11">
      <x:c r="A11" s="33" t="str">
        <x:v>cpu</x:v>
      </x:c>
      <x:c r="B11" s="34" t="str">
        <x:v>cpu-i5-14600k</x:v>
      </x:c>
      <x:c r="C11" s="34" t="str">
        <x:v>Core i5-14600K</x:v>
      </x:c>
      <x:c r="D11" s="34" t="str">
        <x:v>Intel</x:v>
      </x:c>
      <x:c r="E11" s="85" t="n">
        <x:v>299</x:v>
      </x:c>
      <x:c r="F11" s="34" t="str">
        <x:v>USD</x:v>
      </x:c>
      <x:c r="G11" s="34" t="str">
        <x:v>reference</x:v>
      </x:c>
      <x:c r="H11" s="34" t="str">
        <x:v>baseline seed</x:v>
      </x:c>
      <x:c r="I11" s="34" t="str">
        <x:v>socket=LGA1700; cores=14; threads=20; tdpWatts=181; gamingScore=86; productivityScore=88; tier=high</x:v>
      </x:c>
      <x:c r="J11" s="34" t="str">
        <x:v>LGA1700, high</x:v>
      </x:c>
      <x:c r="K11" s="34" t="str">
        <x:v>14-core LGA1700 desktop processor.</x:v>
      </x:c>
      <x:c r="L11" s="34" t="str"/>
      <x:c r="M11" s="35" t="str"/>
    </x:row>
    <x:row r="12">
      <x:c r="A12" s="33" t="str">
        <x:v>cpu</x:v>
      </x:c>
      <x:c r="B12" s="34" t="str">
        <x:v>cpu-i7-14700k</x:v>
      </x:c>
      <x:c r="C12" s="34" t="str">
        <x:v>Core i7-14700K</x:v>
      </x:c>
      <x:c r="D12" s="34" t="str">
        <x:v>Intel</x:v>
      </x:c>
      <x:c r="E12" s="85" t="n">
        <x:v>399</x:v>
      </x:c>
      <x:c r="F12" s="34" t="str">
        <x:v>USD</x:v>
      </x:c>
      <x:c r="G12" s="34" t="str">
        <x:v>reference</x:v>
      </x:c>
      <x:c r="H12" s="34" t="str">
        <x:v>baseline seed</x:v>
      </x:c>
      <x:c r="I12" s="34" t="str">
        <x:v>socket=LGA1700; cores=20; threads=28; tdpWatts=253; gamingScore=91; productivityScore=98; tier=enthusiast</x:v>
      </x:c>
      <x:c r="J12" s="34" t="str">
        <x:v>LGA1700, enthusiast</x:v>
      </x:c>
      <x:c r="K12" s="34" t="str">
        <x:v>20-core LGA1700 desktop processor.</x:v>
      </x:c>
      <x:c r="L12" s="34" t="str"/>
      <x:c r="M12" s="35" t="str"/>
    </x:row>
    <x:row r="13">
      <x:c r="A13" s="33" t="str">
        <x:v>cpu</x:v>
      </x:c>
      <x:c r="B13" s="34" t="str">
        <x:v>cpu-r7-9700x</x:v>
      </x:c>
      <x:c r="C13" s="34" t="str">
        <x:v>Ryzen 7 9700X</x:v>
      </x:c>
      <x:c r="D13" s="34" t="str">
        <x:v>AMD</x:v>
      </x:c>
      <x:c r="E13" s="85" t="n">
        <x:v>359</x:v>
      </x:c>
      <x:c r="F13" s="34" t="str">
        <x:v>USD</x:v>
      </x:c>
      <x:c r="G13" s="34" t="str">
        <x:v>msrp</x:v>
      </x:c>
      <x:c r="H13" s="34" t="str">
        <x:v>2026-06-28</x:v>
      </x:c>
      <x:c r="I13" s="34" t="str">
        <x:v>baseClockGHz=3.8; boostClockGHz=5.5; socket=AM5; cores=8; threads=16; tdpWatts=65; gamingScore=91; productivityScore=89; tier=high</x:v>
      </x:c>
      <x:c r="J13" s="34" t="str">
        <x:v>AM5, high</x:v>
      </x:c>
      <x:c r="K13" s="34" t="str">
        <x:v>8-core AM5 desktop processor.</x:v>
      </x:c>
      <x:c r="L13" s="34" t="str">
        <x:v>https://www.amd.com/en/products/processors/desktops/ryzen/9000-series/amd-ryzen-7-9700x.html</x:v>
      </x:c>
      <x:c r="M13" s="35" t="str">
        <x:v>https://www.amd.com/en/newsroom/press-releases/2024-8-7-amd-ryzen-9000-series-processors-are-ready-to-del.html</x:v>
      </x:c>
    </x:row>
    <x:row r="14">
      <x:c r="A14" s="33" t="str">
        <x:v>cpu</x:v>
      </x:c>
      <x:c r="B14" s="34" t="str">
        <x:v>cpu-r9-9900x3d</x:v>
      </x:c>
      <x:c r="C14" s="34" t="str">
        <x:v>Ryzen 9 9900X3D</x:v>
      </x:c>
      <x:c r="D14" s="34" t="str">
        <x:v>AMD</x:v>
      </x:c>
      <x:c r="E14" s="85" t="n">
        <x:v>599</x:v>
      </x:c>
      <x:c r="F14" s="34" t="str">
        <x:v>USD</x:v>
      </x:c>
      <x:c r="G14" s="34" t="str">
        <x:v>msrp</x:v>
      </x:c>
      <x:c r="H14" s="34" t="str">
        <x:v>2026-06-28</x:v>
      </x:c>
      <x:c r="I14" s="34" t="str">
        <x:v>baseClockGHz=4.4; boostClockGHz=5.5; socket=AM5; cores=12; threads=24; tdpWatts=120; gamingScore=99; productivityScore=98; tier=enthusiast</x:v>
      </x:c>
      <x:c r="J14" s="34" t="str">
        <x:v>AM5, enthusiast</x:v>
      </x:c>
      <x:c r="K14" s="34" t="str">
        <x:v>12-core AM5 desktop processor.</x:v>
      </x:c>
      <x:c r="L14" s="34" t="str">
        <x:v>https://www.amd.com/en/products/processors/desktops/ryzen/9000-series/amd-ryzen-9-9900x3d.html</x:v>
      </x:c>
      <x:c r="M14" s="35" t="str">
        <x:v>https://www.amd.com/en/products/processors/desktops/ryzen/9000-series/amd-ryzen-9-9900x3d.html</x:v>
      </x:c>
    </x:row>
    <x:row r="15">
      <x:c r="A15" s="33" t="str">
        <x:v>cpu</x:v>
      </x:c>
      <x:c r="B15" s="34" t="str">
        <x:v>cpu-r9-9950x3d</x:v>
      </x:c>
      <x:c r="C15" s="34" t="str">
        <x:v>Ryzen 9 9950X3D</x:v>
      </x:c>
      <x:c r="D15" s="34" t="str">
        <x:v>AMD</x:v>
      </x:c>
      <x:c r="E15" s="85" t="n">
        <x:v>699</x:v>
      </x:c>
      <x:c r="F15" s="34" t="str">
        <x:v>USD</x:v>
      </x:c>
      <x:c r="G15" s="34" t="str">
        <x:v>msrp</x:v>
      </x:c>
      <x:c r="H15" s="34" t="str">
        <x:v>2026-06-28</x:v>
      </x:c>
      <x:c r="I15" s="34" t="str">
        <x:v>baseClockGHz=4.3; boostClockGHz=5.7; socket=AM5; cores=16; threads=32; tdpWatts=170; gamingScore=99; productivityScore=100; tier=enthusiast</x:v>
      </x:c>
      <x:c r="J15" s="34" t="str">
        <x:v>AM5, enthusiast</x:v>
      </x:c>
      <x:c r="K15" s="34" t="str">
        <x:v>16-core AM5 desktop processor.</x:v>
      </x:c>
      <x:c r="L15" s="34" t="str">
        <x:v>https://www.amd.com/en/products/processors/desktops/ryzen/9000-series/amd-ryzen-9-9950x3d.html</x:v>
      </x:c>
      <x:c r="M15" s="35" t="str">
        <x:v>https://www.amd.com/en/products/processors/desktops/ryzen/9000-series/amd-ryzen-9-9950x3d.html</x:v>
      </x:c>
    </x:row>
    <x:row r="16">
      <x:c r="A16" s="33" t="str">
        <x:v>cpu</x:v>
      </x:c>
      <x:c r="B16" s="34" t="str">
        <x:v>cpu-r9-9950x3d2</x:v>
      </x:c>
      <x:c r="C16" s="34" t="str">
        <x:v>Ryzen 9 9950X3D2 Dual Edition</x:v>
      </x:c>
      <x:c r="D16" s="34" t="str">
        <x:v>AMD</x:v>
      </x:c>
      <x:c r="E16" s="85" t="n">
        <x:v>899</x:v>
      </x:c>
      <x:c r="F16" s="34" t="str">
        <x:v>USD</x:v>
      </x:c>
      <x:c r="G16" s="34" t="str">
        <x:v>msrp</x:v>
      </x:c>
      <x:c r="H16" s="34" t="str">
        <x:v>2026-06-28</x:v>
      </x:c>
      <x:c r="I16" s="34" t="str">
        <x:v>baseClockGHz=4.3; boostClockGHz=5.6; socket=AM5; cores=16; threads=32; tdpWatts=200; gamingScore=100; productivityScore=100; tier=enthusiast</x:v>
      </x:c>
      <x:c r="J16" s="34" t="str">
        <x:v>AM5, enthusiast</x:v>
      </x:c>
      <x:c r="K16" s="34" t="str">
        <x:v>16-core AM5 desktop processor.</x:v>
      </x:c>
      <x:c r="L16" s="34" t="str">
        <x:v>https://www.amd.com/en/newsroom/press-releases/2026-4-22-amd-launches-ryzen-9-9950x3d2-dual-edition-processor.html</x:v>
      </x:c>
      <x:c r="M16" s="35" t="str">
        <x:v>https://www.amd.com/en/newsroom/press-releases/2026-4-22-amd-launches-ryzen-9-9950x3d2-dual-edition-processor.html</x:v>
      </x:c>
    </x:row>
    <x:row r="17">
      <x:c r="A17" s="33" t="str">
        <x:v>cpu</x:v>
      </x:c>
      <x:c r="B17" s="34" t="str">
        <x:v>cpu-ultra5-245k</x:v>
      </x:c>
      <x:c r="C17" s="34" t="str">
        <x:v>Core Ultra 5 245K</x:v>
      </x:c>
      <x:c r="D17" s="34" t="str">
        <x:v>Intel</x:v>
      </x:c>
      <x:c r="E17" s="85" t="n">
        <x:v>309</x:v>
      </x:c>
      <x:c r="F17" s="34" t="str">
        <x:v>USD</x:v>
      </x:c>
      <x:c r="G17" s="34" t="str">
        <x:v>msrp</x:v>
      </x:c>
      <x:c r="H17" s="34" t="str">
        <x:v>2026-06-28</x:v>
      </x:c>
      <x:c r="I17" s="34" t="str">
        <x:v>baseClockGHz=4.2; boostClockGHz=5.2; socket=LGA1851; cores=14; threads=14; tdpWatts=159; gamingScore=84; productivityScore=88; tier=high</x:v>
      </x:c>
      <x:c r="J17" s="34" t="str">
        <x:v>LGA1851, high</x:v>
      </x:c>
      <x:c r="K17" s="34" t="str">
        <x:v>14-core LGA1851 desktop processor.</x:v>
      </x:c>
      <x:c r="L17" s="34" t="str">
        <x:v>https://www.intel.com/content/www/us/en/products/sku/241067/intel-core-ultra-5-processor-245k-24m-cache-up-to-5-20-ghz/specifications.html</x:v>
      </x:c>
      <x:c r="M17" s="35" t="str">
        <x:v>https://www.intel.com/content/www/us/en/products/sku/241067/intel-core-ultra-5-processor-245k-24m-cache-up-to-5-20-ghz/specifications.html</x:v>
      </x:c>
    </x:row>
    <x:row r="18">
      <x:c r="A18" s="33" t="str">
        <x:v>cpu</x:v>
      </x:c>
      <x:c r="B18" s="34" t="str">
        <x:v>cpu-ultra7-265k</x:v>
      </x:c>
      <x:c r="C18" s="34" t="str">
        <x:v>Core Ultra 7 265K</x:v>
      </x:c>
      <x:c r="D18" s="34" t="str">
        <x:v>Intel</x:v>
      </x:c>
      <x:c r="E18" s="85" t="n">
        <x:v>404</x:v>
      </x:c>
      <x:c r="F18" s="34" t="str">
        <x:v>USD</x:v>
      </x:c>
      <x:c r="G18" s="34" t="str">
        <x:v>msrp</x:v>
      </x:c>
      <x:c r="H18" s="34" t="str">
        <x:v>2026-06-28</x:v>
      </x:c>
      <x:c r="I18" s="34" t="str">
        <x:v>baseClockGHz=3.9; boostClockGHz=5.5; socket=LGA1851; cores=20; threads=20; tdpWatts=250; gamingScore=89; productivityScore=97; tier=enthusiast</x:v>
      </x:c>
      <x:c r="J18" s="34" t="str">
        <x:v>LGA1851, enthusiast</x:v>
      </x:c>
      <x:c r="K18" s="34" t="str">
        <x:v>20-core LGA1851 desktop processor.</x:v>
      </x:c>
      <x:c r="L18" s="34" t="str">
        <x:v>https://www.intel.com/content/www/us/en/products/sku/241063/intel-core-ultra-7-processor-265k-30m-cache-up-to-5-50-ghz/specifications.html</x:v>
      </x:c>
      <x:c r="M18" s="35" t="str">
        <x:v>https://www.intel.com/content/www/us/en/products/sku/241063/intel-core-ultra-7-processor-265k-30m-cache-up-to-5-50-ghz/specifications.html</x:v>
      </x:c>
    </x:row>
    <x:row r="19">
      <x:c r="A19" s="33" t="str">
        <x:v>cpu</x:v>
      </x:c>
      <x:c r="B19" s="34" t="str">
        <x:v>cpu-ultra9-285k</x:v>
      </x:c>
      <x:c r="C19" s="34" t="str">
        <x:v>Core Ultra 9 285K</x:v>
      </x:c>
      <x:c r="D19" s="34" t="str">
        <x:v>Intel</x:v>
      </x:c>
      <x:c r="E19" s="85" t="n">
        <x:v>589</x:v>
      </x:c>
      <x:c r="F19" s="34" t="str">
        <x:v>USD</x:v>
      </x:c>
      <x:c r="G19" s="34" t="str">
        <x:v>msrp</x:v>
      </x:c>
      <x:c r="H19" s="34" t="str">
        <x:v>2026-06-28</x:v>
      </x:c>
      <x:c r="I19" s="34" t="str">
        <x:v>baseClockGHz=3.7; boostClockGHz=5.7; socket=LGA1851; cores=24; threads=24; tdpWatts=250; gamingScore=91; productivityScore=100; tier=enthusiast</x:v>
      </x:c>
      <x:c r="J19" s="34" t="str">
        <x:v>LGA1851, enthusiast</x:v>
      </x:c>
      <x:c r="K19" s="34" t="str">
        <x:v>24-core LGA1851 desktop processor.</x:v>
      </x:c>
      <x:c r="L19" s="34" t="str">
        <x:v>https://www.intel.com/content/www/us/en/products/sku/241060/intel-core-ultra-9-processor-285k-36m-cache-up-to-5-70-ghz/specifications.html</x:v>
      </x:c>
      <x:c r="M19" s="35" t="str">
        <x:v>https://www.intel.com/content/www/us/en/products/sku/241060/intel-core-ultra-9-processor-285k-36m-cache-up-to-5-70-ghz/specifications.html</x:v>
      </x:c>
    </x:row>
    <x:row r="20">
      <x:c r="A20" s="33" t="str">
        <x:v>gpu</x:v>
      </x:c>
      <x:c r="B20" s="34" t="str">
        <x:v>gpu-4060</x:v>
      </x:c>
      <x:c r="C20" s="34" t="str">
        <x:v>GeForce RTX 4060</x:v>
      </x:c>
      <x:c r="D20" s="34" t="str">
        <x:v>NVIDIA</x:v>
      </x:c>
      <x:c r="E20" s="85" t="n">
        <x:v>299</x:v>
      </x:c>
      <x:c r="F20" s="34" t="str">
        <x:v>USD</x:v>
      </x:c>
      <x:c r="G20" s="34" t="str">
        <x:v>reference</x:v>
      </x:c>
      <x:c r="H20" s="34" t="str">
        <x:v>baseline seed</x:v>
      </x:c>
      <x:c r="I20" s="34" t="str">
        <x:v>chipset=RTX 4060; vramGb=8; tdpWatts=115; lengthMm=244; gamingScore1080p=72; gamingScore1440p=58; gamingScore4k=39; aiScore=55; cuda=true</x:v>
      </x:c>
      <x:c r="J20" s="34" t="str">
        <x:v>8GB, CUDA</x:v>
      </x:c>
      <x:c r="K20" s="34" t="str">
        <x:v>8GB graphics card for modern GPU workloads.</x:v>
      </x:c>
      <x:c r="L20" s="34" t="str"/>
      <x:c r="M20" s="35" t="str"/>
    </x:row>
    <x:row r="21">
      <x:c r="A21" s="33" t="str">
        <x:v>gpu</x:v>
      </x:c>
      <x:c r="B21" s="34" t="str">
        <x:v>gpu-4060ti-16</x:v>
      </x:c>
      <x:c r="C21" s="34" t="str">
        <x:v>GeForce RTX 4060 Ti 16GB</x:v>
      </x:c>
      <x:c r="D21" s="34" t="str">
        <x:v>NVIDIA</x:v>
      </x:c>
      <x:c r="E21" s="85" t="n">
        <x:v>449</x:v>
      </x:c>
      <x:c r="F21" s="34" t="str">
        <x:v>USD</x:v>
      </x:c>
      <x:c r="G21" s="34" t="str">
        <x:v>reference</x:v>
      </x:c>
      <x:c r="H21" s="34" t="str">
        <x:v>baseline seed</x:v>
      </x:c>
      <x:c r="I21" s="34" t="str">
        <x:v>chipset=RTX 4060 Ti; vramGb=16; tdpWatts=165; lengthMm=250; gamingScore1080p=81; gamingScore1440p=70; gamingScore4k=52; aiScore=75; cuda=true</x:v>
      </x:c>
      <x:c r="J21" s="34" t="str">
        <x:v>16GB, CUDA</x:v>
      </x:c>
      <x:c r="K21" s="34" t="str">
        <x:v>16GB graphics card for modern GPU workloads.</x:v>
      </x:c>
      <x:c r="L21" s="34" t="str"/>
      <x:c r="M21" s="35" t="str"/>
    </x:row>
    <x:row r="22">
      <x:c r="A22" s="33" t="str">
        <x:v>gpu</x:v>
      </x:c>
      <x:c r="B22" s="34" t="str">
        <x:v>gpu-4070s</x:v>
      </x:c>
      <x:c r="C22" s="34" t="str">
        <x:v>GeForce RTX 4070 Super</x:v>
      </x:c>
      <x:c r="D22" s="34" t="str">
        <x:v>NVIDIA</x:v>
      </x:c>
      <x:c r="E22" s="85" t="n">
        <x:v>599</x:v>
      </x:c>
      <x:c r="F22" s="34" t="str">
        <x:v>USD</x:v>
      </x:c>
      <x:c r="G22" s="34" t="str">
        <x:v>reference</x:v>
      </x:c>
      <x:c r="H22" s="34" t="str">
        <x:v>baseline seed</x:v>
      </x:c>
      <x:c r="I22" s="34" t="str">
        <x:v>chipset=RTX 4070 Super; vramGb=12; tdpWatts=220; lengthMm=267; gamingScore1080p=92; gamingScore1440p=87; gamingScore4k=70; aiScore=78; cuda=true</x:v>
      </x:c>
      <x:c r="J22" s="34" t="str">
        <x:v>12GB, CUDA</x:v>
      </x:c>
      <x:c r="K22" s="34" t="str">
        <x:v>12GB graphics card for modern GPU workloads.</x:v>
      </x:c>
      <x:c r="L22" s="34" t="str"/>
      <x:c r="M22" s="35" t="str"/>
    </x:row>
    <x:row r="23">
      <x:c r="A23" s="33" t="str">
        <x:v>gpu</x:v>
      </x:c>
      <x:c r="B23" s="34" t="str">
        <x:v>gpu-4070tis</x:v>
      </x:c>
      <x:c r="C23" s="34" t="str">
        <x:v>GeForce RTX 4070 Ti Super</x:v>
      </x:c>
      <x:c r="D23" s="34" t="str">
        <x:v>NVIDIA</x:v>
      </x:c>
      <x:c r="E23" s="85" t="n">
        <x:v>799</x:v>
      </x:c>
      <x:c r="F23" s="34" t="str">
        <x:v>USD</x:v>
      </x:c>
      <x:c r="G23" s="34" t="str">
        <x:v>reference</x:v>
      </x:c>
      <x:c r="H23" s="34" t="str">
        <x:v>baseline seed</x:v>
      </x:c>
      <x:c r="I23" s="34" t="str">
        <x:v>chipset=RTX 4070 Ti Super; vramGb=16; tdpWatts=285; lengthMm=285; gamingScore1080p=97; gamingScore1440p=94; gamingScore4k=84; aiScore=87; cuda=true</x:v>
      </x:c>
      <x:c r="J23" s="34" t="str">
        <x:v>16GB, CUDA</x:v>
      </x:c>
      <x:c r="K23" s="34" t="str">
        <x:v>16GB graphics card for modern GPU workloads.</x:v>
      </x:c>
      <x:c r="L23" s="34" t="str"/>
      <x:c r="M23" s="35" t="str"/>
    </x:row>
    <x:row r="24">
      <x:c r="A24" s="33" t="str">
        <x:v>gpu</x:v>
      </x:c>
      <x:c r="B24" s="34" t="str">
        <x:v>gpu-4080s</x:v>
      </x:c>
      <x:c r="C24" s="34" t="str">
        <x:v>GeForce RTX 4080 Super</x:v>
      </x:c>
      <x:c r="D24" s="34" t="str">
        <x:v>NVIDIA</x:v>
      </x:c>
      <x:c r="E24" s="85" t="n">
        <x:v>999</x:v>
      </x:c>
      <x:c r="F24" s="34" t="str">
        <x:v>USD</x:v>
      </x:c>
      <x:c r="G24" s="34" t="str">
        <x:v>reference</x:v>
      </x:c>
      <x:c r="H24" s="34" t="str">
        <x:v>baseline seed</x:v>
      </x:c>
      <x:c r="I24" s="34" t="str">
        <x:v>chipset=RTX 4080 Super; vramGb=16; tdpWatts=320; lengthMm=310; gamingScore1080p=100; gamingScore1440p=100; gamingScore4k=95; aiScore=92; cuda=true</x:v>
      </x:c>
      <x:c r="J24" s="34" t="str">
        <x:v>16GB, CUDA</x:v>
      </x:c>
      <x:c r="K24" s="34" t="str">
        <x:v>16GB graphics card for modern GPU workloads.</x:v>
      </x:c>
      <x:c r="L24" s="34" t="str"/>
      <x:c r="M24" s="35" t="str"/>
    </x:row>
    <x:row r="25">
      <x:c r="A25" s="33" t="str">
        <x:v>gpu</x:v>
      </x:c>
      <x:c r="B25" s="34" t="str">
        <x:v>gpu-4090</x:v>
      </x:c>
      <x:c r="C25" s="34" t="str">
        <x:v>GeForce RTX 4090</x:v>
      </x:c>
      <x:c r="D25" s="34" t="str">
        <x:v>NVIDIA</x:v>
      </x:c>
      <x:c r="E25" s="85" t="n">
        <x:v>1799</x:v>
      </x:c>
      <x:c r="F25" s="34" t="str">
        <x:v>USD</x:v>
      </x:c>
      <x:c r="G25" s="34" t="str">
        <x:v>reference</x:v>
      </x:c>
      <x:c r="H25" s="34" t="str">
        <x:v>baseline seed</x:v>
      </x:c>
      <x:c r="I25" s="34" t="str">
        <x:v>chipset=RTX 4090; vramGb=24; tdpWatts=450; lengthMm=336; gamingScore1080p=100; gamingScore1440p=100; gamingScore4k=100; aiScore=100; cuda=true</x:v>
      </x:c>
      <x:c r="J25" s="34" t="str">
        <x:v>24GB, CUDA</x:v>
      </x:c>
      <x:c r="K25" s="34" t="str">
        <x:v>24GB graphics card for modern GPU workloads.</x:v>
      </x:c>
      <x:c r="L25" s="34" t="str"/>
      <x:c r="M25" s="35" t="str"/>
    </x:row>
    <x:row r="26">
      <x:c r="A26" s="33" t="str">
        <x:v>gpu</x:v>
      </x:c>
      <x:c r="B26" s="34" t="str">
        <x:v>gpu-4090-aero-white</x:v>
      </x:c>
      <x:c r="C26" s="34" t="str">
        <x:v>Gigabyte AERO OC GeForce RTX 4090</x:v>
      </x:c>
      <x:c r="D26" s="34" t="str">
        <x:v>NVIDIA</x:v>
      </x:c>
      <x:c r="E26" s="85" t="n">
        <x:v>1899</x:v>
      </x:c>
      <x:c r="F26" s="34" t="str">
        <x:v>USD</x:v>
      </x:c>
      <x:c r="G26" s="34" t="str">
        <x:v>reference</x:v>
      </x:c>
      <x:c r="H26" s="34" t="str">
        <x:v>baseline seed</x:v>
      </x:c>
      <x:c r="I26" s="34" t="str">
        <x:v>chipset=RTX 4090; vramGb=24; tdpWatts=450; lengthMm=340; gamingScore1080p=100; gamingScore1440p=100; gamingScore4k=100; aiScore=100; cuda=true</x:v>
      </x:c>
      <x:c r="J26" s="34" t="str">
        <x:v>24GB, CUDA, white, rgb</x:v>
      </x:c>
      <x:c r="K26" s="34" t="str">
        <x:v>24GB graphics card for modern GPU workloads.</x:v>
      </x:c>
      <x:c r="L26" s="34" t="str"/>
      <x:c r="M26" s="35" t="str"/>
    </x:row>
    <x:row r="27">
      <x:c r="A27" s="33" t="str">
        <x:v>gpu</x:v>
      </x:c>
      <x:c r="B27" s="34" t="str">
        <x:v>gpu-5090</x:v>
      </x:c>
      <x:c r="C27" s="34" t="str">
        <x:v>GeForce RTX 5090 Founders Edition</x:v>
      </x:c>
      <x:c r="D27" s="34" t="str">
        <x:v>NVIDIA</x:v>
      </x:c>
      <x:c r="E27" s="85" t="n">
        <x:v>1999</x:v>
      </x:c>
      <x:c r="F27" s="34" t="str">
        <x:v>USD</x:v>
      </x:c>
      <x:c r="G27" s="34" t="str">
        <x:v>msrp</x:v>
      </x:c>
      <x:c r="H27" s="34" t="str">
        <x:v>2026-06-28</x:v>
      </x:c>
      <x:c r="I27" s="34" t="str">
        <x:v>chipset=RTX 5090; vramGb=32; tdpWatts=575; lengthMm=304; gamingScore1080p=100; gamingScore1440p=100; gamingScore4k=100; aiScore=100; cuda=true</x:v>
      </x:c>
      <x:c r="J27" s="34" t="str">
        <x:v>32GB, CUDA, blackwell</x:v>
      </x:c>
      <x:c r="K27" s="34" t="str">
        <x:v>32GB graphics card for modern GPU workloads.</x:v>
      </x:c>
      <x:c r="L27" s="34" t="str">
        <x:v>https://www.nvidia.com/en-us/geforce/graphics-cards/50-series/rtx-5090/</x:v>
      </x:c>
      <x:c r="M27" s="35" t="str">
        <x:v>https://www.nvidia.com/en-us/geforce/graphics-cards/50-series/rtx-5090/</x:v>
      </x:c>
    </x:row>
    <x:row r="28">
      <x:c r="A28" s="33" t="str">
        <x:v>gpu</x:v>
      </x:c>
      <x:c r="B28" s="34" t="str">
        <x:v>gpu-7800xt</x:v>
      </x:c>
      <x:c r="C28" s="34" t="str">
        <x:v>Radeon RX 7800 XT</x:v>
      </x:c>
      <x:c r="D28" s="34" t="str">
        <x:v>AMD</x:v>
      </x:c>
      <x:c r="E28" s="85" t="n">
        <x:v>499</x:v>
      </x:c>
      <x:c r="F28" s="34" t="str">
        <x:v>USD</x:v>
      </x:c>
      <x:c r="G28" s="34" t="str">
        <x:v>reference</x:v>
      </x:c>
      <x:c r="H28" s="34" t="str">
        <x:v>baseline seed</x:v>
      </x:c>
      <x:c r="I28" s="34" t="str">
        <x:v>chipset=RX 7800 XT; vramGb=16; tdpWatts=263; lengthMm=267; gamingScore1080p=93; gamingScore1440p=86; gamingScore4k=69; aiScore=60; cuda=false</x:v>
      </x:c>
      <x:c r="J28" s="34" t="str">
        <x:v>16GB, raster</x:v>
      </x:c>
      <x:c r="K28" s="34" t="str">
        <x:v>16GB graphics card for modern GPU workloads.</x:v>
      </x:c>
      <x:c r="L28" s="34" t="str"/>
      <x:c r="M28" s="35" t="str"/>
    </x:row>
    <x:row r="29">
      <x:c r="A29" s="33" t="str">
        <x:v>gpu</x:v>
      </x:c>
      <x:c r="B29" s="34" t="str">
        <x:v>gpu-7900xt</x:v>
      </x:c>
      <x:c r="C29" s="34" t="str">
        <x:v>Radeon RX 7900 XT</x:v>
      </x:c>
      <x:c r="D29" s="34" t="str">
        <x:v>AMD</x:v>
      </x:c>
      <x:c r="E29" s="85" t="n">
        <x:v>699</x:v>
      </x:c>
      <x:c r="F29" s="34" t="str">
        <x:v>USD</x:v>
      </x:c>
      <x:c r="G29" s="34" t="str">
        <x:v>reference</x:v>
      </x:c>
      <x:c r="H29" s="34" t="str">
        <x:v>baseline seed</x:v>
      </x:c>
      <x:c r="I29" s="34" t="str">
        <x:v>chipset=RX 7900 XT; vramGb=20; tdpWatts=315; lengthMm=276; gamingScore1080p=98; gamingScore1440p=95; gamingScore4k=88; aiScore=68; cuda=false</x:v>
      </x:c>
      <x:c r="J29" s="34" t="str">
        <x:v>20GB, raster</x:v>
      </x:c>
      <x:c r="K29" s="34" t="str">
        <x:v>20GB graphics card for modern GPU workloads.</x:v>
      </x:c>
      <x:c r="L29" s="34" t="str"/>
      <x:c r="M29" s="35" t="str"/>
    </x:row>
    <x:row r="30">
      <x:c r="A30" s="33" t="str">
        <x:v>gpu</x:v>
      </x:c>
      <x:c r="B30" s="34" t="str">
        <x:v>gpu-7900xtx</x:v>
      </x:c>
      <x:c r="C30" s="34" t="str">
        <x:v>Radeon RX 7900 XTX</x:v>
      </x:c>
      <x:c r="D30" s="34" t="str">
        <x:v>AMD</x:v>
      </x:c>
      <x:c r="E30" s="85" t="n">
        <x:v>899</x:v>
      </x:c>
      <x:c r="F30" s="34" t="str">
        <x:v>USD</x:v>
      </x:c>
      <x:c r="G30" s="34" t="str">
        <x:v>reference</x:v>
      </x:c>
      <x:c r="H30" s="34" t="str">
        <x:v>baseline seed</x:v>
      </x:c>
      <x:c r="I30" s="34" t="str">
        <x:v>chipset=RX 7900 XTX; vramGb=24; tdpWatts=355; lengthMm=287; gamingScore1080p=100; gamingScore1440p=99; gamingScore4k=94; aiScore=73; cuda=false</x:v>
      </x:c>
      <x:c r="J30" s="34" t="str">
        <x:v>24GB, raster</x:v>
      </x:c>
      <x:c r="K30" s="34" t="str">
        <x:v>24GB graphics card for modern GPU workloads.</x:v>
      </x:c>
      <x:c r="L30" s="34" t="str"/>
      <x:c r="M30" s="35" t="str"/>
    </x:row>
    <x:row r="31">
      <x:c r="A31" s="33" t="str">
        <x:v>gpu</x:v>
      </x:c>
      <x:c r="B31" s="34" t="str">
        <x:v>gpu-5080</x:v>
      </x:c>
      <x:c r="C31" s="34" t="str">
        <x:v>GeForce RTX 5080 Founders Edition</x:v>
      </x:c>
      <x:c r="D31" s="34" t="str">
        <x:v>NVIDIA</x:v>
      </x:c>
      <x:c r="E31" s="85" t="n">
        <x:v>999</x:v>
      </x:c>
      <x:c r="F31" s="34" t="str">
        <x:v>USD</x:v>
      </x:c>
      <x:c r="G31" s="34" t="str">
        <x:v>msrp</x:v>
      </x:c>
      <x:c r="H31" s="34" t="str">
        <x:v>2026-06-28</x:v>
      </x:c>
      <x:c r="I31" s="34" t="str">
        <x:v>chipset=RTX 5080; vramGb=16; tdpWatts=360; lengthMm=304; gamingScore1080p=100; gamingScore1440p=100; gamingScore4k=97; aiScore=96; cuda=true</x:v>
      </x:c>
      <x:c r="J31" s="34" t="str">
        <x:v>16GB, CUDA, blackwell, 4k</x:v>
      </x:c>
      <x:c r="K31" s="34" t="str">
        <x:v>16GB graphics card for modern GPU workloads.</x:v>
      </x:c>
      <x:c r="L31" s="34" t="str">
        <x:v>https://www.nvidia.com/en-us/geforce/graphics-cards/50-series/rtx-5080/</x:v>
      </x:c>
      <x:c r="M31" s="35" t="str">
        <x:v>https://www.nvidia.com/en-us/geforce/graphics-cards/50-series/rtx-5080/</x:v>
      </x:c>
    </x:row>
    <x:row r="32">
      <x:c r="A32" s="33" t="str">
        <x:v>gpu</x:v>
      </x:c>
      <x:c r="B32" s="34" t="str">
        <x:v>gpu-5070ti</x:v>
      </x:c>
      <x:c r="C32" s="34" t="str">
        <x:v>GeForce RTX 5070 Ti 16GB</x:v>
      </x:c>
      <x:c r="D32" s="34" t="str">
        <x:v>NVIDIA</x:v>
      </x:c>
      <x:c r="E32" s="85" t="n">
        <x:v>749</x:v>
      </x:c>
      <x:c r="F32" s="34" t="str">
        <x:v>USD</x:v>
      </x:c>
      <x:c r="G32" s="34" t="str">
        <x:v>msrp</x:v>
      </x:c>
      <x:c r="H32" s="34" t="str">
        <x:v>2026-06-28</x:v>
      </x:c>
      <x:c r="I32" s="34" t="str">
        <x:v>chipset=RTX 5070 Ti; vramGb=16; tdpWatts=300; lengthMm=320; gamingScore1080p=98; gamingScore1440p=96; gamingScore4k=88; aiScore=91; cuda=true</x:v>
      </x:c>
      <x:c r="J32" s="34" t="str">
        <x:v>16GB, CUDA, blackwell, 1440p, 4k</x:v>
      </x:c>
      <x:c r="K32" s="34" t="str">
        <x:v>16GB graphics card for modern GPU workloads.</x:v>
      </x:c>
      <x:c r="L32" s="34" t="str">
        <x:v>https://www.nvidia.com/en-us/geforce/graphics-cards/50-series/rtx-5070-family/</x:v>
      </x:c>
      <x:c r="M32" s="35" t="str">
        <x:v>https://www.nvidia.com/en-us/geforce/graphics-cards/50-series/rtx-5070-family/</x:v>
      </x:c>
    </x:row>
    <x:row r="33">
      <x:c r="A33" s="33" t="str">
        <x:v>gpu</x:v>
      </x:c>
      <x:c r="B33" s="34" t="str">
        <x:v>gpu-5070</x:v>
      </x:c>
      <x:c r="C33" s="34" t="str">
        <x:v>GeForce RTX 5070 Founders Edition</x:v>
      </x:c>
      <x:c r="D33" s="34" t="str">
        <x:v>NVIDIA</x:v>
      </x:c>
      <x:c r="E33" s="85" t="n">
        <x:v>549</x:v>
      </x:c>
      <x:c r="F33" s="34" t="str">
        <x:v>USD</x:v>
      </x:c>
      <x:c r="G33" s="34" t="str">
        <x:v>msrp</x:v>
      </x:c>
      <x:c r="H33" s="34" t="str">
        <x:v>2026-06-28</x:v>
      </x:c>
      <x:c r="I33" s="34" t="str">
        <x:v>chipset=RTX 5070; vramGb=12; tdpWatts=250; lengthMm=242; gamingScore1080p=96; gamingScore1440p=91; gamingScore4k=78; aiScore=84; cuda=true</x:v>
      </x:c>
      <x:c r="J33" s="34" t="str">
        <x:v>12GB, CUDA, blackwell, 1440p</x:v>
      </x:c>
      <x:c r="K33" s="34" t="str">
        <x:v>12GB graphics card for modern GPU workloads.</x:v>
      </x:c>
      <x:c r="L33" s="34" t="str">
        <x:v>https://www.nvidia.com/en-us/geforce/graphics-cards/50-series/rtx-5070-family/</x:v>
      </x:c>
      <x:c r="M33" s="35" t="str">
        <x:v>https://www.nvidia.com/en-us/geforce/graphics-cards/50-series/rtx-5070-family/</x:v>
      </x:c>
    </x:row>
    <x:row r="34">
      <x:c r="A34" s="33" t="str">
        <x:v>gpu</x:v>
      </x:c>
      <x:c r="B34" s="34" t="str">
        <x:v>gpu-5060ti-16</x:v>
      </x:c>
      <x:c r="C34" s="34" t="str">
        <x:v>GeForce RTX 5060 Ti 16GB</x:v>
      </x:c>
      <x:c r="D34" s="34" t="str">
        <x:v>NVIDIA</x:v>
      </x:c>
      <x:c r="E34" s="85" t="n">
        <x:v>429</x:v>
      </x:c>
      <x:c r="F34" s="34" t="str">
        <x:v>USD</x:v>
      </x:c>
      <x:c r="G34" s="34" t="str">
        <x:v>reference</x:v>
      </x:c>
      <x:c r="H34" s="34" t="str">
        <x:v>2026-06-28</x:v>
      </x:c>
      <x:c r="I34" s="34" t="str">
        <x:v>chipset=RTX 5060 Ti; vramGb=16; tdpWatts=180; lengthMm=300; gamingScore1080p=90; gamingScore1440p=82; gamingScore4k=63; aiScore=82; cuda=true</x:v>
      </x:c>
      <x:c r="J34" s="34" t="str">
        <x:v>16GB, CUDA, blackwell, value</x:v>
      </x:c>
      <x:c r="K34" s="34" t="str">
        <x:v>16GB graphics card for modern GPU workloads.</x:v>
      </x:c>
      <x:c r="L34" s="34" t="str">
        <x:v>https://www.nvidia.com/en-us/geforce/graphics-cards/50-series/rtx-5060-family/</x:v>
      </x:c>
      <x:c r="M34" s="35" t="str">
        <x:v>https://www.nvidia.com/en-us/geforce/graphics-cards/50-series/rtx-5060-family/</x:v>
      </x:c>
    </x:row>
    <x:row r="35">
      <x:c r="A35" s="33" t="str">
        <x:v>gpu</x:v>
      </x:c>
      <x:c r="B35" s="34" t="str">
        <x:v>gpu-9070xt</x:v>
      </x:c>
      <x:c r="C35" s="34" t="str">
        <x:v>Radeon RX 9070 XT</x:v>
      </x:c>
      <x:c r="D35" s="34" t="str">
        <x:v>AMD</x:v>
      </x:c>
      <x:c r="E35" s="85" t="n">
        <x:v>599</x:v>
      </x:c>
      <x:c r="F35" s="34" t="str">
        <x:v>USD</x:v>
      </x:c>
      <x:c r="G35" s="34" t="str">
        <x:v>msrp</x:v>
      </x:c>
      <x:c r="H35" s="34" t="str">
        <x:v>2026-06-28</x:v>
      </x:c>
      <x:c r="I35" s="34" t="str">
        <x:v>chipset=RX 9070 XT; vramGb=16; tdpWatts=304; lengthMm=320; gamingScore1080p=99; gamingScore1440p=97; gamingScore4k=91; aiScore=78; cuda=false</x:v>
      </x:c>
      <x:c r="J35" s="34" t="str">
        <x:v>16GB, raster, rdna4, 4k</x:v>
      </x:c>
      <x:c r="K35" s="34" t="str">
        <x:v>16GB graphics card for modern GPU workloads.</x:v>
      </x:c>
      <x:c r="L35" s="34" t="str">
        <x:v>https://www.amd.com/en/products/graphics/desktops/radeon/9000-series/amd-radeon-rx-9070xt.html</x:v>
      </x:c>
      <x:c r="M35" s="35" t="str">
        <x:v>https://www.amd.com/en/newsroom/press-releases/2025-2-28-amd-unveils-next-generation-amd-rdna-4-architectu.html</x:v>
      </x:c>
    </x:row>
    <x:row r="36">
      <x:c r="A36" s="33" t="str">
        <x:v>gpu</x:v>
      </x:c>
      <x:c r="B36" s="34" t="str">
        <x:v>gpu-9070</x:v>
      </x:c>
      <x:c r="C36" s="34" t="str">
        <x:v>Radeon RX 9070</x:v>
      </x:c>
      <x:c r="D36" s="34" t="str">
        <x:v>AMD</x:v>
      </x:c>
      <x:c r="E36" s="85" t="n">
        <x:v>549</x:v>
      </x:c>
      <x:c r="F36" s="34" t="str">
        <x:v>USD</x:v>
      </x:c>
      <x:c r="G36" s="34" t="str">
        <x:v>msrp</x:v>
      </x:c>
      <x:c r="H36" s="34" t="str">
        <x:v>2026-06-28</x:v>
      </x:c>
      <x:c r="I36" s="34" t="str">
        <x:v>chipset=RX 9070; vramGb=16; tdpWatts=220; lengthMm=300; gamingScore1080p=97; gamingScore1440p=94; gamingScore4k=84; aiScore=74; cuda=false</x:v>
      </x:c>
      <x:c r="J36" s="34" t="str">
        <x:v>16GB, raster, rdna4, 1440p</x:v>
      </x:c>
      <x:c r="K36" s="34" t="str">
        <x:v>16GB graphics card for modern GPU workloads.</x:v>
      </x:c>
      <x:c r="L36" s="34" t="str">
        <x:v>https://www.amd.com/en/products/graphics/desktops/radeon.html</x:v>
      </x:c>
      <x:c r="M36" s="35" t="str">
        <x:v>https://www.amd.com/en/newsroom/press-releases/2025-2-28-amd-unveils-next-generation-amd-rdna-4-architectu.html</x:v>
      </x:c>
    </x:row>
    <x:row r="37">
      <x:c r="A37" s="33" t="str">
        <x:v>gpu</x:v>
      </x:c>
      <x:c r="B37" s="34" t="str">
        <x:v>gpu-9060xt-16</x:v>
      </x:c>
      <x:c r="C37" s="34" t="str">
        <x:v>Radeon RX 9060 XT 16GB</x:v>
      </x:c>
      <x:c r="D37" s="34" t="str">
        <x:v>AMD</x:v>
      </x:c>
      <x:c r="E37" s="85" t="n">
        <x:v>349</x:v>
      </x:c>
      <x:c r="F37" s="34" t="str">
        <x:v>USD</x:v>
      </x:c>
      <x:c r="G37" s="34" t="str">
        <x:v>msrp</x:v>
      </x:c>
      <x:c r="H37" s="34" t="str">
        <x:v>2026-06-28</x:v>
      </x:c>
      <x:c r="I37" s="34" t="str">
        <x:v>chipset=RX 9060 XT; vramGb=16; tdpWatts=160; lengthMm=280; gamingScore1080p=89; gamingScore1440p=80; gamingScore4k=60; aiScore=68; cuda=false</x:v>
      </x:c>
      <x:c r="J37" s="34" t="str">
        <x:v>16GB, raster, rdna4, value</x:v>
      </x:c>
      <x:c r="K37" s="34" t="str">
        <x:v>16GB graphics card for modern GPU workloads.</x:v>
      </x:c>
      <x:c r="L37" s="34" t="str">
        <x:v>https://www.amd.com/en/products/graphics/desktops/radeon.html</x:v>
      </x:c>
      <x:c r="M37" s="35" t="str">
        <x:v>https://www.amd.com/en/newsroom/press-releases/2025-5-20-amd-introduces-new-radeon-graphics-cards-and-ryzen.html</x:v>
      </x:c>
    </x:row>
    <x:row r="38">
      <x:c r="A38" s="33" t="str">
        <x:v>gpu</x:v>
      </x:c>
      <x:c r="B38" s="34" t="str">
        <x:v>gpu-arc-b580</x:v>
      </x:c>
      <x:c r="C38" s="34" t="str">
        <x:v>Intel Arc B580 Limited Edition</x:v>
      </x:c>
      <x:c r="D38" s="34" t="str">
        <x:v>Intel</x:v>
      </x:c>
      <x:c r="E38" s="85" t="n">
        <x:v>249</x:v>
      </x:c>
      <x:c r="F38" s="34" t="str">
        <x:v>USD</x:v>
      </x:c>
      <x:c r="G38" s="34" t="str">
        <x:v>msrp</x:v>
      </x:c>
      <x:c r="H38" s="34" t="str">
        <x:v>2026-06-28</x:v>
      </x:c>
      <x:c r="I38" s="34" t="str">
        <x:v>chipset=Arc B580; vramGb=12; tdpWatts=190; lengthMm=272; gamingScore1080p=86; gamingScore1440p=76; gamingScore4k=55; aiScore=63; cuda=false</x:v>
      </x:c>
      <x:c r="J38" s="34" t="str">
        <x:v>12GB, raster, xe2, value, av1</x:v>
      </x:c>
      <x:c r="K38" s="34" t="str">
        <x:v>12GB graphics card for modern GPU workloads.</x:v>
      </x:c>
      <x:c r="L38" s="34" t="str">
        <x:v>https://www.intel.com/content/www/us/en/products/sku/241598/intel-arc-b580-graphics/specifications.html</x:v>
      </x:c>
      <x:c r="M38" s="35" t="str">
        <x:v>https://www.intel.com/content/www/us/en/products/sku/241598/intel-arc-b580-graphics/ordering.html</x:v>
      </x:c>
    </x:row>
    <x:row r="39">
      <x:c r="A39" s="33" t="str">
        <x:v>motherboard</x:v>
      </x:c>
      <x:c r="B39" s="34" t="str">
        <x:v>mb-b650-atx</x:v>
      </x:c>
      <x:c r="C39" s="34" t="str">
        <x:v>MSI B650 Tomahawk WiFi</x:v>
      </x:c>
      <x:c r="D39" s="34" t="str">
        <x:v>MSI</x:v>
      </x:c>
      <x:c r="E39" s="85" t="n">
        <x:v>199</x:v>
      </x:c>
      <x:c r="F39" s="34" t="str">
        <x:v>USD</x:v>
      </x:c>
      <x:c r="G39" s="34" t="str">
        <x:v>reference</x:v>
      </x:c>
      <x:c r="H39" s="34" t="str">
        <x:v>baseline seed</x:v>
      </x:c>
      <x:c r="I39" s="34" t="str">
        <x:v>socket=AM5; chipset=B650; formFactor=ATX; memoryType=DDR5; maxMemoryGb=192; m2Slots=3; storageInterfaces=NVMe/SATA; cpuTiers=entry/mid/high</x:v>
      </x:c>
      <x:c r="J39" s="34" t="str">
        <x:v>AM5, B650, ATX</x:v>
      </x:c>
      <x:c r="K39" s="34" t="str">
        <x:v>ATX B650 board with 3 M.2 slots.</x:v>
      </x:c>
      <x:c r="L39" s="34" t="str"/>
      <x:c r="M39" s="35" t="str"/>
    </x:row>
    <x:row r="40">
      <x:c r="A40" s="33" t="str">
        <x:v>motherboard</x:v>
      </x:c>
      <x:c r="B40" s="34" t="str">
        <x:v>mb-b650m</x:v>
      </x:c>
      <x:c r="C40" s="34" t="str">
        <x:v>ASRock B650M Pro RS</x:v>
      </x:c>
      <x:c r="D40" s="34" t="str">
        <x:v>ASRock</x:v>
      </x:c>
      <x:c r="E40" s="85" t="n">
        <x:v>139</x:v>
      </x:c>
      <x:c r="F40" s="34" t="str">
        <x:v>USD</x:v>
      </x:c>
      <x:c r="G40" s="34" t="str">
        <x:v>reference</x:v>
      </x:c>
      <x:c r="H40" s="34" t="str">
        <x:v>baseline seed</x:v>
      </x:c>
      <x:c r="I40" s="34" t="str">
        <x:v>socket=AM5; chipset=B650; formFactor=Micro-ATX; memoryType=DDR5; maxMemoryGb=192; m2Slots=2; storageInterfaces=NVMe/SATA; cpuTiers=entry/mid/high</x:v>
      </x:c>
      <x:c r="J40" s="34" t="str">
        <x:v>AM5, B650, Micro-ATX</x:v>
      </x:c>
      <x:c r="K40" s="34" t="str">
        <x:v>Micro-ATX B650 board with 2 M.2 slots.</x:v>
      </x:c>
      <x:c r="L40" s="34" t="str"/>
      <x:c r="M40" s="35" t="str"/>
    </x:row>
    <x:row r="41">
      <x:c r="A41" s="33" t="str">
        <x:v>motherboard</x:v>
      </x:c>
      <x:c r="B41" s="34" t="str">
        <x:v>mb-b650i</x:v>
      </x:c>
      <x:c r="C41" s="34" t="str">
        <x:v>ASUS B650E-I Gaming WiFi</x:v>
      </x:c>
      <x:c r="D41" s="34" t="str">
        <x:v>ASUS</x:v>
      </x:c>
      <x:c r="E41" s="85" t="n">
        <x:v>299</x:v>
      </x:c>
      <x:c r="F41" s="34" t="str">
        <x:v>USD</x:v>
      </x:c>
      <x:c r="G41" s="34" t="str">
        <x:v>reference</x:v>
      </x:c>
      <x:c r="H41" s="34" t="str">
        <x:v>baseline seed</x:v>
      </x:c>
      <x:c r="I41" s="34" t="str">
        <x:v>socket=AM5; chipset=B650E; formFactor=Mini-ITX; memoryType=DDR5; maxMemoryGb=192; m2Slots=2; storageInterfaces=NVMe/SATA; cpuTiers=entry/mid/high/enthusiast</x:v>
      </x:c>
      <x:c r="J41" s="34" t="str">
        <x:v>AM5, B650E, Mini-ITX</x:v>
      </x:c>
      <x:c r="K41" s="34" t="str">
        <x:v>Mini-ITX B650E board with 2 M.2 slots.</x:v>
      </x:c>
      <x:c r="L41" s="34" t="str"/>
      <x:c r="M41" s="35" t="str"/>
    </x:row>
    <x:row r="42">
      <x:c r="A42" s="33" t="str">
        <x:v>motherboard</x:v>
      </x:c>
      <x:c r="B42" s="34" t="str">
        <x:v>mb-x670e</x:v>
      </x:c>
      <x:c r="C42" s="34" t="str">
        <x:v>ASUS ProArt X670E-Creator</x:v>
      </x:c>
      <x:c r="D42" s="34" t="str">
        <x:v>ASUS</x:v>
      </x:c>
      <x:c r="E42" s="85" t="n">
        <x:v>449</x:v>
      </x:c>
      <x:c r="F42" s="34" t="str">
        <x:v>USD</x:v>
      </x:c>
      <x:c r="G42" s="34" t="str">
        <x:v>reference</x:v>
      </x:c>
      <x:c r="H42" s="34" t="str">
        <x:v>baseline seed</x:v>
      </x:c>
      <x:c r="I42" s="34" t="str">
        <x:v>socket=AM5; chipset=X670E; formFactor=ATX; memoryType=DDR5; maxMemoryGb=192; m2Slots=4; storageInterfaces=NVMe/SATA; cpuTiers=mid/high/enthusiast</x:v>
      </x:c>
      <x:c r="J42" s="34" t="str">
        <x:v>AM5, X670E, ATX</x:v>
      </x:c>
      <x:c r="K42" s="34" t="str">
        <x:v>ATX X670E board with 4 M.2 slots.</x:v>
      </x:c>
      <x:c r="L42" s="34" t="str"/>
      <x:c r="M42" s="35" t="str"/>
    </x:row>
    <x:row r="43">
      <x:c r="A43" s="33" t="str">
        <x:v>motherboard</x:v>
      </x:c>
      <x:c r="B43" s="34" t="str">
        <x:v>mb-z790</x:v>
      </x:c>
      <x:c r="C43" s="34" t="str">
        <x:v>MSI Z790 Tomahawk MAX WiFi</x:v>
      </x:c>
      <x:c r="D43" s="34" t="str">
        <x:v>MSI</x:v>
      </x:c>
      <x:c r="E43" s="85" t="n">
        <x:v>279</x:v>
      </x:c>
      <x:c r="F43" s="34" t="str">
        <x:v>USD</x:v>
      </x:c>
      <x:c r="G43" s="34" t="str">
        <x:v>reference</x:v>
      </x:c>
      <x:c r="H43" s="34" t="str">
        <x:v>baseline seed</x:v>
      </x:c>
      <x:c r="I43" s="34" t="str">
        <x:v>socket=LGA1700; chipset=Z790; formFactor=ATX; memoryType=DDR5; maxMemoryGb=192; m2Slots=4; storageInterfaces=NVMe/SATA; cpuTiers=mid/high/enthusiast</x:v>
      </x:c>
      <x:c r="J43" s="34" t="str">
        <x:v>LGA1700, Z790, ATX</x:v>
      </x:c>
      <x:c r="K43" s="34" t="str">
        <x:v>ATX Z790 board with 4 M.2 slots.</x:v>
      </x:c>
      <x:c r="L43" s="34" t="str"/>
      <x:c r="M43" s="35" t="str"/>
    </x:row>
    <x:row r="44">
      <x:c r="A44" s="33" t="str">
        <x:v>motherboard</x:v>
      </x:c>
      <x:c r="B44" s="34" t="str">
        <x:v>mb-z790-a-white</x:v>
      </x:c>
      <x:c r="C44" s="34" t="str">
        <x:v>ASUS ROG Strix Z790-A Gaming WiFi II</x:v>
      </x:c>
      <x:c r="D44" s="34" t="str">
        <x:v>ASUS</x:v>
      </x:c>
      <x:c r="E44" s="85" t="n">
        <x:v>359</x:v>
      </x:c>
      <x:c r="F44" s="34" t="str">
        <x:v>USD</x:v>
      </x:c>
      <x:c r="G44" s="34" t="str">
        <x:v>reference</x:v>
      </x:c>
      <x:c r="H44" s="34" t="str">
        <x:v>baseline seed</x:v>
      </x:c>
      <x:c r="I44" s="34" t="str">
        <x:v>socket=LGA1700; chipset=Z790; formFactor=ATX; memoryType=DDR5; maxMemoryGb=192; m2Slots=5; storageInterfaces=NVMe/SATA; cpuTiers=mid/high/enthusiast</x:v>
      </x:c>
      <x:c r="J44" s="34" t="str">
        <x:v>LGA1700, Z790, ATX, white, rgb</x:v>
      </x:c>
      <x:c r="K44" s="34" t="str">
        <x:v>ATX Z790 board with 5 M.2 slots.</x:v>
      </x:c>
      <x:c r="L44" s="34" t="str"/>
      <x:c r="M44" s="35" t="str"/>
    </x:row>
    <x:row r="45">
      <x:c r="A45" s="33" t="str">
        <x:v>motherboard</x:v>
      </x:c>
      <x:c r="B45" s="34" t="str">
        <x:v>mb-b760</x:v>
      </x:c>
      <x:c r="C45" s="34" t="str">
        <x:v>ASUS TUF B760-Plus WiFi</x:v>
      </x:c>
      <x:c r="D45" s="34" t="str">
        <x:v>ASUS</x:v>
      </x:c>
      <x:c r="E45" s="85" t="n">
        <x:v>189</x:v>
      </x:c>
      <x:c r="F45" s="34" t="str">
        <x:v>USD</x:v>
      </x:c>
      <x:c r="G45" s="34" t="str">
        <x:v>reference</x:v>
      </x:c>
      <x:c r="H45" s="34" t="str">
        <x:v>baseline seed</x:v>
      </x:c>
      <x:c r="I45" s="34" t="str">
        <x:v>socket=LGA1700; chipset=B760; formFactor=ATX; memoryType=DDR5; maxMemoryGb=192; m2Slots=3; storageInterfaces=NVMe/SATA; cpuTiers=entry/mid/high</x:v>
      </x:c>
      <x:c r="J45" s="34" t="str">
        <x:v>LGA1700, B760, ATX</x:v>
      </x:c>
      <x:c r="K45" s="34" t="str">
        <x:v>ATX B760 board with 3 M.2 slots.</x:v>
      </x:c>
      <x:c r="L45" s="34" t="str"/>
      <x:c r="M45" s="35" t="str"/>
    </x:row>
    <x:row r="46">
      <x:c r="A46" s="33" t="str">
        <x:v>motherboard</x:v>
      </x:c>
      <x:c r="B46" s="34" t="str">
        <x:v>mb-b850-plus</x:v>
      </x:c>
      <x:c r="C46" s="34" t="str">
        <x:v>ASUS TUF Gaming B850-Plus WiFi</x:v>
      </x:c>
      <x:c r="D46" s="34" t="str">
        <x:v>ASUS</x:v>
      </x:c>
      <x:c r="E46" s="85" t="n">
        <x:v>229</x:v>
      </x:c>
      <x:c r="F46" s="34" t="str">
        <x:v>USD</x:v>
      </x:c>
      <x:c r="G46" s="34" t="str">
        <x:v>reference</x:v>
      </x:c>
      <x:c r="H46" s="34" t="str">
        <x:v>2026-06-28</x:v>
      </x:c>
      <x:c r="I46" s="34" t="str">
        <x:v>maxMemoryGb=256; socket=AM5; chipset=B850; formFactor=ATX; memoryType=DDR5; m2Slots=3; storageInterfaces=NVMe/SATA; cpuTiers=entry/mid/high/enthusiast</x:v>
      </x:c>
      <x:c r="J46" s="34" t="str">
        <x:v>AM5, B850, ATX, wifi7, pcie5</x:v>
      </x:c>
      <x:c r="K46" s="34" t="str">
        <x:v>ATX B850 board with 3 M.2 slots.</x:v>
      </x:c>
      <x:c r="L46" s="34" t="str">
        <x:v>https://www.asus.com/motherboards-components/motherboards/tuf-gaming/tuf-gaming-b850-plus-wifi/techspec/</x:v>
      </x:c>
      <x:c r="M46" s="35" t="str">
        <x:v>https://www.asus.com/motherboards-components/motherboards/tuf-gaming/tuf-gaming-b850-plus-wifi/techspec/</x:v>
      </x:c>
    </x:row>
    <x:row r="47">
      <x:c r="A47" s="33" t="str">
        <x:v>motherboard</x:v>
      </x:c>
      <x:c r="B47" s="34" t="str">
        <x:v>mb-x870-tomahawk</x:v>
      </x:c>
      <x:c r="C47" s="34" t="str">
        <x:v>MSI MAG X870 Tomahawk WiFi</x:v>
      </x:c>
      <x:c r="D47" s="34" t="str">
        <x:v>MSI</x:v>
      </x:c>
      <x:c r="E47" s="85" t="n">
        <x:v>299</x:v>
      </x:c>
      <x:c r="F47" s="34" t="str">
        <x:v>USD</x:v>
      </x:c>
      <x:c r="G47" s="34" t="str">
        <x:v>reference</x:v>
      </x:c>
      <x:c r="H47" s="34" t="str">
        <x:v>2026-06-28</x:v>
      </x:c>
      <x:c r="I47" s="34" t="str">
        <x:v>maxMemoryGb=256; socket=AM5; chipset=X870; formFactor=ATX; memoryType=DDR5; m2Slots=4; storageInterfaces=NVMe/SATA; cpuTiers=mid/high/enthusiast</x:v>
      </x:c>
      <x:c r="J47" s="34" t="str">
        <x:v>AM5, X870, ATX, wifi7, usb4, pcie5</x:v>
      </x:c>
      <x:c r="K47" s="34" t="str">
        <x:v>ATX X870 board with 4 M.2 slots.</x:v>
      </x:c>
      <x:c r="L47" s="34" t="str">
        <x:v>https://www.msi.com/Motherboard/MAG-X870-TOMAHAWK-WIFI/Specification</x:v>
      </x:c>
      <x:c r="M47" s="35" t="str">
        <x:v>https://www.msi.com/Motherboard/MAG-X870-TOMAHAWK-WIFI/Specification</x:v>
      </x:c>
    </x:row>
    <x:row r="48">
      <x:c r="A48" s="33" t="str">
        <x:v>motherboard</x:v>
      </x:c>
      <x:c r="B48" s="34" t="str">
        <x:v>mb-x870-a-white</x:v>
      </x:c>
      <x:c r="C48" s="34" t="str">
        <x:v>ASUS ROG Strix X870-A Gaming WiFi</x:v>
      </x:c>
      <x:c r="D48" s="34" t="str">
        <x:v>ASUS</x:v>
      </x:c>
      <x:c r="E48" s="85" t="n">
        <x:v>399</x:v>
      </x:c>
      <x:c r="F48" s="34" t="str">
        <x:v>USD</x:v>
      </x:c>
      <x:c r="G48" s="34" t="str">
        <x:v>reference</x:v>
      </x:c>
      <x:c r="H48" s="34" t="str">
        <x:v>2026-06-28</x:v>
      </x:c>
      <x:c r="I48" s="34" t="str">
        <x:v>maxMemoryGb=256; socket=AM5; chipset=X870; formFactor=ATX; memoryType=DDR5; m2Slots=4; storageInterfaces=NVMe/SATA; cpuTiers=mid/high/enthusiast</x:v>
      </x:c>
      <x:c r="J48" s="34" t="str">
        <x:v>AM5, X870, ATX, white, rgb, wifi7, usb4</x:v>
      </x:c>
      <x:c r="K48" s="34" t="str">
        <x:v>ATX X870 board with 4 M.2 slots.</x:v>
      </x:c>
      <x:c r="L48" s="34" t="str">
        <x:v>https://rog.asus.com/motherboards/rog-strix/rog-strix-x870-a-gaming-wifi/spec/</x:v>
      </x:c>
      <x:c r="M48" s="35" t="str">
        <x:v>https://rog.asus.com/motherboards/rog-strix/rog-strix-x870-a-gaming-wifi/spec/</x:v>
      </x:c>
    </x:row>
    <x:row r="49">
      <x:c r="A49" s="33" t="str">
        <x:v>motherboard</x:v>
      </x:c>
      <x:c r="B49" s="34" t="str">
        <x:v>mb-z890-a-white</x:v>
      </x:c>
      <x:c r="C49" s="34" t="str">
        <x:v>ASUS ROG Strix Z890-A Gaming WiFi</x:v>
      </x:c>
      <x:c r="D49" s="34" t="str">
        <x:v>ASUS</x:v>
      </x:c>
      <x:c r="E49" s="85" t="n">
        <x:v>399</x:v>
      </x:c>
      <x:c r="F49" s="34" t="str">
        <x:v>USD</x:v>
      </x:c>
      <x:c r="G49" s="34" t="str">
        <x:v>reference</x:v>
      </x:c>
      <x:c r="H49" s="34" t="str">
        <x:v>2026-06-28</x:v>
      </x:c>
      <x:c r="I49" s="34" t="str">
        <x:v>maxMemoryGb=256; socket=LGA1851; chipset=Z890; formFactor=ATX; memoryType=DDR5; m2Slots=5; storageInterfaces=NVMe/SATA; cpuTiers=mid/high/enthusiast</x:v>
      </x:c>
      <x:c r="J49" s="34" t="str">
        <x:v>LGA1851, Z890, ATX, white, rgb, wifi7, thunderbolt4</x:v>
      </x:c>
      <x:c r="K49" s="34" t="str">
        <x:v>ATX Z890 board with 5 M.2 slots.</x:v>
      </x:c>
      <x:c r="L49" s="34" t="str">
        <x:v>https://rog.asus.com/us/motherboards/rog-strix/rog-strix-z890-a-gaming-wifi/spec/</x:v>
      </x:c>
      <x:c r="M49" s="35" t="str">
        <x:v>https://rog.asus.com/us/motherboards/rog-strix/rog-strix-z890-a-gaming-wifi/spec/</x:v>
      </x:c>
    </x:row>
    <x:row r="50">
      <x:c r="A50" s="33" t="str">
        <x:v>motherboard</x:v>
      </x:c>
      <x:c r="B50" s="34" t="str">
        <x:v>mb-z890m-riptide</x:v>
      </x:c>
      <x:c r="C50" s="34" t="str">
        <x:v>ASRock Z890M Riptide WiFi</x:v>
      </x:c>
      <x:c r="D50" s="34" t="str">
        <x:v>ASRock</x:v>
      </x:c>
      <x:c r="E50" s="85" t="n">
        <x:v>249</x:v>
      </x:c>
      <x:c r="F50" s="34" t="str">
        <x:v>USD</x:v>
      </x:c>
      <x:c r="G50" s="34" t="str">
        <x:v>reference</x:v>
      </x:c>
      <x:c r="H50" s="34" t="str">
        <x:v>2026-06-28</x:v>
      </x:c>
      <x:c r="I50" s="34" t="str">
        <x:v>maxMemoryGb=256; socket=LGA1851; chipset=Z890; formFactor=Micro-ATX; memoryType=DDR5; m2Slots=3; storageInterfaces=NVMe/SATA; cpuTiers=entry/mid/high/enthusiast</x:v>
      </x:c>
      <x:c r="J50" s="34" t="str">
        <x:v>LGA1851, Z890, Micro-ATX, wifi6e, compact</x:v>
      </x:c>
      <x:c r="K50" s="34" t="str">
        <x:v>Micro-ATX Z890 board with 3 M.2 slots.</x:v>
      </x:c>
      <x:c r="L50" s="34" t="str">
        <x:v>https://www.asrock.com/mb/Intel/Z890M%20Riptide%20WiFi/index.asp</x:v>
      </x:c>
      <x:c r="M50" s="35" t="str">
        <x:v>https://www.asrock.com/mb/Intel/Z890M%20Riptide%20WiFi/index.asp</x:v>
      </x:c>
    </x:row>
    <x:row r="51">
      <x:c r="A51" s="33" t="str">
        <x:v>ram</x:v>
      </x:c>
      <x:c r="B51" s="34" t="str">
        <x:v>ram-32</x:v>
      </x:c>
      <x:c r="C51" s="34" t="str">
        <x:v>G.Skill Flare X5 32GB DDR5-6000</x:v>
      </x:c>
      <x:c r="D51" s="34" t="str">
        <x:v>G.Skill</x:v>
      </x:c>
      <x:c r="E51" s="85" t="n">
        <x:v>104</x:v>
      </x:c>
      <x:c r="F51" s="34" t="str">
        <x:v>USD</x:v>
      </x:c>
      <x:c r="G51" s="34" t="str">
        <x:v>reference</x:v>
      </x:c>
      <x:c r="H51" s="34" t="str">
        <x:v>baseline seed</x:v>
      </x:c>
      <x:c r="I51" s="34" t="str">
        <x:v>memoryType=DDR5; capacityGb=32; speedMt=6000; sticks=2</x:v>
      </x:c>
      <x:c r="J51" s="34" t="str">
        <x:v>DDR5, 32GB</x:v>
      </x:c>
      <x:c r="K51" s="34" t="str">
        <x:v>32GB DDR5 memory kit.</x:v>
      </x:c>
      <x:c r="L51" s="34" t="str"/>
      <x:c r="M51" s="35" t="str"/>
    </x:row>
    <x:row r="52">
      <x:c r="A52" s="33" t="str">
        <x:v>ram</x:v>
      </x:c>
      <x:c r="B52" s="34" t="str">
        <x:v>ram-64</x:v>
      </x:c>
      <x:c r="C52" s="34" t="str">
        <x:v>Corsair Vengeance 64GB DDR5-6000</x:v>
      </x:c>
      <x:c r="D52" s="34" t="str">
        <x:v>Corsair</x:v>
      </x:c>
      <x:c r="E52" s="85" t="n">
        <x:v>189</x:v>
      </x:c>
      <x:c r="F52" s="34" t="str">
        <x:v>USD</x:v>
      </x:c>
      <x:c r="G52" s="34" t="str">
        <x:v>reference</x:v>
      </x:c>
      <x:c r="H52" s="34" t="str">
        <x:v>baseline seed</x:v>
      </x:c>
      <x:c r="I52" s="34" t="str">
        <x:v>memoryType=DDR5; capacityGb=64; speedMt=6000; sticks=2</x:v>
      </x:c>
      <x:c r="J52" s="34" t="str">
        <x:v>DDR5, 64GB</x:v>
      </x:c>
      <x:c r="K52" s="34" t="str">
        <x:v>64GB DDR5 memory kit.</x:v>
      </x:c>
      <x:c r="L52" s="34" t="str"/>
      <x:c r="M52" s="35" t="str"/>
    </x:row>
    <x:row r="53">
      <x:c r="A53" s="33" t="str">
        <x:v>ram</x:v>
      </x:c>
      <x:c r="B53" s="34" t="str">
        <x:v>ram-64-white-rgb</x:v>
      </x:c>
      <x:c r="C53" s="34" t="str">
        <x:v>Corsair Dominator Titanium RGB 64GB White</x:v>
      </x:c>
      <x:c r="D53" s="34" t="str">
        <x:v>Corsair</x:v>
      </x:c>
      <x:c r="E53" s="85" t="n">
        <x:v>289</x:v>
      </x:c>
      <x:c r="F53" s="34" t="str">
        <x:v>USD</x:v>
      </x:c>
      <x:c r="G53" s="34" t="str">
        <x:v>reference</x:v>
      </x:c>
      <x:c r="H53" s="34" t="str">
        <x:v>baseline seed</x:v>
      </x:c>
      <x:c r="I53" s="34" t="str">
        <x:v>memoryType=DDR5; capacityGb=64; speedMt=6400; sticks=2</x:v>
      </x:c>
      <x:c r="J53" s="34" t="str">
        <x:v>DDR5, 64GB, white, rgb</x:v>
      </x:c>
      <x:c r="K53" s="34" t="str">
        <x:v>64GB DDR5 memory kit.</x:v>
      </x:c>
      <x:c r="L53" s="34" t="str"/>
      <x:c r="M53" s="35" t="str"/>
    </x:row>
    <x:row r="54">
      <x:c r="A54" s="33" t="str">
        <x:v>ram</x:v>
      </x:c>
      <x:c r="B54" s="34" t="str">
        <x:v>ram-96</x:v>
      </x:c>
      <x:c r="C54" s="34" t="str">
        <x:v>Crucial Pro 96GB DDR5-5600</x:v>
      </x:c>
      <x:c r="D54" s="34" t="str">
        <x:v>Crucial</x:v>
      </x:c>
      <x:c r="E54" s="85" t="n">
        <x:v>269</x:v>
      </x:c>
      <x:c r="F54" s="34" t="str">
        <x:v>USD</x:v>
      </x:c>
      <x:c r="G54" s="34" t="str">
        <x:v>reference</x:v>
      </x:c>
      <x:c r="H54" s="34" t="str">
        <x:v>baseline seed</x:v>
      </x:c>
      <x:c r="I54" s="34" t="str">
        <x:v>memoryType=DDR5; capacityGb=96; speedMt=5600; sticks=2</x:v>
      </x:c>
      <x:c r="J54" s="34" t="str">
        <x:v>DDR5, 96GB</x:v>
      </x:c>
      <x:c r="K54" s="34" t="str">
        <x:v>96GB DDR5 memory kit.</x:v>
      </x:c>
      <x:c r="L54" s="34" t="str"/>
      <x:c r="M54" s="35" t="str"/>
    </x:row>
    <x:row r="55">
      <x:c r="A55" s="33" t="str">
        <x:v>ram</x:v>
      </x:c>
      <x:c r="B55" s="34" t="str">
        <x:v>ram-128</x:v>
      </x:c>
      <x:c r="C55" s="34" t="str">
        <x:v>Kingston Fury 128GB DDR5-5600</x:v>
      </x:c>
      <x:c r="D55" s="34" t="str">
        <x:v>Kingston</x:v>
      </x:c>
      <x:c r="E55" s="85" t="n">
        <x:v>419</x:v>
      </x:c>
      <x:c r="F55" s="34" t="str">
        <x:v>USD</x:v>
      </x:c>
      <x:c r="G55" s="34" t="str">
        <x:v>reference</x:v>
      </x:c>
      <x:c r="H55" s="34" t="str">
        <x:v>baseline seed</x:v>
      </x:c>
      <x:c r="I55" s="34" t="str">
        <x:v>memoryType=DDR5; capacityGb=128; speedMt=5600; sticks=4</x:v>
      </x:c>
      <x:c r="J55" s="34" t="str">
        <x:v>DDR5, 128GB</x:v>
      </x:c>
      <x:c r="K55" s="34" t="str">
        <x:v>128GB DDR5 memory kit.</x:v>
      </x:c>
      <x:c r="L55" s="34" t="str"/>
      <x:c r="M55" s="35" t="str"/>
    </x:row>
    <x:row r="56">
      <x:c r="A56" s="33" t="str">
        <x:v>ram</x:v>
      </x:c>
      <x:c r="B56" s="34" t="str">
        <x:v>ram-48-6000</x:v>
      </x:c>
      <x:c r="C56" s="34" t="str">
        <x:v>G.Skill Trident Z5 Neo RGB 48GB DDR5-6000</x:v>
      </x:c>
      <x:c r="D56" s="34" t="str">
        <x:v>G.Skill</x:v>
      </x:c>
      <x:c r="E56" s="85" t="n">
        <x:v>159</x:v>
      </x:c>
      <x:c r="F56" s="34" t="str">
        <x:v>USD</x:v>
      </x:c>
      <x:c r="G56" s="34" t="str">
        <x:v>reference</x:v>
      </x:c>
      <x:c r="H56" s="34" t="str">
        <x:v>2026-06-28</x:v>
      </x:c>
      <x:c r="I56" s="34" t="str">
        <x:v>memoryType=DDR5; capacityGb=48; speedMt=6000; sticks=2</x:v>
      </x:c>
      <x:c r="J56" s="34" t="str">
        <x:v>DDR5, 48GB, rgb, expo</x:v>
      </x:c>
      <x:c r="K56" s="34" t="str">
        <x:v>48GB DDR5 memory kit.</x:v>
      </x:c>
      <x:c r="L56" s="34" t="str">
        <x:v>https://www.gskill.com/product/165/390/Trident-Z5-Neo-RGB-DDR5-AMD-EXPO</x:v>
      </x:c>
      <x:c r="M56" s="35" t="str">
        <x:v>https://www.gskill.com/product/165/390/Trident-Z5-Neo-RGB-DDR5-AMD-EXPO</x:v>
      </x:c>
    </x:row>
    <x:row r="57">
      <x:c r="A57" s="33" t="str">
        <x:v>ram</x:v>
      </x:c>
      <x:c r="B57" s="34" t="str">
        <x:v>ram-64-6000-white</x:v>
      </x:c>
      <x:c r="C57" s="34" t="str">
        <x:v>Corsair Vengeance RGB 64GB DDR5-6000 White</x:v>
      </x:c>
      <x:c r="D57" s="34" t="str">
        <x:v>Corsair</x:v>
      </x:c>
      <x:c r="E57" s="85" t="n">
        <x:v>209</x:v>
      </x:c>
      <x:c r="F57" s="34" t="str">
        <x:v>USD</x:v>
      </x:c>
      <x:c r="G57" s="34" t="str">
        <x:v>reference</x:v>
      </x:c>
      <x:c r="H57" s="34" t="str">
        <x:v>2026-06-28</x:v>
      </x:c>
      <x:c r="I57" s="34" t="str">
        <x:v>memoryType=DDR5; capacityGb=64; speedMt=6000; sticks=2</x:v>
      </x:c>
      <x:c r="J57" s="34" t="str">
        <x:v>DDR5, 64GB, white, rgb</x:v>
      </x:c>
      <x:c r="K57" s="34" t="str">
        <x:v>64GB DDR5 memory kit.</x:v>
      </x:c>
      <x:c r="L57" s="34" t="str">
        <x:v>https://www.corsair.com/us/en/c/memory/ddr5-ram</x:v>
      </x:c>
      <x:c r="M57" s="35" t="str">
        <x:v>https://www.corsair.com/us/en/c/memory/ddr5-ram</x:v>
      </x:c>
    </x:row>
    <x:row r="58">
      <x:c r="A58" s="33" t="str">
        <x:v>ram</x:v>
      </x:c>
      <x:c r="B58" s="34" t="str">
        <x:v>ram-96-6400</x:v>
      </x:c>
      <x:c r="C58" s="34" t="str">
        <x:v>Corsair Vengeance 96GB DDR5-6400</x:v>
      </x:c>
      <x:c r="D58" s="34" t="str">
        <x:v>Corsair</x:v>
      </x:c>
      <x:c r="E58" s="85" t="n">
        <x:v>299</x:v>
      </x:c>
      <x:c r="F58" s="34" t="str">
        <x:v>USD</x:v>
      </x:c>
      <x:c r="G58" s="34" t="str">
        <x:v>reference</x:v>
      </x:c>
      <x:c r="H58" s="34" t="str">
        <x:v>2026-06-28</x:v>
      </x:c>
      <x:c r="I58" s="34" t="str">
        <x:v>memoryType=DDR5; capacityGb=96; speedMt=6400; sticks=2</x:v>
      </x:c>
      <x:c r="J58" s="34" t="str">
        <x:v>DDR5, 96GB, workstation</x:v>
      </x:c>
      <x:c r="K58" s="34" t="str">
        <x:v>96GB DDR5 memory kit.</x:v>
      </x:c>
      <x:c r="L58" s="34" t="str">
        <x:v>https://www.corsair.com/us/en/c/memory/ddr5-ram</x:v>
      </x:c>
      <x:c r="M58" s="35" t="str">
        <x:v>https://www.corsair.com/us/en/c/memory/ddr5-ram</x:v>
      </x:c>
    </x:row>
    <x:row r="59">
      <x:c r="A59" s="33" t="str">
        <x:v>storage</x:v>
      </x:c>
      <x:c r="B59" s="34" t="str">
        <x:v>ssd-1tb</x:v>
      </x:c>
      <x:c r="C59" s="34" t="str">
        <x:v>WD Black SN850X 1TB</x:v>
      </x:c>
      <x:c r="D59" s="34" t="str">
        <x:v>WD</x:v>
      </x:c>
      <x:c r="E59" s="85" t="n">
        <x:v>89</x:v>
      </x:c>
      <x:c r="F59" s="34" t="str">
        <x:v>USD</x:v>
      </x:c>
      <x:c r="G59" s="34" t="str">
        <x:v>reference</x:v>
      </x:c>
      <x:c r="H59" s="34" t="str">
        <x:v>baseline seed</x:v>
      </x:c>
      <x:c r="I59" s="34" t="str">
        <x:v>capacityTb=1; interface=NVMe; readSpeedMb=7300; writeSpeedMb=6424</x:v>
      </x:c>
      <x:c r="J59" s="34" t="str">
        <x:v>NVMe, 1TB</x:v>
      </x:c>
      <x:c r="K59" s="34" t="str">
        <x:v>1TB PCIe NVMe solid-state drive.</x:v>
      </x:c>
      <x:c r="L59" s="34" t="str"/>
      <x:c r="M59" s="35" t="str"/>
    </x:row>
    <x:row r="60">
      <x:c r="A60" s="33" t="str">
        <x:v>storage</x:v>
      </x:c>
      <x:c r="B60" s="34" t="str">
        <x:v>ssd-2tb</x:v>
      </x:c>
      <x:c r="C60" s="34" t="str">
        <x:v>Samsung 990 Pro 2TB</x:v>
      </x:c>
      <x:c r="D60" s="34" t="str">
        <x:v>Samsung</x:v>
      </x:c>
      <x:c r="E60" s="85" t="n">
        <x:v>169</x:v>
      </x:c>
      <x:c r="F60" s="34" t="str">
        <x:v>USD</x:v>
      </x:c>
      <x:c r="G60" s="34" t="str">
        <x:v>reference</x:v>
      </x:c>
      <x:c r="H60" s="34" t="str">
        <x:v>baseline seed</x:v>
      </x:c>
      <x:c r="I60" s="34" t="str">
        <x:v>capacityTb=2; interface=NVMe; readSpeedMb=7450; writeSpeedMb=6556</x:v>
      </x:c>
      <x:c r="J60" s="34" t="str">
        <x:v>NVMe, 2TB</x:v>
      </x:c>
      <x:c r="K60" s="34" t="str">
        <x:v>2TB PCIe NVMe solid-state drive.</x:v>
      </x:c>
      <x:c r="L60" s="34" t="str"/>
      <x:c r="M60" s="35" t="str"/>
    </x:row>
    <x:row r="61">
      <x:c r="A61" s="33" t="str">
        <x:v>storage</x:v>
      </x:c>
      <x:c r="B61" s="34" t="str">
        <x:v>ssd-4tb</x:v>
      </x:c>
      <x:c r="C61" s="34" t="str">
        <x:v>Crucial T500 4TB</x:v>
      </x:c>
      <x:c r="D61" s="34" t="str">
        <x:v>Crucial</x:v>
      </x:c>
      <x:c r="E61" s="85" t="n">
        <x:v>319</x:v>
      </x:c>
      <x:c r="F61" s="34" t="str">
        <x:v>USD</x:v>
      </x:c>
      <x:c r="G61" s="34" t="str">
        <x:v>reference</x:v>
      </x:c>
      <x:c r="H61" s="34" t="str">
        <x:v>baseline seed</x:v>
      </x:c>
      <x:c r="I61" s="34" t="str">
        <x:v>capacityTb=4; interface=NVMe; readSpeedMb=7400; writeSpeedMb=6512</x:v>
      </x:c>
      <x:c r="J61" s="34" t="str">
        <x:v>NVMe, 4TB</x:v>
      </x:c>
      <x:c r="K61" s="34" t="str">
        <x:v>4TB PCIe NVMe solid-state drive.</x:v>
      </x:c>
      <x:c r="L61" s="34" t="str"/>
      <x:c r="M61" s="35" t="str"/>
    </x:row>
    <x:row r="62">
      <x:c r="A62" s="33" t="str">
        <x:v>storage</x:v>
      </x:c>
      <x:c r="B62" s="34" t="str">
        <x:v>ssd-2tb-value</x:v>
      </x:c>
      <x:c r="C62" s="34" t="str">
        <x:v>TeamGroup MP44 2TB</x:v>
      </x:c>
      <x:c r="D62" s="34" t="str">
        <x:v>TeamGroup</x:v>
      </x:c>
      <x:c r="E62" s="85" t="n">
        <x:v>119</x:v>
      </x:c>
      <x:c r="F62" s="34" t="str">
        <x:v>USD</x:v>
      </x:c>
      <x:c r="G62" s="34" t="str">
        <x:v>reference</x:v>
      </x:c>
      <x:c r="H62" s="34" t="str">
        <x:v>baseline seed</x:v>
      </x:c>
      <x:c r="I62" s="34" t="str">
        <x:v>capacityTb=2; interface=NVMe; readSpeedMb=7400; writeSpeedMb=6512</x:v>
      </x:c>
      <x:c r="J62" s="34" t="str">
        <x:v>NVMe, 2TB</x:v>
      </x:c>
      <x:c r="K62" s="34" t="str">
        <x:v>2TB PCIe NVMe solid-state drive.</x:v>
      </x:c>
      <x:c r="L62" s="34" t="str"/>
      <x:c r="M62" s="35" t="str"/>
    </x:row>
    <x:row r="63">
      <x:c r="A63" s="33" t="str">
        <x:v>storage</x:v>
      </x:c>
      <x:c r="B63" s="34" t="str">
        <x:v>ssd-9100pro-2tb</x:v>
      </x:c>
      <x:c r="C63" s="34" t="str">
        <x:v>Samsung 9100 Pro 2TB</x:v>
      </x:c>
      <x:c r="D63" s="34" t="str">
        <x:v>Samsung</x:v>
      </x:c>
      <x:c r="E63" s="85" t="n">
        <x:v>299</x:v>
      </x:c>
      <x:c r="F63" s="34" t="str">
        <x:v>USD</x:v>
      </x:c>
      <x:c r="G63" s="34" t="str">
        <x:v>msrp</x:v>
      </x:c>
      <x:c r="H63" s="34" t="str">
        <x:v>2026-06-28</x:v>
      </x:c>
      <x:c r="I63" s="34" t="str">
        <x:v>capacityTb=2; interface=NVMe; readSpeedMb=14700; writeSpeedMb=13400</x:v>
      </x:c>
      <x:c r="J63" s="34" t="str">
        <x:v>NVMe, 2TB</x:v>
      </x:c>
      <x:c r="K63" s="34" t="str">
        <x:v>2TB PCIe NVMe solid-state drive.</x:v>
      </x:c>
      <x:c r="L63" s="34" t="str">
        <x:v>https://www.samsung.com/us/memory-storage/nvme-ssd/9100-pro-nvme-ssd-sku-mz-vap2t0b-am/</x:v>
      </x:c>
      <x:c r="M63" s="35" t="str">
        <x:v>https://image-us.samsung.com/SamsungUS/business/solutions/industries/government/msrp-price-sheets/10092025/Samsung-Memory_Storage-MSRP-Price-File-%28September-2025%29.pdf</x:v>
      </x:c>
    </x:row>
    <x:row r="64">
      <x:c r="A64" s="33" t="str">
        <x:v>storage</x:v>
      </x:c>
      <x:c r="B64" s="34" t="str">
        <x:v>ssd-9100pro-4tb</x:v>
      </x:c>
      <x:c r="C64" s="34" t="str">
        <x:v>Samsung 9100 Pro 4TB</x:v>
      </x:c>
      <x:c r="D64" s="34" t="str">
        <x:v>Samsung</x:v>
      </x:c>
      <x:c r="E64" s="85" t="n">
        <x:v>549</x:v>
      </x:c>
      <x:c r="F64" s="34" t="str">
        <x:v>USD</x:v>
      </x:c>
      <x:c r="G64" s="34" t="str">
        <x:v>msrp</x:v>
      </x:c>
      <x:c r="H64" s="34" t="str">
        <x:v>2026-06-28</x:v>
      </x:c>
      <x:c r="I64" s="34" t="str">
        <x:v>capacityTb=4; interface=NVMe; readSpeedMb=14800; writeSpeedMb=13400</x:v>
      </x:c>
      <x:c r="J64" s="34" t="str">
        <x:v>NVMe, 4TB</x:v>
      </x:c>
      <x:c r="K64" s="34" t="str">
        <x:v>4TB PCIe NVMe solid-state drive.</x:v>
      </x:c>
      <x:c r="L64" s="34" t="str">
        <x:v>https://www.samsung.com/us/memory-storage/nvme-ssd/9100-pro-nvme-ssd-sku-mz-vap4t0b-am/</x:v>
      </x:c>
      <x:c r="M64" s="35" t="str">
        <x:v>https://image-us.samsung.com/SamsungUS/business/solutions/industries/government/msrp-price-sheets/10092025/Samsung-Memory_Storage-MSRP-Price-File-%28September-2025%29.pdf</x:v>
      </x:c>
    </x:row>
    <x:row r="65">
      <x:c r="A65" s="33" t="str">
        <x:v>storage</x:v>
      </x:c>
      <x:c r="B65" s="34" t="str">
        <x:v>ssd-t710-2tb</x:v>
      </x:c>
      <x:c r="C65" s="34" t="str">
        <x:v>Crucial T710 2TB</x:v>
      </x:c>
      <x:c r="D65" s="34" t="str">
        <x:v>Crucial</x:v>
      </x:c>
      <x:c r="E65" s="85" t="n">
        <x:v>279</x:v>
      </x:c>
      <x:c r="F65" s="34" t="str">
        <x:v>USD</x:v>
      </x:c>
      <x:c r="G65" s="34" t="str">
        <x:v>reference</x:v>
      </x:c>
      <x:c r="H65" s="34" t="str">
        <x:v>2026-06-28</x:v>
      </x:c>
      <x:c r="I65" s="34" t="str">
        <x:v>capacityTb=2; interface=NVMe; readSpeedMb=14900; writeSpeedMb=13800</x:v>
      </x:c>
      <x:c r="J65" s="34" t="str">
        <x:v>NVMe, 2TB</x:v>
      </x:c>
      <x:c r="K65" s="34" t="str">
        <x:v>2TB PCIe NVMe solid-state drive.</x:v>
      </x:c>
      <x:c r="L65" s="34" t="str">
        <x:v>https://www.crucial.com/ssd/t710/ct2000t710ssd8</x:v>
      </x:c>
      <x:c r="M65" s="35" t="str">
        <x:v>https://www.crucial.com/ssd/t710/ct2000t710ssd8</x:v>
      </x:c>
    </x:row>
    <x:row r="66">
      <x:c r="A66" s="33" t="str">
        <x:v>cooler</x:v>
      </x:c>
      <x:c r="B66" s="34" t="str">
        <x:v>cooler-pa120</x:v>
      </x:c>
      <x:c r="C66" s="34" t="str">
        <x:v>Thermalright Peerless Assassin 120 SE</x:v>
      </x:c>
      <x:c r="D66" s="34" t="str">
        <x:v>Thermalright</x:v>
      </x:c>
      <x:c r="E66" s="85" t="n">
        <x:v>39</x:v>
      </x:c>
      <x:c r="F66" s="34" t="str">
        <x:v>USD</x:v>
      </x:c>
      <x:c r="G66" s="34" t="str">
        <x:v>reference</x:v>
      </x:c>
      <x:c r="H66" s="34" t="str">
        <x:v>baseline seed</x:v>
      </x:c>
      <x:c r="I66" s="34" t="str">
        <x:v>supportedSockets=AM5/LGA1700/LGA1851; tdpRatingWatts=220; heightMm=155; type=air</x:v>
      </x:c>
      <x:c r="J66" s="34" t="str">
        <x:v>air, 220W</x:v>
      </x:c>
      <x:c r="K66" s="34" t="str">
        <x:v>Air cooler rated for 220W.</x:v>
      </x:c>
      <x:c r="L66" s="34" t="str"/>
      <x:c r="M66" s="35" t="str"/>
    </x:row>
    <x:row r="67">
      <x:c r="A67" s="33" t="str">
        <x:v>cooler</x:v>
      </x:c>
      <x:c r="B67" s="34" t="str">
        <x:v>cooler-nhd15</x:v>
      </x:c>
      <x:c r="C67" s="34" t="str">
        <x:v>Noctua NH-D15 G2</x:v>
      </x:c>
      <x:c r="D67" s="34" t="str">
        <x:v>Noctua</x:v>
      </x:c>
      <x:c r="E67" s="85" t="n">
        <x:v>149</x:v>
      </x:c>
      <x:c r="F67" s="34" t="str">
        <x:v>USD</x:v>
      </x:c>
      <x:c r="G67" s="34" t="str">
        <x:v>reference</x:v>
      </x:c>
      <x:c r="H67" s="34" t="str">
        <x:v>baseline seed</x:v>
      </x:c>
      <x:c r="I67" s="34" t="str">
        <x:v>supportedSockets=AM5/LGA1700/LGA1851; tdpRatingWatts=280; heightMm=168; type=air</x:v>
      </x:c>
      <x:c r="J67" s="34" t="str">
        <x:v>air, 280W</x:v>
      </x:c>
      <x:c r="K67" s="34" t="str">
        <x:v>Air cooler rated for 280W.</x:v>
      </x:c>
      <x:c r="L67" s="34" t="str"/>
      <x:c r="M67" s="35" t="str"/>
    </x:row>
    <x:row r="68">
      <x:c r="A68" s="33" t="str">
        <x:v>cooler</x:v>
      </x:c>
      <x:c r="B68" s="34" t="str">
        <x:v>cooler-aio240</x:v>
      </x:c>
      <x:c r="C68" s="34" t="str">
        <x:v>Arctic Liquid Freezer III 240</x:v>
      </x:c>
      <x:c r="D68" s="34" t="str">
        <x:v>Arctic</x:v>
      </x:c>
      <x:c r="E68" s="85" t="n">
        <x:v>109</x:v>
      </x:c>
      <x:c r="F68" s="34" t="str">
        <x:v>USD</x:v>
      </x:c>
      <x:c r="G68" s="34" t="str">
        <x:v>reference</x:v>
      </x:c>
      <x:c r="H68" s="34" t="str">
        <x:v>baseline seed</x:v>
      </x:c>
      <x:c r="I68" s="34" t="str">
        <x:v>supportedSockets=AM5/LGA1700/LGA1851; tdpRatingWatts=260; type=aio</x:v>
      </x:c>
      <x:c r="J68" s="34" t="str">
        <x:v>aio, 260W</x:v>
      </x:c>
      <x:c r="K68" s="34" t="str">
        <x:v>Liquid cooler rated for 260W.</x:v>
      </x:c>
      <x:c r="L68" s="34" t="str"/>
      <x:c r="M68" s="35" t="str"/>
    </x:row>
    <x:row r="69">
      <x:c r="A69" s="33" t="str">
        <x:v>cooler</x:v>
      </x:c>
      <x:c r="B69" s="34" t="str">
        <x:v>cooler-aio360</x:v>
      </x:c>
      <x:c r="C69" s="34" t="str">
        <x:v>Arctic Liquid Freezer III 360</x:v>
      </x:c>
      <x:c r="D69" s="34" t="str">
        <x:v>Arctic</x:v>
      </x:c>
      <x:c r="E69" s="85" t="n">
        <x:v>139</x:v>
      </x:c>
      <x:c r="F69" s="34" t="str">
        <x:v>USD</x:v>
      </x:c>
      <x:c r="G69" s="34" t="str">
        <x:v>reference</x:v>
      </x:c>
      <x:c r="H69" s="34" t="str">
        <x:v>baseline seed</x:v>
      </x:c>
      <x:c r="I69" s="34" t="str">
        <x:v>supportedSockets=AM5/LGA1700/LGA1851; tdpRatingWatts=320; type=aio</x:v>
      </x:c>
      <x:c r="J69" s="34" t="str">
        <x:v>aio, 320W</x:v>
      </x:c>
      <x:c r="K69" s="34" t="str">
        <x:v>Liquid cooler rated for 320W.</x:v>
      </x:c>
      <x:c r="L69" s="34" t="str"/>
      <x:c r="M69" s="35" t="str"/>
    </x:row>
    <x:row r="70">
      <x:c r="A70" s="33" t="str">
        <x:v>cooler</x:v>
      </x:c>
      <x:c r="B70" s="34" t="str">
        <x:v>cooler-galahad-white</x:v>
      </x:c>
      <x:c r="C70" s="34" t="str">
        <x:v>Lian Li Galahad II Trinity 360 White</x:v>
      </x:c>
      <x:c r="D70" s="34" t="str">
        <x:v>Lian Li</x:v>
      </x:c>
      <x:c r="E70" s="85" t="n">
        <x:v>199</x:v>
      </x:c>
      <x:c r="F70" s="34" t="str">
        <x:v>USD</x:v>
      </x:c>
      <x:c r="G70" s="34" t="str">
        <x:v>reference</x:v>
      </x:c>
      <x:c r="H70" s="34" t="str">
        <x:v>baseline seed</x:v>
      </x:c>
      <x:c r="I70" s="34" t="str">
        <x:v>supportedSockets=AM5/LGA1700/LGA1851; tdpRatingWatts=320; type=aio</x:v>
      </x:c>
      <x:c r="J70" s="34" t="str">
        <x:v>aio, 320W, white, rgb</x:v>
      </x:c>
      <x:c r="K70" s="34" t="str">
        <x:v>Liquid cooler rated for 320W.</x:v>
      </x:c>
      <x:c r="L70" s="34" t="str"/>
      <x:c r="M70" s="35" t="str"/>
    </x:row>
    <x:row r="71">
      <x:c r="A71" s="33" t="str">
        <x:v>cooler</x:v>
      </x:c>
      <x:c r="B71" s="34" t="str">
        <x:v>cooler-ps120</x:v>
      </x:c>
      <x:c r="C71" s="34" t="str">
        <x:v>Thermalright Phantom Spirit 120 SE</x:v>
      </x:c>
      <x:c r="D71" s="34" t="str">
        <x:v>Thermalright</x:v>
      </x:c>
      <x:c r="E71" s="85" t="n">
        <x:v>45</x:v>
      </x:c>
      <x:c r="F71" s="34" t="str">
        <x:v>USD</x:v>
      </x:c>
      <x:c r="G71" s="34" t="str">
        <x:v>reference</x:v>
      </x:c>
      <x:c r="H71" s="34" t="str">
        <x:v>2026-06-28</x:v>
      </x:c>
      <x:c r="I71" s="34" t="str">
        <x:v>supportedSockets=AM5/LGA1700/LGA1851; tdpRatingWatts=240; heightMm=154; type=air</x:v>
      </x:c>
      <x:c r="J71" s="34" t="str">
        <x:v>air, 240W, quiet, value</x:v>
      </x:c>
      <x:c r="K71" s="34" t="str">
        <x:v>Air cooler rated for 240W.</x:v>
      </x:c>
      <x:c r="L71" s="34" t="str">
        <x:v>https://www.thermalright.com/product/phantom-spirit-120-se/</x:v>
      </x:c>
      <x:c r="M71" s="35" t="str">
        <x:v>https://www.thermalright.com/product/phantom-spirit-120-se/</x:v>
      </x:c>
    </x:row>
    <x:row r="72">
      <x:c r="A72" s="33" t="str">
        <x:v>cooler</x:v>
      </x:c>
      <x:c r="B72" s="34" t="str">
        <x:v>cooler-lf3-pro-360</x:v>
      </x:c>
      <x:c r="C72" s="34" t="str">
        <x:v>Arctic Liquid Freezer III Pro 360</x:v>
      </x:c>
      <x:c r="D72" s="34" t="str">
        <x:v>Arctic</x:v>
      </x:c>
      <x:c r="E72" s="85" t="n">
        <x:v>149</x:v>
      </x:c>
      <x:c r="F72" s="34" t="str">
        <x:v>USD</x:v>
      </x:c>
      <x:c r="G72" s="34" t="str">
        <x:v>reference</x:v>
      </x:c>
      <x:c r="H72" s="34" t="str">
        <x:v>2026-06-28</x:v>
      </x:c>
      <x:c r="I72" s="34" t="str">
        <x:v>supportedSockets=AM5/LGA1700/LGA1851; tdpRatingWatts=350; type=aio</x:v>
      </x:c>
      <x:c r="J72" s="34" t="str">
        <x:v>aio, 350W, quiet, high-power</x:v>
      </x:c>
      <x:c r="K72" s="34" t="str">
        <x:v>Liquid cooler rated for 350W.</x:v>
      </x:c>
      <x:c r="L72" s="34" t="str">
        <x:v>https://www.arctic.de/en/Liquid-Freezer-III-Pro-360/</x:v>
      </x:c>
      <x:c r="M72" s="35" t="str">
        <x:v>https://www.arctic.de/en/Liquid-Freezer-III-Pro-360/</x:v>
      </x:c>
    </x:row>
    <x:row r="73">
      <x:c r="A73" s="33" t="str">
        <x:v>cooler</x:v>
      </x:c>
      <x:c r="B73" s="34" t="str">
        <x:v>cooler-nautilus-white</x:v>
      </x:c>
      <x:c r="C73" s="34" t="str">
        <x:v>Corsair NAUTILUS 360 RS ARGB White</x:v>
      </x:c>
      <x:c r="D73" s="34" t="str">
        <x:v>Corsair</x:v>
      </x:c>
      <x:c r="E73" s="85" t="n">
        <x:v>159</x:v>
      </x:c>
      <x:c r="F73" s="34" t="str">
        <x:v>USD</x:v>
      </x:c>
      <x:c r="G73" s="34" t="str">
        <x:v>reference</x:v>
      </x:c>
      <x:c r="H73" s="34" t="str">
        <x:v>2026-06-28</x:v>
      </x:c>
      <x:c r="I73" s="34" t="str">
        <x:v>supportedSockets=AM5/LGA1700/LGA1851; tdpRatingWatts=330; type=aio</x:v>
      </x:c>
      <x:c r="J73" s="34" t="str">
        <x:v>aio, 330W, white, rgb</x:v>
      </x:c>
      <x:c r="K73" s="34" t="str">
        <x:v>Liquid cooler rated for 330W.</x:v>
      </x:c>
      <x:c r="L73" s="34" t="str">
        <x:v>https://www.corsair.com/us/en/p/cpu-coolers/cw-9060093-ww/nautilus-360-rs-argb-liquid-cpu-cooler-white-cw-9060093-ww</x:v>
      </x:c>
      <x:c r="M73" s="35" t="str">
        <x:v>https://www.corsair.com/us/en/p/cpu-coolers/cw-9060093-ww/nautilus-360-rs-argb-liquid-cpu-cooler-white-cw-9060093-ww</x:v>
      </x:c>
    </x:row>
    <x:row r="74">
      <x:c r="A74" s="33" t="str">
        <x:v>psu</x:v>
      </x:c>
      <x:c r="B74" s="34" t="str">
        <x:v>psu-650</x:v>
      </x:c>
      <x:c r="C74" s="34" t="str">
        <x:v>Corsair RM650e</x:v>
      </x:c>
      <x:c r="D74" s="34" t="str">
        <x:v>Corsair</x:v>
      </x:c>
      <x:c r="E74" s="85" t="n">
        <x:v>99</x:v>
      </x:c>
      <x:c r="F74" s="34" t="str">
        <x:v>USD</x:v>
      </x:c>
      <x:c r="G74" s="34" t="str">
        <x:v>reference</x:v>
      </x:c>
      <x:c r="H74" s="34" t="str">
        <x:v>baseline seed</x:v>
      </x:c>
      <x:c r="I74" s="34" t="str">
        <x:v>wattage=650; efficiency=Gold; formFactor=ATX; modular=true</x:v>
      </x:c>
      <x:c r="J74" s="34" t="str">
        <x:v>650W, Gold, ATX</x:v>
      </x:c>
      <x:c r="K74" s="34" t="str">
        <x:v>650W fully modular Gold power supply.</x:v>
      </x:c>
      <x:c r="L74" s="34" t="str"/>
      <x:c r="M74" s="35" t="str"/>
    </x:row>
    <x:row r="75">
      <x:c r="A75" s="33" t="str">
        <x:v>psu</x:v>
      </x:c>
      <x:c r="B75" s="34" t="str">
        <x:v>psu-750</x:v>
      </x:c>
      <x:c r="C75" s="34" t="str">
        <x:v>Corsair RM750e</x:v>
      </x:c>
      <x:c r="D75" s="34" t="str">
        <x:v>Corsair</x:v>
      </x:c>
      <x:c r="E75" s="85" t="n">
        <x:v>119</x:v>
      </x:c>
      <x:c r="F75" s="34" t="str">
        <x:v>USD</x:v>
      </x:c>
      <x:c r="G75" s="34" t="str">
        <x:v>reference</x:v>
      </x:c>
      <x:c r="H75" s="34" t="str">
        <x:v>baseline seed</x:v>
      </x:c>
      <x:c r="I75" s="34" t="str">
        <x:v>wattage=750; efficiency=Gold; formFactor=ATX; modular=true</x:v>
      </x:c>
      <x:c r="J75" s="34" t="str">
        <x:v>750W, Gold, ATX</x:v>
      </x:c>
      <x:c r="K75" s="34" t="str">
        <x:v>750W fully modular Gold power supply.</x:v>
      </x:c>
      <x:c r="L75" s="34" t="str"/>
      <x:c r="M75" s="35" t="str"/>
    </x:row>
    <x:row r="76">
      <x:c r="A76" s="33" t="str">
        <x:v>psu</x:v>
      </x:c>
      <x:c r="B76" s="34" t="str">
        <x:v>psu-850</x:v>
      </x:c>
      <x:c r="C76" s="34" t="str">
        <x:v>Seasonic Focus GX-850</x:v>
      </x:c>
      <x:c r="D76" s="34" t="str">
        <x:v>Seasonic</x:v>
      </x:c>
      <x:c r="E76" s="85" t="n">
        <x:v>149</x:v>
      </x:c>
      <x:c r="F76" s="34" t="str">
        <x:v>USD</x:v>
      </x:c>
      <x:c r="G76" s="34" t="str">
        <x:v>reference</x:v>
      </x:c>
      <x:c r="H76" s="34" t="str">
        <x:v>baseline seed</x:v>
      </x:c>
      <x:c r="I76" s="34" t="str">
        <x:v>wattage=850; efficiency=Gold; formFactor=ATX; modular=true</x:v>
      </x:c>
      <x:c r="J76" s="34" t="str">
        <x:v>850W, Gold, ATX</x:v>
      </x:c>
      <x:c r="K76" s="34" t="str">
        <x:v>850W fully modular Gold power supply.</x:v>
      </x:c>
      <x:c r="L76" s="34" t="str"/>
      <x:c r="M76" s="35" t="str"/>
    </x:row>
    <x:row r="77">
      <x:c r="A77" s="33" t="str">
        <x:v>psu</x:v>
      </x:c>
      <x:c r="B77" s="34" t="str">
        <x:v>psu-1000</x:v>
      </x:c>
      <x:c r="C77" s="34" t="str">
        <x:v>Corsair RM1000x</x:v>
      </x:c>
      <x:c r="D77" s="34" t="str">
        <x:v>Corsair</x:v>
      </x:c>
      <x:c r="E77" s="85" t="n">
        <x:v>189</x:v>
      </x:c>
      <x:c r="F77" s="34" t="str">
        <x:v>USD</x:v>
      </x:c>
      <x:c r="G77" s="34" t="str">
        <x:v>reference</x:v>
      </x:c>
      <x:c r="H77" s="34" t="str">
        <x:v>baseline seed</x:v>
      </x:c>
      <x:c r="I77" s="34" t="str">
        <x:v>wattage=1000; efficiency=Gold; formFactor=ATX; modular=true</x:v>
      </x:c>
      <x:c r="J77" s="34" t="str">
        <x:v>1000W, Gold, ATX</x:v>
      </x:c>
      <x:c r="K77" s="34" t="str">
        <x:v>1000W fully modular Gold power supply.</x:v>
      </x:c>
      <x:c r="L77" s="34" t="str"/>
      <x:c r="M77" s="35" t="str"/>
    </x:row>
    <x:row r="78">
      <x:c r="A78" s="33" t="str">
        <x:v>psu</x:v>
      </x:c>
      <x:c r="B78" s="34" t="str">
        <x:v>psu-1000-white</x:v>
      </x:c>
      <x:c r="C78" s="34" t="str">
        <x:v>Corsair RM1000x SHIFT White</x:v>
      </x:c>
      <x:c r="D78" s="34" t="str">
        <x:v>Corsair</x:v>
      </x:c>
      <x:c r="E78" s="85" t="n">
        <x:v>229</x:v>
      </x:c>
      <x:c r="F78" s="34" t="str">
        <x:v>USD</x:v>
      </x:c>
      <x:c r="G78" s="34" t="str">
        <x:v>reference</x:v>
      </x:c>
      <x:c r="H78" s="34" t="str">
        <x:v>baseline seed</x:v>
      </x:c>
      <x:c r="I78" s="34" t="str">
        <x:v>wattage=1000; efficiency=Gold; formFactor=ATX; modular=true</x:v>
      </x:c>
      <x:c r="J78" s="34" t="str">
        <x:v>1000W, Gold, ATX, white</x:v>
      </x:c>
      <x:c r="K78" s="34" t="str">
        <x:v>1000W fully modular Gold power supply.</x:v>
      </x:c>
      <x:c r="L78" s="34" t="str"/>
      <x:c r="M78" s="35" t="str"/>
    </x:row>
    <x:row r="79">
      <x:c r="A79" s="33" t="str">
        <x:v>psu</x:v>
      </x:c>
      <x:c r="B79" s="34" t="str">
        <x:v>psu-1200-white</x:v>
      </x:c>
      <x:c r="C79" s="34" t="str">
        <x:v>Thermaltake Toughpower GF3 1200W Snow</x:v>
      </x:c>
      <x:c r="D79" s="34" t="str">
        <x:v>Thermaltake</x:v>
      </x:c>
      <x:c r="E79" s="85" t="n">
        <x:v>249</x:v>
      </x:c>
      <x:c r="F79" s="34" t="str">
        <x:v>USD</x:v>
      </x:c>
      <x:c r="G79" s="34" t="str">
        <x:v>reference</x:v>
      </x:c>
      <x:c r="H79" s="34" t="str">
        <x:v>baseline seed</x:v>
      </x:c>
      <x:c r="I79" s="34" t="str">
        <x:v>wattage=1200; efficiency=Gold; formFactor=ATX; modular=true</x:v>
      </x:c>
      <x:c r="J79" s="34" t="str">
        <x:v>1200W, Gold, ATX, white</x:v>
      </x:c>
      <x:c r="K79" s="34" t="str">
        <x:v>1200W fully modular Gold power supply.</x:v>
      </x:c>
      <x:c r="L79" s="34" t="str"/>
      <x:c r="M79" s="35" t="str"/>
    </x:row>
    <x:row r="80">
      <x:c r="A80" s="33" t="str">
        <x:v>psu</x:v>
      </x:c>
      <x:c r="B80" s="34" t="str">
        <x:v>psu-1200</x:v>
      </x:c>
      <x:c r="C80" s="34" t="str">
        <x:v>be quiet! Dark Power 13</x:v>
      </x:c>
      <x:c r="D80" s="34" t="str">
        <x:v>be</x:v>
      </x:c>
      <x:c r="E80" s="85" t="n">
        <x:v>279</x:v>
      </x:c>
      <x:c r="F80" s="34" t="str">
        <x:v>USD</x:v>
      </x:c>
      <x:c r="G80" s="34" t="str">
        <x:v>reference</x:v>
      </x:c>
      <x:c r="H80" s="34" t="str">
        <x:v>baseline seed</x:v>
      </x:c>
      <x:c r="I80" s="34" t="str">
        <x:v>wattage=1200; efficiency=Titanium; formFactor=ATX; modular=true</x:v>
      </x:c>
      <x:c r="J80" s="34" t="str">
        <x:v>1200W, Titanium, ATX</x:v>
      </x:c>
      <x:c r="K80" s="34" t="str">
        <x:v>1200W fully modular Titanium power supply.</x:v>
      </x:c>
      <x:c r="L80" s="34" t="str"/>
      <x:c r="M80" s="35" t="str"/>
    </x:row>
    <x:row r="81">
      <x:c r="A81" s="33" t="str">
        <x:v>psu</x:v>
      </x:c>
      <x:c r="B81" s="34" t="str">
        <x:v>psu-1600</x:v>
      </x:c>
      <x:c r="C81" s="34" t="str">
        <x:v>be quiet! Dark Power Pro 13 1600W</x:v>
      </x:c>
      <x:c r="D81" s="34" t="str">
        <x:v>be</x:v>
      </x:c>
      <x:c r="E81" s="85" t="n">
        <x:v>499</x:v>
      </x:c>
      <x:c r="F81" s="34" t="str">
        <x:v>USD</x:v>
      </x:c>
      <x:c r="G81" s="34" t="str">
        <x:v>reference</x:v>
      </x:c>
      <x:c r="H81" s="34" t="str">
        <x:v>baseline seed</x:v>
      </x:c>
      <x:c r="I81" s="34" t="str">
        <x:v>wattage=1600; efficiency=Titanium; formFactor=ATX; modular=true</x:v>
      </x:c>
      <x:c r="J81" s="34" t="str">
        <x:v>1600W, Titanium, ATX</x:v>
      </x:c>
      <x:c r="K81" s="34" t="str">
        <x:v>1600W fully modular Titanium power supply.</x:v>
      </x:c>
      <x:c r="L81" s="34" t="str"/>
      <x:c r="M81" s="35" t="str"/>
    </x:row>
    <x:row r="82">
      <x:c r="A82" s="33" t="str">
        <x:v>psu</x:v>
      </x:c>
      <x:c r="B82" s="34" t="str">
        <x:v>psu-sfx750</x:v>
      </x:c>
      <x:c r="C82" s="34" t="str">
        <x:v>Corsair SF750</x:v>
      </x:c>
      <x:c r="D82" s="34" t="str">
        <x:v>Corsair</x:v>
      </x:c>
      <x:c r="E82" s="85" t="n">
        <x:v>169</x:v>
      </x:c>
      <x:c r="F82" s="34" t="str">
        <x:v>USD</x:v>
      </x:c>
      <x:c r="G82" s="34" t="str">
        <x:v>reference</x:v>
      </x:c>
      <x:c r="H82" s="34" t="str">
        <x:v>baseline seed</x:v>
      </x:c>
      <x:c r="I82" s="34" t="str">
        <x:v>wattage=750; efficiency=Platinum; formFactor=SFX; modular=true</x:v>
      </x:c>
      <x:c r="J82" s="34" t="str">
        <x:v>750W, Platinum, SFX</x:v>
      </x:c>
      <x:c r="K82" s="34" t="str">
        <x:v>750W fully modular Platinum power supply.</x:v>
      </x:c>
      <x:c r="L82" s="34" t="str"/>
      <x:c r="M82" s="35" t="str"/>
    </x:row>
    <x:row r="83">
      <x:c r="A83" s="33" t="str">
        <x:v>psu</x:v>
      </x:c>
      <x:c r="B83" s="34" t="str">
        <x:v>psu-rm1200x-shift-white</x:v>
      </x:c>
      <x:c r="C83" s="34" t="str">
        <x:v>Corsair RM1200x SHIFT White ATX 3.1</x:v>
      </x:c>
      <x:c r="D83" s="34" t="str">
        <x:v>Corsair</x:v>
      </x:c>
      <x:c r="E83" s="85" t="n">
        <x:v>269</x:v>
      </x:c>
      <x:c r="F83" s="34" t="str">
        <x:v>USD</x:v>
      </x:c>
      <x:c r="G83" s="34" t="str">
        <x:v>retail</x:v>
      </x:c>
      <x:c r="H83" s="34" t="str">
        <x:v>2026-06-28</x:v>
      </x:c>
      <x:c r="I83" s="34" t="str">
        <x:v>wattage=1200; efficiency=Gold; formFactor=ATX; modular=true</x:v>
      </x:c>
      <x:c r="J83" s="34" t="str">
        <x:v>1200W, Gold, ATX, white, atx3.1, 12v-2x6</x:v>
      </x:c>
      <x:c r="K83" s="34" t="str">
        <x:v>1200W fully modular Gold power supply.</x:v>
      </x:c>
      <x:c r="L83" s="34" t="str">
        <x:v>https://www.corsair.com/us/en/p/psu/cp-9020276-na/rm1200x-shift-80-plus-gold-fully-modular-atx-power-supply-white-na-cp-9020276-na</x:v>
      </x:c>
      <x:c r="M83" s="35" t="str">
        <x:v>https://www.corsair.com/us/en/p/psu/cp-9020276-na/rm1200x-shift-80-plus-gold-fully-modular-atx-power-supply-white-na-cp-9020276-na</x:v>
      </x:c>
    </x:row>
    <x:row r="84">
      <x:c r="A84" s="33" t="str">
        <x:v>psu</x:v>
      </x:c>
      <x:c r="B84" s="34" t="str">
        <x:v>psu-vertex-px1200</x:v>
      </x:c>
      <x:c r="C84" s="34" t="str">
        <x:v>Seasonic Vertex PX-1200 ATX 3.1</x:v>
      </x:c>
      <x:c r="D84" s="34" t="str">
        <x:v>Seasonic</x:v>
      </x:c>
      <x:c r="E84" s="85" t="n">
        <x:v>329</x:v>
      </x:c>
      <x:c r="F84" s="34" t="str">
        <x:v>USD</x:v>
      </x:c>
      <x:c r="G84" s="34" t="str">
        <x:v>reference</x:v>
      </x:c>
      <x:c r="H84" s="34" t="str">
        <x:v>2026-06-28</x:v>
      </x:c>
      <x:c r="I84" s="34" t="str">
        <x:v>wattage=1200; efficiency=Platinum; formFactor=ATX; modular=true</x:v>
      </x:c>
      <x:c r="J84" s="34" t="str">
        <x:v>1200W, Platinum, ATX, atx3.1, 12v-2x6, quiet</x:v>
      </x:c>
      <x:c r="K84" s="34" t="str">
        <x:v>1200W fully modular Platinum power supply.</x:v>
      </x:c>
      <x:c r="L84" s="34" t="str">
        <x:v>https://seasonic.com/vertex-px/</x:v>
      </x:c>
      <x:c r="M84" s="35" t="str">
        <x:v>https://seasonic.com/vertex-px/</x:v>
      </x:c>
    </x:row>
    <x:row r="85">
      <x:c r="A85" s="33" t="str">
        <x:v>psu</x:v>
      </x:c>
      <x:c r="B85" s="34" t="str">
        <x:v>psu-sfx1000</x:v>
      </x:c>
      <x:c r="C85" s="34" t="str">
        <x:v>Corsair SF1000 Platinum</x:v>
      </x:c>
      <x:c r="D85" s="34" t="str">
        <x:v>Corsair</x:v>
      </x:c>
      <x:c r="E85" s="85" t="n">
        <x:v>239</x:v>
      </x:c>
      <x:c r="F85" s="34" t="str">
        <x:v>USD</x:v>
      </x:c>
      <x:c r="G85" s="34" t="str">
        <x:v>reference</x:v>
      </x:c>
      <x:c r="H85" s="34" t="str">
        <x:v>2026-06-28</x:v>
      </x:c>
      <x:c r="I85" s="34" t="str">
        <x:v>wattage=1000; efficiency=Platinum; formFactor=SFX; modular=true</x:v>
      </x:c>
      <x:c r="J85" s="34" t="str">
        <x:v>1000W, Platinum, SFX, sff, atx3.1, 12v-2x6</x:v>
      </x:c>
      <x:c r="K85" s="34" t="str">
        <x:v>1000W fully modular Platinum power supply.</x:v>
      </x:c>
      <x:c r="L85" s="34" t="str">
        <x:v>https://www.corsair.com/us/en/p/psu/cp-9020257-na/sf-series-sf1000-fully-modular-80-plus-platinum-sfx-power-supply-cp-9020257-na</x:v>
      </x:c>
      <x:c r="M85" s="35" t="str">
        <x:v>https://www.corsair.com/us/en/p/psu/cp-9020257-na/sf-series-sf1000-fully-modular-80-plus-platinum-sfx-power-supply-cp-9020257-na</x:v>
      </x:c>
    </x:row>
    <x:row r="86">
      <x:c r="A86" s="33" t="str">
        <x:v>case</x:v>
      </x:c>
      <x:c r="B86" s="34" t="str">
        <x:v>case-north</x:v>
      </x:c>
      <x:c r="C86" s="34" t="str">
        <x:v>Fractal North</x:v>
      </x:c>
      <x:c r="D86" s="34" t="str">
        <x:v>Fractal</x:v>
      </x:c>
      <x:c r="E86" s="85" t="n">
        <x:v>139</x:v>
      </x:c>
      <x:c r="F86" s="34" t="str">
        <x:v>USD</x:v>
      </x:c>
      <x:c r="G86" s="34" t="str">
        <x:v>reference</x:v>
      </x:c>
      <x:c r="H86" s="34" t="str">
        <x:v>baseline seed</x:v>
      </x:c>
      <x:c r="I86" s="34" t="str">
        <x:v>supportedMotherboardFormFactors=ATX/Micro-ATX/Mini-ITX; maxGpuLengthMm=355; maxCoolerHeightMm=170; psuFormFactors=ATX/SFX</x:v>
      </x:c>
      <x:c r="J86" s="34" t="str">
        <x:v>ATX, Micro-ATX, Mini-ITX, airflow</x:v>
      </x:c>
      <x:c r="K86" s="34" t="str">
        <x:v>Enclosure with 355mm GPU and 170mm air-cooler clearance.</x:v>
      </x:c>
      <x:c r="L86" s="34" t="str"/>
      <x:c r="M86" s="35" t="str"/>
    </x:row>
    <x:row r="87">
      <x:c r="A87" s="33" t="str">
        <x:v>case</x:v>
      </x:c>
      <x:c r="B87" s="34" t="str">
        <x:v>case-4000d</x:v>
      </x:c>
      <x:c r="C87" s="34" t="str">
        <x:v>Corsair 4000D Airflow</x:v>
      </x:c>
      <x:c r="D87" s="34" t="str">
        <x:v>Corsair</x:v>
      </x:c>
      <x:c r="E87" s="85" t="n">
        <x:v>104</x:v>
      </x:c>
      <x:c r="F87" s="34" t="str">
        <x:v>USD</x:v>
      </x:c>
      <x:c r="G87" s="34" t="str">
        <x:v>reference</x:v>
      </x:c>
      <x:c r="H87" s="34" t="str">
        <x:v>baseline seed</x:v>
      </x:c>
      <x:c r="I87" s="34" t="str">
        <x:v>supportedMotherboardFormFactors=ATX/Micro-ATX/Mini-ITX; maxGpuLengthMm=360; maxCoolerHeightMm=170; psuFormFactors=ATX/SFX</x:v>
      </x:c>
      <x:c r="J87" s="34" t="str">
        <x:v>ATX, Micro-ATX, Mini-ITX, airflow</x:v>
      </x:c>
      <x:c r="K87" s="34" t="str">
        <x:v>Enclosure with 360mm GPU and 170mm air-cooler clearance.</x:v>
      </x:c>
      <x:c r="L87" s="34" t="str"/>
      <x:c r="M87" s="35" t="str"/>
    </x:row>
    <x:row r="88">
      <x:c r="A88" s="33" t="str">
        <x:v>case</x:v>
      </x:c>
      <x:c r="B88" s="34" t="str">
        <x:v>case-h5</x:v>
      </x:c>
      <x:c r="C88" s="34" t="str">
        <x:v>NZXT H5 Flow</x:v>
      </x:c>
      <x:c r="D88" s="34" t="str">
        <x:v>NZXT</x:v>
      </x:c>
      <x:c r="E88" s="85" t="n">
        <x:v>94</x:v>
      </x:c>
      <x:c r="F88" s="34" t="str">
        <x:v>USD</x:v>
      </x:c>
      <x:c r="G88" s="34" t="str">
        <x:v>reference</x:v>
      </x:c>
      <x:c r="H88" s="34" t="str">
        <x:v>baseline seed</x:v>
      </x:c>
      <x:c r="I88" s="34" t="str">
        <x:v>supportedMotherboardFormFactors=ATX/Micro-ATX/Mini-ITX; maxGpuLengthMm=365; maxCoolerHeightMm=165; psuFormFactors=ATX/SFX</x:v>
      </x:c>
      <x:c r="J88" s="34" t="str">
        <x:v>ATX, Micro-ATX, Mini-ITX, airflow</x:v>
      </x:c>
      <x:c r="K88" s="34" t="str">
        <x:v>Enclosure with 365mm GPU and 165mm air-cooler clearance.</x:v>
      </x:c>
      <x:c r="L88" s="34" t="str"/>
      <x:c r="M88" s="35" t="str"/>
    </x:row>
    <x:row r="89">
      <x:c r="A89" s="33" t="str">
        <x:v>case</x:v>
      </x:c>
      <x:c r="B89" s="34" t="str">
        <x:v>case-o11</x:v>
      </x:c>
      <x:c r="C89" s="34" t="str">
        <x:v>Lian Li O11 Dynamic EVO</x:v>
      </x:c>
      <x:c r="D89" s="34" t="str">
        <x:v>Lian Li</x:v>
      </x:c>
      <x:c r="E89" s="85" t="n">
        <x:v>169</x:v>
      </x:c>
      <x:c r="F89" s="34" t="str">
        <x:v>USD</x:v>
      </x:c>
      <x:c r="G89" s="34" t="str">
        <x:v>reference</x:v>
      </x:c>
      <x:c r="H89" s="34" t="str">
        <x:v>baseline seed</x:v>
      </x:c>
      <x:c r="I89" s="34" t="str">
        <x:v>supportedMotherboardFormFactors=ATX/Micro-ATX/Mini-ITX; maxGpuLengthMm=426; maxCoolerHeightMm=167; psuFormFactors=ATX/SFX</x:v>
      </x:c>
      <x:c r="J89" s="34" t="str">
        <x:v>ATX, Micro-ATX, Mini-ITX, airflow, panoramic</x:v>
      </x:c>
      <x:c r="K89" s="34" t="str">
        <x:v>Enclosure with 426mm GPU and 167mm air-cooler clearance.</x:v>
      </x:c>
      <x:c r="L89" s="34" t="str"/>
      <x:c r="M89" s="35" t="str"/>
    </x:row>
    <x:row r="90">
      <x:c r="A90" s="33" t="str">
        <x:v>case</x:v>
      </x:c>
      <x:c r="B90" s="34" t="str">
        <x:v>case-h6-rgb-white</x:v>
      </x:c>
      <x:c r="C90" s="34" t="str">
        <x:v>NZXT H6 Flow RGB White</x:v>
      </x:c>
      <x:c r="D90" s="34" t="str">
        <x:v>NZXT</x:v>
      </x:c>
      <x:c r="E90" s="85" t="n">
        <x:v>134</x:v>
      </x:c>
      <x:c r="F90" s="34" t="str">
        <x:v>USD</x:v>
      </x:c>
      <x:c r="G90" s="34" t="str">
        <x:v>reference</x:v>
      </x:c>
      <x:c r="H90" s="34" t="str">
        <x:v>baseline seed</x:v>
      </x:c>
      <x:c r="I90" s="34" t="str">
        <x:v>supportedMotherboardFormFactors=ATX/Micro-ATX/Mini-ITX; maxGpuLengthMm=365; maxCoolerHeightMm=163; psuFormFactors=ATX/SFX</x:v>
      </x:c>
      <x:c r="J90" s="34" t="str">
        <x:v>ATX, Micro-ATX, Mini-ITX, airflow, white, rgb, panoramic</x:v>
      </x:c>
      <x:c r="K90" s="34" t="str">
        <x:v>Enclosure with 365mm GPU and 163mm air-cooler clearance.</x:v>
      </x:c>
      <x:c r="L90" s="34" t="str"/>
      <x:c r="M90" s="35" t="str"/>
    </x:row>
    <x:row r="91">
      <x:c r="A91" s="33" t="str">
        <x:v>case</x:v>
      </x:c>
      <x:c r="B91" s="34" t="str">
        <x:v>case-nr200</x:v>
      </x:c>
      <x:c r="C91" s="34" t="str">
        <x:v>Cooler Master NR200P</x:v>
      </x:c>
      <x:c r="D91" s="34" t="str">
        <x:v>Cooler Master</x:v>
      </x:c>
      <x:c r="E91" s="85" t="n">
        <x:v>109</x:v>
      </x:c>
      <x:c r="F91" s="34" t="str">
        <x:v>USD</x:v>
      </x:c>
      <x:c r="G91" s="34" t="str">
        <x:v>reference</x:v>
      </x:c>
      <x:c r="H91" s="34" t="str">
        <x:v>baseline seed</x:v>
      </x:c>
      <x:c r="I91" s="34" t="str">
        <x:v>supportedMotherboardFormFactors=Mini-ITX; maxGpuLengthMm=330; maxCoolerHeightMm=155; psuFormFactors=SFX</x:v>
      </x:c>
      <x:c r="J91" s="34" t="str">
        <x:v>Mini-ITX, airflow</x:v>
      </x:c>
      <x:c r="K91" s="34" t="str">
        <x:v>Enclosure with 330mm GPU and 155mm air-cooler clearance.</x:v>
      </x:c>
      <x:c r="L91" s="34" t="str"/>
      <x:c r="M91" s="35" t="str"/>
    </x:row>
    <x:row r="92">
      <x:c r="A92" s="33" t="str">
        <x:v>case</x:v>
      </x:c>
      <x:c r="B92" s="34" t="str">
        <x:v>case-h9-rgb-white</x:v>
      </x:c>
      <x:c r="C92" s="34" t="str">
        <x:v>NZXT H9 Flow RGB White</x:v>
      </x:c>
      <x:c r="D92" s="34" t="str">
        <x:v>NZXT</x:v>
      </x:c>
      <x:c r="E92" s="85" t="n">
        <x:v>169</x:v>
      </x:c>
      <x:c r="F92" s="34" t="str">
        <x:v>USD</x:v>
      </x:c>
      <x:c r="G92" s="34" t="str">
        <x:v>retail</x:v>
      </x:c>
      <x:c r="H92" s="34" t="str">
        <x:v>2026-06-28</x:v>
      </x:c>
      <x:c r="I92" s="34" t="str">
        <x:v>supportedMotherboardFormFactors=ATX/Micro-ATX/Mini-ITX; maxGpuLengthMm=435; maxCoolerHeightMm=185; psuFormFactors=ATX/SFX</x:v>
      </x:c>
      <x:c r="J92" s="34" t="str">
        <x:v>ATX, Micro-ATX, Mini-ITX, airflow, white, rgb, panoramic, dual-chamber</x:v>
      </x:c>
      <x:c r="K92" s="34" t="str">
        <x:v>Enclosure with 435mm GPU and 185mm air-cooler clearance.</x:v>
      </x:c>
      <x:c r="L92" s="34" t="str">
        <x:v>https://nzxt.com/products/h9-flow-rgb?variant=40595201032264</x:v>
      </x:c>
      <x:c r="M92" s="35" t="str">
        <x:v>https://nzxt.com/products/h9-flow-rgb?variant=40595201032264</x:v>
      </x:c>
    </x:row>
    <x:row r="93">
      <x:c r="A93" s="33" t="str">
        <x:v>case</x:v>
      </x:c>
      <x:c r="B93" s="34" t="str">
        <x:v>case-north-xl</x:v>
      </x:c>
      <x:c r="C93" s="34" t="str">
        <x:v>Fractal Design North XL</x:v>
      </x:c>
      <x:c r="D93" s="34" t="str">
        <x:v>Fractal</x:v>
      </x:c>
      <x:c r="E93" s="85" t="n">
        <x:v>179</x:v>
      </x:c>
      <x:c r="F93" s="34" t="str">
        <x:v>USD</x:v>
      </x:c>
      <x:c r="G93" s="34" t="str">
        <x:v>reference</x:v>
      </x:c>
      <x:c r="H93" s="34" t="str">
        <x:v>2026-06-28</x:v>
      </x:c>
      <x:c r="I93" s="34" t="str">
        <x:v>supportedMotherboardFormFactors=ATX/Micro-ATX/Mini-ITX; maxGpuLengthMm=413; maxCoolerHeightMm=185; psuFormFactors=ATX/SFX</x:v>
      </x:c>
      <x:c r="J93" s="34" t="str">
        <x:v>ATX, Micro-ATX, Mini-ITX, airflow, quiet, workstation, wood</x:v>
      </x:c>
      <x:c r="K93" s="34" t="str">
        <x:v>Enclosure with 413mm GPU and 185mm air-cooler clearance.</x:v>
      </x:c>
      <x:c r="L93" s="34" t="str">
        <x:v>https://www.fractal-design.com/products/cases/north/north-xl/</x:v>
      </x:c>
      <x:c r="M93" s="35" t="str">
        <x:v>https://www.fractal-design.com/products/cases/north/north-xl/</x:v>
      </x:c>
    </x:row>
    <x:row r="94">
      <x:c r="A94" s="33" t="str">
        <x:v>case</x:v>
      </x:c>
      <x:c r="B94" s="34" t="str">
        <x:v>case-o11-evo-rgb-white</x:v>
      </x:c>
      <x:c r="C94" s="34" t="str">
        <x:v>Lian Li O11D EVO RGB White</x:v>
      </x:c>
      <x:c r="D94" s="34" t="str">
        <x:v>Lian Li</x:v>
      </x:c>
      <x:c r="E94" s="85" t="n">
        <x:v>179</x:v>
      </x:c>
      <x:c r="F94" s="34" t="str">
        <x:v>USD</x:v>
      </x:c>
      <x:c r="G94" s="34" t="str">
        <x:v>reference</x:v>
      </x:c>
      <x:c r="H94" s="34" t="str">
        <x:v>2026-06-28</x:v>
      </x:c>
      <x:c r="I94" s="34" t="str">
        <x:v>supportedMotherboardFormFactors=ATX/Micro-ATX/Mini-ITX; maxGpuLengthMm=455; maxCoolerHeightMm=167; psuFormFactors=ATX/SFX</x:v>
      </x:c>
      <x:c r="J94" s="34" t="str">
        <x:v>ATX, Micro-ATX, Mini-ITX, airflow, white, rgb, panoramic, dual-chamber</x:v>
      </x:c>
      <x:c r="K94" s="34" t="str">
        <x:v>Enclosure with 455mm GPU and 167mm air-cooler clearance.</x:v>
      </x:c>
      <x:c r="L94" s="34" t="str">
        <x:v>https://lian-li.com/product/o11d-evo-rgb/</x:v>
      </x:c>
      <x:c r="M94" s="35" t="str">
        <x:v>https://lian-li.com/product/o11d-evo-rgb/</x:v>
      </x:c>
    </x:row>
    <x:row r="95">
      <x:c r="A95" s="33" t="str">
        <x:v>case</x:v>
      </x:c>
      <x:c r="B95" s="34" t="str">
        <x:v>case-terra</x:v>
      </x:c>
      <x:c r="C95" s="34" t="str">
        <x:v>Fractal Design Terra</x:v>
      </x:c>
      <x:c r="D95" s="34" t="str">
        <x:v>Fractal</x:v>
      </x:c>
      <x:c r="E95" s="85" t="n">
        <x:v>179</x:v>
      </x:c>
      <x:c r="F95" s="34" t="str">
        <x:v>USD</x:v>
      </x:c>
      <x:c r="G95" s="34" t="str">
        <x:v>reference</x:v>
      </x:c>
      <x:c r="H95" s="34" t="str">
        <x:v>2026-06-28</x:v>
      </x:c>
      <x:c r="I95" s="34" t="str">
        <x:v>supportedMotherboardFormFactors=Mini-ITX; maxGpuLengthMm=322; maxCoolerHeightMm=77; psuFormFactors=SFX</x:v>
      </x:c>
      <x:c r="J95" s="34" t="str">
        <x:v>Mini-ITX, airflow, sff, compact, wood</x:v>
      </x:c>
      <x:c r="K95" s="34" t="str">
        <x:v>Enclosure with 322mm GPU and 77mm air-cooler clearance.</x:v>
      </x:c>
      <x:c r="L95" s="34" t="str">
        <x:v>https://www.fractal-design.com/products/cases/terra/terra/</x:v>
      </x:c>
      <x:c r="M95" s="35" t="str">
        <x:v>https://www.fractal-design.com/products/cases/terra/terra/</x:v>
      </x:c>
    </x:row>
    <x:row r="96">
      <x:c r="A96" s="38" t="str">
        <x:v>case</x:v>
      </x:c>
      <x:c r="B96" s="39" t="str">
        <x:v>case-3500x-white</x:v>
      </x:c>
      <x:c r="C96" s="39" t="str">
        <x:v>Corsair 3500X ARGB White</x:v>
      </x:c>
      <x:c r="D96" s="39" t="str">
        <x:v>Corsair</x:v>
      </x:c>
      <x:c r="E96" s="86" t="n">
        <x:v>109</x:v>
      </x:c>
      <x:c r="F96" s="39" t="str">
        <x:v>USD</x:v>
      </x:c>
      <x:c r="G96" s="39" t="str">
        <x:v>reference</x:v>
      </x:c>
      <x:c r="H96" s="39" t="str">
        <x:v>2026-06-28</x:v>
      </x:c>
      <x:c r="I96" s="39" t="str">
        <x:v>supportedMotherboardFormFactors=ATX/Micro-ATX/Mini-ITX; maxGpuLengthMm=410; maxCoolerHeightMm=170; psuFormFactors=ATX/SFX</x:v>
      </x:c>
      <x:c r="J96" s="39" t="str">
        <x:v>ATX, Micro-ATX, Mini-ITX, airflow, white, rgb, panoramic</x:v>
      </x:c>
      <x:c r="K96" s="39" t="str">
        <x:v>Enclosure with 410mm GPU and 170mm air-cooler clearance.</x:v>
      </x:c>
      <x:c r="L96" s="39" t="str">
        <x:v>https://www.corsair.com/us/en/p/pc-cases/cc-9011279-ww/3500x-argb-mid-tower-pc-case-white-cc-9011279-ww</x:v>
      </x:c>
      <x:c r="M96" s="40" t="str">
        <x:v>https://www.corsair.com/us/en/p/pc-cases/cc-9011279-ww/3500x-argb-mid-tower-pc-case-white-cc-9011279-ww</x:v>
      </x:c>
    </x:row>
  </x:sheetData>
  <x:mergeCells>
    <x:mergeCell ref="A1:M1"/>
    <x:mergeCell ref="A2:M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8" hidden="0" customWidth="1"/>
    <x:col min="2" max="2" width="90" hidden="0" customWidth="1"/>
    <x:col min="3" max="3" width="42" hidden="0" customWidth="1"/>
    <x:col min="4" max="4" width="20" hidden="0" customWidth="1"/>
    <x:col min="5" max="5" width="20" hidden="0" customWidth="1"/>
    <x:col min="6" max="6" width="20" hidden="0" customWidth="1"/>
  </x:cols>
  <x:sheetData>
    <x:row r="1" ht="38" customHeight="1">
      <x:c r="A1" s="3" t="str">
        <x:v>Sources, Method &amp; Audit Rules</x:v>
      </x:c>
      <x:c r="B1" s="3"/>
      <x:c r="C1" s="3"/>
      <x:c r="D1" s="3"/>
      <x:c r="E1" s="3"/>
      <x:c r="F1" s="3"/>
    </x:row>
    <x:row r="2" ht="22" customHeight="1">
      <x:c r="A2" s="6" t="str">
        <x:v>Reproducibility notes for this demo evaluation</x:v>
      </x:c>
      <x:c r="B2" s="6"/>
      <x:c r="C2" s="6"/>
      <x:c r="D2" s="6"/>
      <x:c r="E2" s="6"/>
      <x:c r="F2" s="6"/>
    </x:row>
    <x:row r="4" ht="28" customHeight="1">
      <x:c r="A4" s="30" t="str">
        <x:v>Method item</x:v>
      </x:c>
      <x:c r="B4" s="32" t="str">
        <x:v>Detail</x:v>
      </x:c>
    </x:row>
    <x:row r="5">
      <x:c r="A5" s="33" t="str">
        <x:v>Execution</x:v>
      </x:c>
      <x:c r="B5" s="35" t="str">
        <x:v>10 sequential POST requests to /api/rag/recommend on localhost; API route used because it is faster and more reproducible than browser clicking.</x:v>
      </x:c>
    </x:row>
    <x:row r="6">
      <x:c r="A6" s="33" t="str">
        <x:v>LLM</x:v>
      </x:c>
      <x:c r="B6" s="35" t="str">
        <x:v>All requests explicitly used deepseek-v4-flash with thinking=disabled. parserMode had to equal deepseek.</x:v>
      </x:c>
    </x:row>
    <x:row r="7">
      <x:c r="A7" s="33" t="str">
        <x:v>Embedding isolation</x:v>
      </x:c>
      <x:c r="B7" s="35" t="str">
        <x:v>Every response had to report retrieval=vector, provider=ollama, model=nomic-embed-text. Mixed local/Gemini vector rows are a hard failure.</x:v>
      </x:c>
    </x:row>
    <x:row r="8">
      <x:c r="A8" s="33" t="str">
        <x:v>Remote endpoint</x:v>
      </x:c>
      <x:c r="B8" s="35" t="str">
        <x:v>Ollama runs on the user's RTX 5090 machine over Tailscale. The workbook intentionally omits API keys and secrets.</x:v>
      </x:c>
    </x:row>
    <x:row r="9">
      <x:c r="A9" s="33" t="str">
        <x:v>Hard error rules</x:v>
      </x:c>
      <x:c r="B9" s="35" t="str">
        <x:v>Parser fallback; wrong currency/budget; required brand/capacity/color/SFF violation; compatibility FAIL; &gt;120% budget; missing evidence; non-Ollama embedding.</x:v>
      </x:c>
    </x:row>
    <x:row r="10">
      <x:c r="A10" s="33" t="str">
        <x:v>Warning rules</x:v>
      </x:c>
      <x:c r="B10" s="35" t="str">
        <x:v>100–120% budget, deterministic WARNING, or defensible multi-workload classification difference.</x:v>
      </x:c>
    </x:row>
    <x:row r="11">
      <x:c r="A11" s="33" t="str">
        <x:v>Price caveat</x:v>
      </x:c>
      <x:c r="B11" s="35" t="str">
        <x:v>Seed prices are manufacturer suggested/reference values or observed official retail values, not guaranteed live street prices or inventory.</x:v>
      </x:c>
    </x:row>
    <x:row r="12">
      <x:c r="A12" s="33" t="str">
        <x:v>Before/after</x:v>
      </x:c>
      <x:c r="B12" s="35" t="str">
        <x:v>The first run is preserved in rag-demo-results-before-fixes.json. Fixes added hard capacity filtering, general SFF filtering, PSU pool coverage, and CPU/motherboard budget downgrades.</x:v>
      </x:c>
    </x:row>
    <x:row r="13">
      <x:c r="A13" s="33" t="str">
        <x:v>Build verification</x:v>
      </x:c>
      <x:c r="B13" s="35" t="str">
        <x:v>TypeScript typecheck and Next.js production build completed successfully after the final run.</x:v>
      </x:c>
    </x:row>
    <x:row r="14">
      <x:c r="A14" s="38" t="str">
        <x:v>Regression suites</x:v>
      </x:c>
      <x:c r="B14" s="40" t="str">
        <x:v>rag:eval passed 4/4 semantic retrieval cases; test:rag passed negative constraints; test:conversation passed patch scope, compatibility dependencies, explanation immutability, optimization, and rebuild routing.</x:v>
      </x:c>
    </x:row>
    <x:row r="15" ht="28" customHeight="1">
      <x:c r="A15" s="30" t="str">
        <x:v>Source title</x:v>
      </x:c>
      <x:c r="B15" s="31" t="str">
        <x:v>URL</x:v>
      </x:c>
      <x:c r="C15" s="31" t="str">
        <x:v>Used for</x:v>
      </x:c>
      <x:c r="D15" s="31" t="str">
        <x:v>Type</x:v>
      </x:c>
      <x:c r="E15" s="31" t="str">
        <x:v>Price caveat</x:v>
      </x:c>
      <x:c r="F15" s="32" t="str">
        <x:v>Accessed</x:v>
      </x:c>
    </x:row>
    <x:row r="16">
      <x:c r="A16" s="33" t="str">
        <x:v>GeForce RTX 5080 Founders Edition price source</x:v>
      </x:c>
      <x:c r="B16" s="34" t="str">
        <x:v>https://www.nvidia.com/en-us/geforce/graphics-cards/50-series/rtx-5080/</x:v>
      </x:c>
      <x:c r="C16" s="34" t="str">
        <x:v>gpu price seed</x:v>
      </x:c>
      <x:c r="D16" s="34" t="str">
        <x:v>Price/reference</x:v>
      </x:c>
      <x:c r="E16" s="34" t="str">
        <x:v>msrp</x:v>
      </x:c>
      <x:c r="F16" s="35" t="str">
        <x:v>2026-06-28</x:v>
      </x:c>
    </x:row>
    <x:row r="17">
      <x:c r="A17" s="33" t="str">
        <x:v>GeForce RTX 5070 Founders Edition price source</x:v>
      </x:c>
      <x:c r="B17" s="34" t="str">
        <x:v>https://www.nvidia.com/en-us/geforce/graphics-cards/50-series/rtx-5070-family/</x:v>
      </x:c>
      <x:c r="C17" s="34" t="str">
        <x:v>gpu price seed</x:v>
      </x:c>
      <x:c r="D17" s="34" t="str">
        <x:v>Price/reference</x:v>
      </x:c>
      <x:c r="E17" s="34" t="str">
        <x:v>msrp</x:v>
      </x:c>
      <x:c r="F17" s="35" t="str">
        <x:v>2026-06-28</x:v>
      </x:c>
    </x:row>
    <x:row r="18">
      <x:c r="A18" s="33" t="str">
        <x:v>GeForce RTX 5060 Ti 16GB price source</x:v>
      </x:c>
      <x:c r="B18" s="34" t="str">
        <x:v>https://www.nvidia.com/en-us/geforce/graphics-cards/50-series/rtx-5060-family/</x:v>
      </x:c>
      <x:c r="C18" s="34" t="str">
        <x:v>gpu price seed</x:v>
      </x:c>
      <x:c r="D18" s="34" t="str">
        <x:v>Price/reference</x:v>
      </x:c>
      <x:c r="E18" s="34" t="str">
        <x:v>reference</x:v>
      </x:c>
      <x:c r="F18" s="35" t="str">
        <x:v>2026-06-28</x:v>
      </x:c>
    </x:row>
    <x:row r="19">
      <x:c r="A19" s="33" t="str">
        <x:v>Radeon RX 9070 XT</x:v>
      </x:c>
      <x:c r="B19" s="34" t="str">
        <x:v>https://www.amd.com/en/products/graphics/desktops/radeon/9000-series/amd-radeon-rx-9070xt.html</x:v>
      </x:c>
      <x:c r="C19" s="34" t="str">
        <x:v>gpu specifications</x:v>
      </x:c>
      <x:c r="D19" s="34" t="str">
        <x:v>Manufacturer/specification</x:v>
      </x:c>
      <x:c r="E19" s="34" t="str">
        <x:v>msrp</x:v>
      </x:c>
      <x:c r="F19" s="35" t="str">
        <x:v>2026-06-28</x:v>
      </x:c>
    </x:row>
    <x:row r="20">
      <x:c r="A20" s="33" t="str">
        <x:v>Intel Arc B580 Limited Edition price source</x:v>
      </x:c>
      <x:c r="B20" s="34" t="str">
        <x:v>https://www.intel.com/content/www/us/en/products/sku/241598/intel-arc-b580-graphics/ordering.html</x:v>
      </x:c>
      <x:c r="C20" s="34" t="str">
        <x:v>gpu price seed</x:v>
      </x:c>
      <x:c r="D20" s="34" t="str">
        <x:v>Price/reference</x:v>
      </x:c>
      <x:c r="E20" s="34" t="str">
        <x:v>msrp</x:v>
      </x:c>
      <x:c r="F20" s="35" t="str">
        <x:v>2026-06-28</x:v>
      </x:c>
    </x:row>
    <x:row r="21">
      <x:c r="A21" s="33" t="str">
        <x:v>Ryzen 9 9950X3D2 Dual Edition price source</x:v>
      </x:c>
      <x:c r="B21" s="34" t="str">
        <x:v>https://www.amd.com/en/newsroom/press-releases/2026-4-22-amd-launches-ryzen-9-9950x3d2-dual-edition-processor.html</x:v>
      </x:c>
      <x:c r="C21" s="34" t="str">
        <x:v>cpu price seed</x:v>
      </x:c>
      <x:c r="D21" s="34" t="str">
        <x:v>Price/reference</x:v>
      </x:c>
      <x:c r="E21" s="34" t="str">
        <x:v>msrp</x:v>
      </x:c>
      <x:c r="F21" s="35" t="str">
        <x:v>2026-06-28</x:v>
      </x:c>
    </x:row>
    <x:row r="22">
      <x:c r="A22" s="33" t="str">
        <x:v>AMD Ryzen desktop processor specifications</x:v>
      </x:c>
      <x:c r="B22" s="34" t="str">
        <x:v>https://www.amd.com/en/products/processors/desktops/ryzen.html</x:v>
      </x:c>
      <x:c r="C22" s="34" t="str">
        <x:v>Ryzen 9 9950X3D mixed gaming and creation profile</x:v>
      </x:c>
      <x:c r="D22" s="34" t="str">
        <x:v>Knowledge source</x:v>
      </x:c>
      <x:c r="E22" s="34" t="str">
        <x:v>No live price asserted</x:v>
      </x:c>
      <x:c r="F22" s="35" t="str">
        <x:v>2026-06-28</x:v>
      </x:c>
    </x:row>
    <x:row r="23">
      <x:c r="A23" s="33" t="str">
        <x:v>Core Ultra 7 265K price source</x:v>
      </x:c>
      <x:c r="B23" s="34" t="str">
        <x:v>https://www.intel.com/content/www/us/en/products/sku/241063/intel-core-ultra-7-processor-265k-30m-cache-up-to-5-50-ghz/specifications.html</x:v>
      </x:c>
      <x:c r="C23" s="34" t="str">
        <x:v>cpu price seed</x:v>
      </x:c>
      <x:c r="D23" s="34" t="str">
        <x:v>Price/reference</x:v>
      </x:c>
      <x:c r="E23" s="34" t="str">
        <x:v>msrp</x:v>
      </x:c>
      <x:c r="F23" s="35" t="str">
        <x:v>2026-06-28</x:v>
      </x:c>
    </x:row>
    <x:row r="24">
      <x:c r="A24" s="33" t="str">
        <x:v>MSI MAG X870 Tomahawk WiFi price source</x:v>
      </x:c>
      <x:c r="B24" s="34" t="str">
        <x:v>https://www.msi.com/Motherboard/MAG-X870-TOMAHAWK-WIFI/Specification</x:v>
      </x:c>
      <x:c r="C24" s="34" t="str">
        <x:v>motherboard price seed</x:v>
      </x:c>
      <x:c r="D24" s="34" t="str">
        <x:v>Price/reference</x:v>
      </x:c>
      <x:c r="E24" s="34" t="str">
        <x:v>reference</x:v>
      </x:c>
      <x:c r="F24" s="35" t="str">
        <x:v>2026-06-28</x:v>
      </x:c>
    </x:row>
    <x:row r="25">
      <x:c r="A25" s="33" t="str">
        <x:v>Intel Core Ultra desktop processor product brief</x:v>
      </x:c>
      <x:c r="B25" s="34" t="str">
        <x:v>https://www.intel.com/content/dam/www/central-libraries/us/en/documents/2024-09/core-ultra-desktop-processors-series-2-product-brief.pdf</x:v>
      </x:c>
      <x:c r="C25" s="34" t="str">
        <x:v>LGA1851 and Z890 compatibility boundary</x:v>
      </x:c>
      <x:c r="D25" s="34" t="str">
        <x:v>Knowledge source</x:v>
      </x:c>
      <x:c r="E25" s="34" t="str">
        <x:v>No live price asserted</x:v>
      </x:c>
      <x:c r="F25" s="35" t="str">
        <x:v>2026-06-28</x:v>
      </x:c>
    </x:row>
    <x:row r="26">
      <x:c r="A26" s="33" t="str">
        <x:v>Samsung 9100 Pro 4TB</x:v>
      </x:c>
      <x:c r="B26" s="34" t="str">
        <x:v>https://www.samsung.com/us/memory-storage/nvme-ssd/9100-pro-nvme-ssd-sku-mz-vap4t0b-am/</x:v>
      </x:c>
      <x:c r="C26" s="34" t="str">
        <x:v>storage specifications</x:v>
      </x:c>
      <x:c r="D26" s="34" t="str">
        <x:v>Manufacturer/specification</x:v>
      </x:c>
      <x:c r="E26" s="34" t="str">
        <x:v>msrp</x:v>
      </x:c>
      <x:c r="F26" s="35" t="str">
        <x:v>2026-06-28</x:v>
      </x:c>
    </x:row>
    <x:row r="27">
      <x:c r="A27" s="33" t="str">
        <x:v>Corsair RM1200x SHIFT White ATX 3.1 price source</x:v>
      </x:c>
      <x:c r="B27" s="34" t="str">
        <x:v>https://www.corsair.com/us/en/p/psu/cp-9020276-na/rm1200x-shift-80-plus-gold-fully-modular-atx-power-supply-white-na-cp-9020276-na</x:v>
      </x:c>
      <x:c r="C27" s="34" t="str">
        <x:v>psu price seed</x:v>
      </x:c>
      <x:c r="D27" s="34" t="str">
        <x:v>Price/reference</x:v>
      </x:c>
      <x:c r="E27" s="34" t="str">
        <x:v>retail</x:v>
      </x:c>
      <x:c r="F27" s="35" t="str">
        <x:v>2026-06-28</x:v>
      </x:c>
    </x:row>
    <x:row r="28">
      <x:c r="A28" s="33" t="str">
        <x:v>NZXT H9 Flow RGB White price source</x:v>
      </x:c>
      <x:c r="B28" s="34" t="str">
        <x:v>https://nzxt.com/products/h9-flow-rgb?variant=40595201032264</x:v>
      </x:c>
      <x:c r="C28" s="34" t="str">
        <x:v>case price seed</x:v>
      </x:c>
      <x:c r="D28" s="34" t="str">
        <x:v>Price/reference</x:v>
      </x:c>
      <x:c r="E28" s="34" t="str">
        <x:v>retail</x:v>
      </x:c>
      <x:c r="F28" s="35" t="str">
        <x:v>2026-06-28</x:v>
      </x:c>
    </x:row>
    <x:row r="29">
      <x:c r="A29" s="33" t="str">
        <x:v>Fractal Design Terra price source</x:v>
      </x:c>
      <x:c r="B29" s="34" t="str">
        <x:v>https://www.fractal-design.com/products/cases/terra/terra/</x:v>
      </x:c>
      <x:c r="C29" s="34" t="str">
        <x:v>case price seed</x:v>
      </x:c>
      <x:c r="D29" s="34" t="str">
        <x:v>Price/reference</x:v>
      </x:c>
      <x:c r="E29" s="34" t="str">
        <x:v>reference</x:v>
      </x:c>
      <x:c r="F29" s="35" t="str">
        <x:v>2026-06-28</x:v>
      </x:c>
    </x:row>
    <x:row r="30">
      <x:c r="A30" s="33" t="str">
        <x:v>Ryzen 7 9700X</x:v>
      </x:c>
      <x:c r="B30" s="34" t="str">
        <x:v>https://www.amd.com/en/products/processors/desktops/ryzen/9000-series/amd-ryzen-7-9700x.html</x:v>
      </x:c>
      <x:c r="C30" s="34" t="str">
        <x:v>cpu specifications</x:v>
      </x:c>
      <x:c r="D30" s="34" t="str">
        <x:v>Manufacturer/specification</x:v>
      </x:c>
      <x:c r="E30" s="34" t="str">
        <x:v>msrp</x:v>
      </x:c>
      <x:c r="F30" s="35" t="str">
        <x:v>2026-06-28</x:v>
      </x:c>
    </x:row>
    <x:row r="31">
      <x:c r="A31" s="33" t="str">
        <x:v>Ryzen 7 9700X price source</x:v>
      </x:c>
      <x:c r="B31" s="34" t="str">
        <x:v>https://www.amd.com/en/newsroom/press-releases/2024-8-7-amd-ryzen-9000-series-processors-are-ready-to-del.html</x:v>
      </x:c>
      <x:c r="C31" s="34" t="str">
        <x:v>cpu price seed</x:v>
      </x:c>
      <x:c r="D31" s="34" t="str">
        <x:v>Price/reference</x:v>
      </x:c>
      <x:c r="E31" s="34" t="str">
        <x:v>msrp</x:v>
      </x:c>
      <x:c r="F31" s="35" t="str">
        <x:v>2026-06-28</x:v>
      </x:c>
    </x:row>
    <x:row r="32">
      <x:c r="A32" s="33" t="str">
        <x:v>Ryzen 9 9900X3D price source</x:v>
      </x:c>
      <x:c r="B32" s="34" t="str">
        <x:v>https://www.amd.com/en/products/processors/desktops/ryzen/9000-series/amd-ryzen-9-9900x3d.html</x:v>
      </x:c>
      <x:c r="C32" s="34" t="str">
        <x:v>cpu price seed</x:v>
      </x:c>
      <x:c r="D32" s="34" t="str">
        <x:v>Price/reference</x:v>
      </x:c>
      <x:c r="E32" s="34" t="str">
        <x:v>msrp</x:v>
      </x:c>
      <x:c r="F32" s="35" t="str">
        <x:v>2026-06-28</x:v>
      </x:c>
    </x:row>
    <x:row r="33">
      <x:c r="A33" s="33" t="str">
        <x:v>Ryzen 9 9950X3D price source</x:v>
      </x:c>
      <x:c r="B33" s="34" t="str">
        <x:v>https://www.amd.com/en/products/processors/desktops/ryzen/9000-series/amd-ryzen-9-9950x3d.html</x:v>
      </x:c>
      <x:c r="C33" s="34" t="str">
        <x:v>cpu price seed</x:v>
      </x:c>
      <x:c r="D33" s="34" t="str">
        <x:v>Price/reference</x:v>
      </x:c>
      <x:c r="E33" s="34" t="str">
        <x:v>msrp</x:v>
      </x:c>
      <x:c r="F33" s="35" t="str">
        <x:v>2026-06-28</x:v>
      </x:c>
    </x:row>
    <x:row r="34">
      <x:c r="A34" s="33" t="str">
        <x:v>Core Ultra 5 245K price source</x:v>
      </x:c>
      <x:c r="B34" s="34" t="str">
        <x:v>https://www.intel.com/content/www/us/en/products/sku/241067/intel-core-ultra-5-processor-245k-24m-cache-up-to-5-20-ghz/specifications.html</x:v>
      </x:c>
      <x:c r="C34" s="34" t="str">
        <x:v>cpu price seed</x:v>
      </x:c>
      <x:c r="D34" s="34" t="str">
        <x:v>Price/reference</x:v>
      </x:c>
      <x:c r="E34" s="34" t="str">
        <x:v>msrp</x:v>
      </x:c>
      <x:c r="F34" s="35" t="str">
        <x:v>2026-06-28</x:v>
      </x:c>
    </x:row>
    <x:row r="35">
      <x:c r="A35" s="33" t="str">
        <x:v>Core Ultra 9 285K price source</x:v>
      </x:c>
      <x:c r="B35" s="34" t="str">
        <x:v>https://www.intel.com/content/www/us/en/products/sku/241060/intel-core-ultra-9-processor-285k-36m-cache-up-to-5-70-ghz/specifications.html</x:v>
      </x:c>
      <x:c r="C35" s="34" t="str">
        <x:v>cpu price seed</x:v>
      </x:c>
      <x:c r="D35" s="34" t="str">
        <x:v>Price/reference</x:v>
      </x:c>
      <x:c r="E35" s="34" t="str">
        <x:v>msrp</x:v>
      </x:c>
      <x:c r="F35" s="35" t="str">
        <x:v>2026-06-28</x:v>
      </x:c>
    </x:row>
    <x:row r="36">
      <x:c r="A36" s="33" t="str">
        <x:v>GeForce RTX 5090 Founders Edition price source</x:v>
      </x:c>
      <x:c r="B36" s="34" t="str">
        <x:v>https://www.nvidia.com/en-us/geforce/graphics-cards/50-series/rtx-5090/</x:v>
      </x:c>
      <x:c r="C36" s="34" t="str">
        <x:v>gpu price seed</x:v>
      </x:c>
      <x:c r="D36" s="34" t="str">
        <x:v>Price/reference</x:v>
      </x:c>
      <x:c r="E36" s="34" t="str">
        <x:v>msrp</x:v>
      </x:c>
      <x:c r="F36" s="35" t="str">
        <x:v>2026-06-28</x:v>
      </x:c>
    </x:row>
    <x:row r="37">
      <x:c r="A37" s="33" t="str">
        <x:v>Radeon RX 9070 price source</x:v>
      </x:c>
      <x:c r="B37" s="34" t="str">
        <x:v>https://www.amd.com/en/newsroom/press-releases/2025-2-28-amd-unveils-next-generation-amd-rdna-4-architectu.html</x:v>
      </x:c>
      <x:c r="C37" s="34" t="str">
        <x:v>gpu price seed</x:v>
      </x:c>
      <x:c r="D37" s="34" t="str">
        <x:v>Price/reference</x:v>
      </x:c>
      <x:c r="E37" s="34" t="str">
        <x:v>msrp</x:v>
      </x:c>
      <x:c r="F37" s="35" t="str">
        <x:v>2026-06-28</x:v>
      </x:c>
    </x:row>
    <x:row r="38">
      <x:c r="A38" s="33" t="str">
        <x:v>Radeon RX 9060 XT 16GB</x:v>
      </x:c>
      <x:c r="B38" s="34" t="str">
        <x:v>https://www.amd.com/en/products/graphics/desktops/radeon.html</x:v>
      </x:c>
      <x:c r="C38" s="34" t="str">
        <x:v>gpu specifications</x:v>
      </x:c>
      <x:c r="D38" s="34" t="str">
        <x:v>Manufacturer/specification</x:v>
      </x:c>
      <x:c r="E38" s="34" t="str">
        <x:v>msrp</x:v>
      </x:c>
      <x:c r="F38" s="35" t="str">
        <x:v>2026-06-28</x:v>
      </x:c>
    </x:row>
    <x:row r="39">
      <x:c r="A39" s="33" t="str">
        <x:v>Radeon RX 9060 XT 16GB price source</x:v>
      </x:c>
      <x:c r="B39" s="34" t="str">
        <x:v>https://www.amd.com/en/newsroom/press-releases/2025-5-20-amd-introduces-new-radeon-graphics-cards-and-ryzen.html</x:v>
      </x:c>
      <x:c r="C39" s="34" t="str">
        <x:v>gpu price seed</x:v>
      </x:c>
      <x:c r="D39" s="34" t="str">
        <x:v>Price/reference</x:v>
      </x:c>
      <x:c r="E39" s="34" t="str">
        <x:v>msrp</x:v>
      </x:c>
      <x:c r="F39" s="35" t="str">
        <x:v>2026-06-28</x:v>
      </x:c>
    </x:row>
    <x:row r="40">
      <x:c r="A40" s="33" t="str">
        <x:v>Intel Arc B580 Limited Edition</x:v>
      </x:c>
      <x:c r="B40" s="34" t="str">
        <x:v>https://www.intel.com/content/www/us/en/products/sku/241598/intel-arc-b580-graphics/specifications.html</x:v>
      </x:c>
      <x:c r="C40" s="34" t="str">
        <x:v>gpu specifications</x:v>
      </x:c>
      <x:c r="D40" s="34" t="str">
        <x:v>Manufacturer/specification</x:v>
      </x:c>
      <x:c r="E40" s="34" t="str">
        <x:v>msrp</x:v>
      </x:c>
      <x:c r="F40" s="35" t="str">
        <x:v>2026-06-28</x:v>
      </x:c>
    </x:row>
    <x:row r="41">
      <x:c r="A41" s="33" t="str">
        <x:v>ASUS TUF Gaming B850-Plus WiFi price source</x:v>
      </x:c>
      <x:c r="B41" s="34" t="str">
        <x:v>https://www.asus.com/motherboards-components/motherboards/tuf-gaming/tuf-gaming-b850-plus-wifi/techspec/</x:v>
      </x:c>
      <x:c r="C41" s="34" t="str">
        <x:v>motherboard price seed</x:v>
      </x:c>
      <x:c r="D41" s="34" t="str">
        <x:v>Price/reference</x:v>
      </x:c>
      <x:c r="E41" s="34" t="str">
        <x:v>reference</x:v>
      </x:c>
      <x:c r="F41" s="35" t="str">
        <x:v>2026-06-28</x:v>
      </x:c>
    </x:row>
    <x:row r="42">
      <x:c r="A42" s="33" t="str">
        <x:v>ASUS ROG Strix X870-A Gaming WiFi price source</x:v>
      </x:c>
      <x:c r="B42" s="34" t="str">
        <x:v>https://rog.asus.com/motherboards/rog-strix/rog-strix-x870-a-gaming-wifi/spec/</x:v>
      </x:c>
      <x:c r="C42" s="34" t="str">
        <x:v>motherboard price seed</x:v>
      </x:c>
      <x:c r="D42" s="34" t="str">
        <x:v>Price/reference</x:v>
      </x:c>
      <x:c r="E42" s="34" t="str">
        <x:v>reference</x:v>
      </x:c>
      <x:c r="F42" s="35" t="str">
        <x:v>2026-06-28</x:v>
      </x:c>
    </x:row>
    <x:row r="43">
      <x:c r="A43" s="33" t="str">
        <x:v>ASUS ROG Strix Z890-A Gaming WiFi price source</x:v>
      </x:c>
      <x:c r="B43" s="34" t="str">
        <x:v>https://rog.asus.com/us/motherboards/rog-strix/rog-strix-z890-a-gaming-wifi/spec/</x:v>
      </x:c>
      <x:c r="C43" s="34" t="str">
        <x:v>motherboard price seed</x:v>
      </x:c>
      <x:c r="D43" s="34" t="str">
        <x:v>Price/reference</x:v>
      </x:c>
      <x:c r="E43" s="34" t="str">
        <x:v>reference</x:v>
      </x:c>
      <x:c r="F43" s="35" t="str">
        <x:v>2026-06-28</x:v>
      </x:c>
    </x:row>
    <x:row r="44">
      <x:c r="A44" s="33" t="str">
        <x:v>ASRock Z890M Riptide WiFi price source</x:v>
      </x:c>
      <x:c r="B44" s="34" t="str">
        <x:v>https://www.asrock.com/mb/Intel/Z890M%20Riptide%20WiFi/index.asp</x:v>
      </x:c>
      <x:c r="C44" s="34" t="str">
        <x:v>motherboard price seed</x:v>
      </x:c>
      <x:c r="D44" s="34" t="str">
        <x:v>Price/reference</x:v>
      </x:c>
      <x:c r="E44" s="34" t="str">
        <x:v>reference</x:v>
      </x:c>
      <x:c r="F44" s="35" t="str">
        <x:v>2026-06-28</x:v>
      </x:c>
    </x:row>
    <x:row r="45">
      <x:c r="A45" s="33" t="str">
        <x:v>G.Skill Trident Z5 Neo RGB 48GB DDR5-6000 price source</x:v>
      </x:c>
      <x:c r="B45" s="34" t="str">
        <x:v>https://www.gskill.com/product/165/390/Trident-Z5-Neo-RGB-DDR5-AMD-EXPO</x:v>
      </x:c>
      <x:c r="C45" s="34" t="str">
        <x:v>ram price seed</x:v>
      </x:c>
      <x:c r="D45" s="34" t="str">
        <x:v>Price/reference</x:v>
      </x:c>
      <x:c r="E45" s="34" t="str">
        <x:v>reference</x:v>
      </x:c>
      <x:c r="F45" s="35" t="str">
        <x:v>2026-06-28</x:v>
      </x:c>
    </x:row>
    <x:row r="46">
      <x:c r="A46" s="33" t="str">
        <x:v>Corsair Vengeance 96GB DDR5-6400 price source</x:v>
      </x:c>
      <x:c r="B46" s="34" t="str">
        <x:v>https://www.corsair.com/us/en/c/memory/ddr5-ram</x:v>
      </x:c>
      <x:c r="C46" s="34" t="str">
        <x:v>ram price seed</x:v>
      </x:c>
      <x:c r="D46" s="34" t="str">
        <x:v>Price/reference</x:v>
      </x:c>
      <x:c r="E46" s="34" t="str">
        <x:v>reference</x:v>
      </x:c>
      <x:c r="F46" s="35" t="str">
        <x:v>2026-06-28</x:v>
      </x:c>
    </x:row>
    <x:row r="47">
      <x:c r="A47" s="33" t="str">
        <x:v>Samsung 9100 Pro 2TB</x:v>
      </x:c>
      <x:c r="B47" s="34" t="str">
        <x:v>https://www.samsung.com/us/memory-storage/nvme-ssd/9100-pro-nvme-ssd-sku-mz-vap2t0b-am/</x:v>
      </x:c>
      <x:c r="C47" s="34" t="str">
        <x:v>storage specifications</x:v>
      </x:c>
      <x:c r="D47" s="34" t="str">
        <x:v>Manufacturer/specification</x:v>
      </x:c>
      <x:c r="E47" s="34" t="str">
        <x:v>msrp</x:v>
      </x:c>
      <x:c r="F47" s="35" t="str">
        <x:v>2026-06-28</x:v>
      </x:c>
    </x:row>
    <x:row r="48">
      <x:c r="A48" s="33" t="str">
        <x:v>Samsung 9100 Pro 4TB price source</x:v>
      </x:c>
      <x:c r="B48" s="34" t="str">
        <x:v>https://image-us.samsung.com/SamsungUS/business/solutions/industries/government/msrp-price-sheets/10092025/Samsung-Memory_Storage-MSRP-Price-File-%28September-2025%29.pdf</x:v>
      </x:c>
      <x:c r="C48" s="34" t="str">
        <x:v>storage price seed</x:v>
      </x:c>
      <x:c r="D48" s="34" t="str">
        <x:v>Price/reference</x:v>
      </x:c>
      <x:c r="E48" s="34" t="str">
        <x:v>msrp</x:v>
      </x:c>
      <x:c r="F48" s="35" t="str">
        <x:v>2026-06-28</x:v>
      </x:c>
    </x:row>
    <x:row r="49">
      <x:c r="A49" s="33" t="str">
        <x:v>Crucial T710 2TB price source</x:v>
      </x:c>
      <x:c r="B49" s="34" t="str">
        <x:v>https://www.crucial.com/ssd/t710/ct2000t710ssd8</x:v>
      </x:c>
      <x:c r="C49" s="34" t="str">
        <x:v>storage price seed</x:v>
      </x:c>
      <x:c r="D49" s="34" t="str">
        <x:v>Price/reference</x:v>
      </x:c>
      <x:c r="E49" s="34" t="str">
        <x:v>reference</x:v>
      </x:c>
      <x:c r="F49" s="35" t="str">
        <x:v>2026-06-28</x:v>
      </x:c>
    </x:row>
    <x:row r="50">
      <x:c r="A50" s="33" t="str">
        <x:v>Thermalright Phantom Spirit 120 SE price source</x:v>
      </x:c>
      <x:c r="B50" s="34" t="str">
        <x:v>https://www.thermalright.com/product/phantom-spirit-120-se/</x:v>
      </x:c>
      <x:c r="C50" s="34" t="str">
        <x:v>cooler price seed</x:v>
      </x:c>
      <x:c r="D50" s="34" t="str">
        <x:v>Price/reference</x:v>
      </x:c>
      <x:c r="E50" s="34" t="str">
        <x:v>reference</x:v>
      </x:c>
      <x:c r="F50" s="35" t="str">
        <x:v>2026-06-28</x:v>
      </x:c>
    </x:row>
    <x:row r="51">
      <x:c r="A51" s="33" t="str">
        <x:v>Arctic Liquid Freezer III Pro 360 price source</x:v>
      </x:c>
      <x:c r="B51" s="34" t="str">
        <x:v>https://www.arctic.de/en/Liquid-Freezer-III-Pro-360/</x:v>
      </x:c>
      <x:c r="C51" s="34" t="str">
        <x:v>cooler price seed</x:v>
      </x:c>
      <x:c r="D51" s="34" t="str">
        <x:v>Price/reference</x:v>
      </x:c>
      <x:c r="E51" s="34" t="str">
        <x:v>reference</x:v>
      </x:c>
      <x:c r="F51" s="35" t="str">
        <x:v>2026-06-28</x:v>
      </x:c>
    </x:row>
    <x:row r="52">
      <x:c r="A52" s="33" t="str">
        <x:v>Corsair NAUTILUS 360 RS ARGB White price source</x:v>
      </x:c>
      <x:c r="B52" s="34" t="str">
        <x:v>https://www.corsair.com/us/en/p/cpu-coolers/cw-9060093-ww/nautilus-360-rs-argb-liquid-cpu-cooler-white-cw-9060093-ww</x:v>
      </x:c>
      <x:c r="C52" s="34" t="str">
        <x:v>cooler price seed</x:v>
      </x:c>
      <x:c r="D52" s="34" t="str">
        <x:v>Price/reference</x:v>
      </x:c>
      <x:c r="E52" s="34" t="str">
        <x:v>reference</x:v>
      </x:c>
      <x:c r="F52" s="35" t="str">
        <x:v>2026-06-28</x:v>
      </x:c>
    </x:row>
    <x:row r="53">
      <x:c r="A53" s="33" t="str">
        <x:v>Seasonic Vertex PX-1200 ATX 3.1 price source</x:v>
      </x:c>
      <x:c r="B53" s="34" t="str">
        <x:v>https://seasonic.com/vertex-px/</x:v>
      </x:c>
      <x:c r="C53" s="34" t="str">
        <x:v>psu price seed</x:v>
      </x:c>
      <x:c r="D53" s="34" t="str">
        <x:v>Price/reference</x:v>
      </x:c>
      <x:c r="E53" s="34" t="str">
        <x:v>reference</x:v>
      </x:c>
      <x:c r="F53" s="35" t="str">
        <x:v>2026-06-28</x:v>
      </x:c>
    </x:row>
    <x:row r="54">
      <x:c r="A54" s="33" t="str">
        <x:v>Corsair SF1000 Platinum price source</x:v>
      </x:c>
      <x:c r="B54" s="34" t="str">
        <x:v>https://www.corsair.com/us/en/p/psu/cp-9020257-na/sf-series-sf1000-fully-modular-80-plus-platinum-sfx-power-supply-cp-9020257-na</x:v>
      </x:c>
      <x:c r="C54" s="34" t="str">
        <x:v>psu price seed</x:v>
      </x:c>
      <x:c r="D54" s="34" t="str">
        <x:v>Price/reference</x:v>
      </x:c>
      <x:c r="E54" s="34" t="str">
        <x:v>reference</x:v>
      </x:c>
      <x:c r="F54" s="35" t="str">
        <x:v>2026-06-28</x:v>
      </x:c>
    </x:row>
    <x:row r="55">
      <x:c r="A55" s="33" t="str">
        <x:v>Fractal Design North XL price source</x:v>
      </x:c>
      <x:c r="B55" s="34" t="str">
        <x:v>https://www.fractal-design.com/products/cases/north/north-xl/</x:v>
      </x:c>
      <x:c r="C55" s="34" t="str">
        <x:v>case price seed</x:v>
      </x:c>
      <x:c r="D55" s="34" t="str">
        <x:v>Price/reference</x:v>
      </x:c>
      <x:c r="E55" s="34" t="str">
        <x:v>reference</x:v>
      </x:c>
      <x:c r="F55" s="35" t="str">
        <x:v>2026-06-28</x:v>
      </x:c>
    </x:row>
    <x:row r="56">
      <x:c r="A56" s="33" t="str">
        <x:v>Lian Li O11D EVO RGB White price source</x:v>
      </x:c>
      <x:c r="B56" s="34" t="str">
        <x:v>https://lian-li.com/product/o11d-evo-rgb/</x:v>
      </x:c>
      <x:c r="C56" s="34" t="str">
        <x:v>case price seed</x:v>
      </x:c>
      <x:c r="D56" s="34" t="str">
        <x:v>Price/reference</x:v>
      </x:c>
      <x:c r="E56" s="34" t="str">
        <x:v>reference</x:v>
      </x:c>
      <x:c r="F56" s="35" t="str">
        <x:v>2026-06-28</x:v>
      </x:c>
    </x:row>
    <x:row r="57">
      <x:c r="A57" s="38" t="str">
        <x:v>Corsair 3500X ARGB White price source</x:v>
      </x:c>
      <x:c r="B57" s="39" t="str">
        <x:v>https://www.corsair.com/us/en/p/pc-cases/cc-9011279-ww/3500x-argb-mid-tower-pc-case-white-cc-9011279-ww</x:v>
      </x:c>
      <x:c r="C57" s="39" t="str">
        <x:v>case price seed</x:v>
      </x:c>
      <x:c r="D57" s="39" t="str">
        <x:v>Price/reference</x:v>
      </x:c>
      <x:c r="E57" s="39" t="str">
        <x:v>reference</x:v>
      </x:c>
      <x:c r="F57" s="40" t="str">
        <x:v>2026-06-28</x:v>
      </x:c>
    </x:row>
  </x:sheetData>
  <x:mergeCells>
    <x:mergeCell ref="A1:F1"/>
    <x:mergeCell ref="A2:F2"/>
  </x:mergeCells>
  <x:pageMargins left="0.7" right="0.7" top="0.75" bottom="0.75" header="0.3" footer="0.3"/>
</x:worksheet>
</file>